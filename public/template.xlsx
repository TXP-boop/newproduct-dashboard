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桌面总文件\复盘&amp;规划\新品监控模板\"/>
    </mc:Choice>
  </mc:AlternateContent>
  <bookViews>
    <workbookView windowWidth="28800" windowHeight="12255"/>
  </bookViews>
  <sheets>
    <sheet name="新品利润测算" sheetId="1" r:id="rId1"/>
    <sheet name="月度损益" sheetId="2" r:id="rId2"/>
    <sheet name="进销存" sheetId="3" r:id="rId3"/>
    <sheet name="填写说明" sheetId="4" r:id="rId4"/>
  </sheets>
  <definedNames>
    <definedName name="_xlnm._FilterDatabase" localSheetId="0" hidden="1">新品利润测算!$A$1:$CK$220</definedName>
    <definedName name="_xlnm._FilterDatabase" localSheetId="1" hidden="1">月度损益!$A$1:$Z$1563</definedName>
    <definedName name="_xlnm._FilterDatabase" localSheetId="2" hidden="1">进销存!$A$1:$AS$320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<sst xmlns="http://schemas.openxmlformats.org/spreadsheetml/2006/main" count="13515" uniqueCount="1127">
  <si>
    <t>商品编码</t>
  </si>
  <si>
    <t>商品名称</t>
  </si>
  <si>
    <t>型号</t>
  </si>
  <si>
    <t>取消下单原因</t>
  </si>
  <si>
    <t>立项时间</t>
  </si>
  <si>
    <t>交期</t>
  </si>
  <si>
    <t>预估到货周期（天）</t>
  </si>
  <si>
    <t>dd值</t>
  </si>
  <si>
    <t>不含税采购价RMB</t>
  </si>
  <si>
    <t>预估头程费用RMB</t>
  </si>
  <si>
    <t>预估FBA尾程RMB</t>
  </si>
  <si>
    <t>预估FBM尾程RMB</t>
  </si>
  <si>
    <t>预估FBA仓储费RMB</t>
  </si>
  <si>
    <t>预估FBM仓储费RMB</t>
  </si>
  <si>
    <t>库内操作费</t>
  </si>
  <si>
    <t>税费RMB</t>
  </si>
  <si>
    <t>FBA规格</t>
  </si>
  <si>
    <t>尾程规格</t>
  </si>
  <si>
    <t>汇率</t>
  </si>
  <si>
    <t>适配车型</t>
  </si>
  <si>
    <t>vio_sum(万)</t>
  </si>
  <si>
    <t>平均车龄</t>
  </si>
  <si>
    <t>AMZ竞对详情</t>
  </si>
  <si>
    <t>AMZ-中位价USD</t>
  </si>
  <si>
    <t>AMZ-中位价销量</t>
  </si>
  <si>
    <t>AMZ-组内中国卖家均价USD</t>
  </si>
  <si>
    <t>AMZ-组内销量</t>
  </si>
  <si>
    <t>FBA-测算价</t>
  </si>
  <si>
    <t>FBA-红线毛利率</t>
  </si>
  <si>
    <t>FBA-红线价</t>
  </si>
  <si>
    <t>FBA-材料占比</t>
  </si>
  <si>
    <t>FBA-税费占比</t>
  </si>
  <si>
    <t>FBA-头程占比</t>
  </si>
  <si>
    <t>FBA-尾程占比</t>
  </si>
  <si>
    <t>FBA-推广占比</t>
  </si>
  <si>
    <t>FBA-退款占比</t>
  </si>
  <si>
    <t>FBA-均摊占比</t>
  </si>
  <si>
    <t>FBA-平台费率</t>
  </si>
  <si>
    <t>FBA-佣金占比</t>
  </si>
  <si>
    <t>FBA-仓储占比</t>
  </si>
  <si>
    <t>FBA-毛利率</t>
  </si>
  <si>
    <t>FBA-毛利润USD</t>
  </si>
  <si>
    <t>FBM-测算价</t>
  </si>
  <si>
    <t>FBM-红线毛利率</t>
  </si>
  <si>
    <t>FBM-红线价</t>
  </si>
  <si>
    <t>FBM-材料占比</t>
  </si>
  <si>
    <t>FBM-税费占比</t>
  </si>
  <si>
    <t>FBM-头程占比</t>
  </si>
  <si>
    <t>FBM-尾程占比</t>
  </si>
  <si>
    <t>FBM-推广占比</t>
  </si>
  <si>
    <t>FBM-退款占比</t>
  </si>
  <si>
    <t>FBM-均摊占比</t>
  </si>
  <si>
    <t>FBM-平台费率</t>
  </si>
  <si>
    <t>FBM-佣金占比</t>
  </si>
  <si>
    <t>FBM-仓储占比</t>
  </si>
  <si>
    <t>FBM-毛利率</t>
  </si>
  <si>
    <t>FBM-毛利润USD</t>
  </si>
  <si>
    <t>PO-目标毛利率</t>
  </si>
  <si>
    <t>VC-目标CP</t>
  </si>
  <si>
    <t>VC-LP</t>
  </si>
  <si>
    <t>VC-CP:LP</t>
  </si>
  <si>
    <t>VC-推广占比</t>
  </si>
  <si>
    <t>VC-佣金占比</t>
  </si>
  <si>
    <t>VC-退款率</t>
  </si>
  <si>
    <t>VC-毛利润</t>
  </si>
  <si>
    <t>PO-AMZ毛利润</t>
  </si>
  <si>
    <t>PO-AMZ毛利率</t>
  </si>
  <si>
    <t>DF-尾程折扣率</t>
  </si>
  <si>
    <t>DF-AMZ利润</t>
  </si>
  <si>
    <t>DF-AMZ利润率</t>
  </si>
  <si>
    <t>EB竞对详情</t>
  </si>
  <si>
    <t>Ebay-中位价USD</t>
  </si>
  <si>
    <t>Ebay-中位价销量</t>
  </si>
  <si>
    <t>Ebay-组内中国卖家均价USD</t>
  </si>
  <si>
    <t>Ebay-组内销量</t>
  </si>
  <si>
    <t>Ebay-测算价</t>
  </si>
  <si>
    <t>Ebay-红线毛利率</t>
  </si>
  <si>
    <t>Ebay红线价</t>
  </si>
  <si>
    <t>Ebay材料占比</t>
  </si>
  <si>
    <t>Ebay-税费占比</t>
  </si>
  <si>
    <t>Ebay-头程占比</t>
  </si>
  <si>
    <t>Ebay-尾程占比</t>
  </si>
  <si>
    <t>Ebay-推广占比</t>
  </si>
  <si>
    <t>Ebay-退款占比</t>
  </si>
  <si>
    <t>Ebay-均摊占比</t>
  </si>
  <si>
    <t>Ebay-佣金占比</t>
  </si>
  <si>
    <t>Ebay-仓储占比</t>
  </si>
  <si>
    <t>Ebay-毛利率</t>
  </si>
  <si>
    <t>Ebay-毛利润USD</t>
  </si>
  <si>
    <t>KX1FCK25400</t>
  </si>
  <si>
    <t>一支空气滤CA8755A + 一件空调滤CF8791A普通款中性盒</t>
  </si>
  <si>
    <t>CA8755A - CF8791A</t>
  </si>
  <si>
    <t>子件TB8ACF64000图纸有问题，取消下单</t>
  </si>
  <si>
    <t>大号标准件</t>
  </si>
  <si>
    <t>正常件</t>
  </si>
  <si>
    <t>1999-2002 Chevrolet Silverado 1500 4.3/4.8/5.3L, GMC Sierra 1500 4.3/4.8/5.3/6.0L, Chevrolet Silverado 2500 5.3/6.0L, GMC Sierra 2500 5.3/6.0L
2000-2002 Chevrolet Tahoe 4.8/5.3L, Chevrolet Suburban 1500 5.3L, GMC Yukon 4.8/5.3/6.0L, GMC Yukon XL 1500 5.3/6.0L, Chevrolet Suburban 2500 6.0/8.1L, GMC Yukon XL 2500 6.0/8.1L
2001-2002 Chevrolet Silverado 2500 HD 6.0/6.6/8.1L, GMC Sierra 2500 HD 6.0/6.6/8.1L, Chevrolet Silverado 3500 6.0/6.6/8.1L, Chevrolet Silverado 1500 HD 6.0L, GMC Sierra 3500 6.0/6.6/8.1L, GMC Sierra 1500 HD 6.0L, Chevrolet C3500HD 8.1L, GMC C3500HD 8.1L
2002 Chevrolet Avalanche 1500 5.3L, Cadillac Escalade 5.3/6.0L, Cadillac Escalade EXT 6.0L, Chevrolet Avalanche 2500 8.1L</t>
  </si>
  <si>
    <t>KX1FCK25900</t>
  </si>
  <si>
    <t>一支空气滤CA12375 + 一支空调滤CF11671普通款中性盒</t>
  </si>
  <si>
    <t>CA12375 - CF11671</t>
  </si>
  <si>
    <t>子件TB1EAF98400供应商产品无模具，正在购买产品，产品到后进行开发评审，时间周期比较长，这款产品的订单先取消</t>
  </si>
  <si>
    <t>2019-2025 Ram 1500 3.0/3.6/5.7L
2021-2024 Ram 1500 Classic 3.6/5.7L</t>
  </si>
  <si>
    <t>KX1FCK32000</t>
  </si>
  <si>
    <t>一支空气滤CA9360 + 一支空调滤CF10138普通款中性盒</t>
  </si>
  <si>
    <t>CA9360 - CF10138</t>
  </si>
  <si>
    <t>子件TB8ACF67400图纸有问题，取消下单</t>
  </si>
  <si>
    <t>2001-2007 Toyota Highlander 2.4/3.0/3.3L</t>
  </si>
  <si>
    <t>KX1FCK36600</t>
  </si>
  <si>
    <t>一支空气滤CA7351 + 一支空调滤CF10138普通款中性盒</t>
  </si>
  <si>
    <t>CA7351 - CF10138</t>
  </si>
  <si>
    <t>1999-2003 Lexus RX300 3.0L</t>
  </si>
  <si>
    <t>KX1FCK25100</t>
  </si>
  <si>
    <t>一支空气滤CA10171 + 一支空调滤CF10285普通款中性盒</t>
  </si>
  <si>
    <t>CA10171 - CF10285</t>
  </si>
  <si>
    <t>2007-2017 Toyota Camry 2.4/2.5L
2009-2015 Toyota Venza 2.7L</t>
  </si>
  <si>
    <t>KX1FCK25200</t>
  </si>
  <si>
    <t>一支空气滤CA8039 + 一支空调滤CF8631A普通款中性盒</t>
  </si>
  <si>
    <t>CA8039 - CF8631A</t>
  </si>
  <si>
    <t>小号大件</t>
  </si>
  <si>
    <t>1997-2004 Ford F-150 4.2/4.6/5.4L
1997-2003 Ford Expedition 4.6/5.4L
1999-2004 Ford F-250 Super Duty 5.4/6.8L, Ford F-350 Super Duty 5.4/6.8L, Ford F-450 Super Duty 6.8L, Ford F-550 Super Duty 6.8L, Ford F-53 Motorhome Chassis 6.8L
1998-2004 Lincoln Navigator 5.4L
1997-1999 Ford F-250 4.6/5.4L
2004 Ford F-150 Heritage 4.2/4.6/5.4L
2002 Lincoln Blackwood 5.4L</t>
  </si>
  <si>
    <t>KX1FCK25300</t>
  </si>
  <si>
    <t>一支空气滤CA11480 + 一支空调滤CF11775普通款中性盒</t>
  </si>
  <si>
    <t>CA11480 - CF11775</t>
  </si>
  <si>
    <t>2013-2020 Ford Fusion 1.5/1.6/2.0/2.5/2.7L, Lincoln MKZ 2.0/3.0/3.7L
2015-2024 Ford Edge 2.0/2.7/3.5L
2019-2023 Lincoln Nautilus 2.0/2.7L
2016-2018 Lincoln MKX 2.7/3.7L
2017-2020 Lincoln Continental 2.7/3.0/3.7L</t>
  </si>
  <si>
    <t>KX1FCK25600</t>
  </si>
  <si>
    <t>一支空气滤CA8755A + 一支空调滤CF10360普通款中性盒</t>
  </si>
  <si>
    <t>CA8755A - CF10360</t>
  </si>
  <si>
    <t>2003-2004 Chevrolet Silverado 1500 4.3/4.8/5.3/6.0L, Chevrolet Silverado 2500 HD 6.0/6.6/8.1L, Chevrolet Tahoe 4.8/5.3L, GMC Sierra 1500 4.3/4.8/5.3/6.0L, Chevrolet Suburban 1500 5.3L, GMC Yukon 4.8/5.3/6.0L, GMC Sierra 2500 HD 6.0/6.6/8.1L, GMC Yukon XL 1500 5.3/6.0L, Chevrolet Silverado 3500 6.0/6.6/8.1L, Cadillac Escalade 5.3/6.0L, Chevrolet Silverado 2500 6.0L, GMC Sierra 3500 6.0/6.6/8.1L, Cadillac Escalade ESV 6.0L, Cadillac Escalade EXT 6.0L, Chevrolet Suburban 2500 6.0/8.1L, GMC Sierra 2500 6.0L, GMC Yukon XL 2500 6.0/8.1L
2003 Chevrolet Silverado 1500 HD 6.0L, GMC Sierra 1500 HD 6.0L</t>
  </si>
  <si>
    <t>KX1FCK25700</t>
  </si>
  <si>
    <t>一支空气滤CA9997 + 一支空调滤CF10285普通款中性盒</t>
  </si>
  <si>
    <t>CA9997 - CF10285</t>
  </si>
  <si>
    <t>2010-2019 Subaru Outback 2.5/3.6L, Subaru Legacy 2.5/3.6L</t>
  </si>
  <si>
    <t>KX1FCK25800</t>
  </si>
  <si>
    <t>一支空气滤CA10343 + 一支空调滤CF10285普通款中性盒</t>
  </si>
  <si>
    <t>CA10343 - CF10285</t>
  </si>
  <si>
    <t>2007-2021 Toyota Tundra 4.0/4.6/4.7/5.7L
2008-2017 Toyota Sequoia 4.6/4.7/5.7L
2013-2021 Lexus LX570 5.7L, Toyota Land Cruiser 5.7L
2008-2011 Lexus LX570 5.7L, Toyota Land Cruiser 5.7L</t>
  </si>
  <si>
    <t>KX1FCK26000</t>
  </si>
  <si>
    <t>一支空气滤CA11450 + 一支空调滤CF11776普通款中性盒</t>
  </si>
  <si>
    <t>CA11450 - CF11776</t>
  </si>
  <si>
    <t>2013-2018 Nissan Altima 2.5L</t>
  </si>
  <si>
    <t>KX1FCK26100</t>
  </si>
  <si>
    <t>一支空气滤CA10881 + 一支空调滤CF11819普通款中性盒</t>
  </si>
  <si>
    <t>CA10881 - CF11819</t>
  </si>
  <si>
    <t>2011-2015 Hyundai Sonata 2.0/2.4L, Kia Optima 2.0/2.4L
2012 Hyundai Santa Fe 2.4/3.5L
2012-2017 Hyundai Azera 3.3L
2014-2016 Kia Cadenza 3.3L</t>
  </si>
  <si>
    <t>KX1FCK26200</t>
  </si>
  <si>
    <t>一支空气滤CA10242 + 一支空调滤CF10547普通款中性盒</t>
  </si>
  <si>
    <t>CA10242 - CF10547</t>
  </si>
  <si>
    <t>2007-2014 Ford Edge 2.0/3.5/3.7L
2007-2015 Lincoln MKX 3.5/3.7L, Mazda CX-9 3.5/3.7L</t>
  </si>
  <si>
    <t>KX1FCK26300</t>
  </si>
  <si>
    <t>一支空气滤CA9401 + 一支空调滤CF10729普通款中性盒</t>
  </si>
  <si>
    <t>CA9401 - CF10729</t>
  </si>
  <si>
    <t>2011-2015 Ram 1500 3.7/4.7/5.7L, Ram 2500 5.7L, Ram 3500 5.7L</t>
  </si>
  <si>
    <t>KX1FCK26400</t>
  </si>
  <si>
    <t>一支空气滤CA10348 + 一件空调滤CF11777普通款中性盒</t>
  </si>
  <si>
    <t>CA10348 - CF11777</t>
  </si>
  <si>
    <t>2011-2017 Jeep Wrangler 3.6/3.8L
2018 Jeep Wrangler JK 3.6L</t>
  </si>
  <si>
    <t>KX1FCK26500</t>
  </si>
  <si>
    <t>一支空气滤CA7440 + 一件空调滤CF10553普通款中性盒</t>
  </si>
  <si>
    <t>CA7440 - CF10553</t>
  </si>
  <si>
    <t>2005-2021 Nissan Frontier 3.8/4.0L
2005-2012 Nissan Pathfinder 4.0/5.6L
2005-2015 Nissan Xterra 4.0L
2012-2015 Nissan NV2500 4.0/5.6L, Nissan NV1500 4.0L, Nissan NV3500 4.0/5.6L
2009-2012 Suzuki Equator 4.0L</t>
  </si>
  <si>
    <t>KX1FCK26600</t>
  </si>
  <si>
    <t>一支空气滤CA4309 + 一支空调滤CF10140普通款中性盒</t>
  </si>
  <si>
    <t>CA4309 - CF10140</t>
  </si>
  <si>
    <t>2000-2006 Nissan Sentra 1.8/2.0/2.5L
2002-2006 Nissan Altima 2.5/3.5L
2003-2007 Nissan Murano 3.5L, INFINITI G35 3.5L
2004-2008 Nissan Maxima 3.5L
2003-2008 INFINITI FX35 3.5L</t>
  </si>
  <si>
    <t>KX1FCK26800</t>
  </si>
  <si>
    <t>一支空气滤CA11116 + 一支空调滤CF11819普通款中性盒</t>
  </si>
  <si>
    <t>CA11116 - CF11819</t>
  </si>
  <si>
    <t>2011-2015 Hyundai Sonata 2.4L, Kia Optima 2.0/2.4L
2014-2016 Kia Cadenza 3.3L</t>
  </si>
  <si>
    <t>KX1FCK26900</t>
  </si>
  <si>
    <t>一支空气滤CA11215 + 一支空调滤CF12237普通款中性盒</t>
  </si>
  <si>
    <t>CA11215 - CF12237</t>
  </si>
  <si>
    <t>2012-2019 Nissan Versa 1.6L
2014-2018 Nissan Versa Note 1.6L</t>
  </si>
  <si>
    <t>KX1FCK27000</t>
  </si>
  <si>
    <t>一支空气滤CA12066 + 一支空调滤CF11810普通款中性盒</t>
  </si>
  <si>
    <t>CA12066 - CF11810</t>
  </si>
  <si>
    <t>2017-2022 Jeep Compass 2.4L
2015-2020 Jeep Renegade 1.4/2.4L
2016-2018 Fiat 500X 1.4/2.4L</t>
  </si>
  <si>
    <t>KX1FCK27100</t>
  </si>
  <si>
    <t>一支空气滤CA11959 + 一支空调滤CF11966普通款中性盒</t>
  </si>
  <si>
    <t>CA11959 - CF11966</t>
  </si>
  <si>
    <t>2015-2022 Chevrolet Colorado 2.5/2.8/3.6L, GMC Canyon 2.5/2.8/3.6L</t>
  </si>
  <si>
    <t>KX1FCK27300</t>
  </si>
  <si>
    <t>一支空气滤CA9683 + 一支空调滤CF10374普通款中性盒</t>
  </si>
  <si>
    <t>CA9683 - CF10374</t>
  </si>
  <si>
    <t>2005-2015 Toyota Tacoma 4.0L</t>
  </si>
  <si>
    <t>KX1FCK27400</t>
  </si>
  <si>
    <t>一支空气滤CA9564 + 一支空调滤CF10134普通款中性盒</t>
  </si>
  <si>
    <t>CA9564 - CF10134</t>
  </si>
  <si>
    <t>2003-2007 Honda Accord 2.4L
2004-2008 Acura TSX 2.4L</t>
  </si>
  <si>
    <t>KX1FCK27500</t>
  </si>
  <si>
    <t>一支空气滤CA9054 + 一支空调滤CF9597A普通款中性盒</t>
  </si>
  <si>
    <t>CA9054 - CF9597A</t>
  </si>
  <si>
    <t>2001-2007 Dodge Grand Caravan 3.3/3.8L, Chrysler Town &amp; Country 3.3/3.8L, Dodge Caravan 2.4/3.3L
2001-2003 Chrysler Voyager 2.4/3.3L</t>
  </si>
  <si>
    <t>KX1FCK27600</t>
  </si>
  <si>
    <t>一支空气滤CA11877 + 一支空调滤CF12000普通款中性盒</t>
  </si>
  <si>
    <t>CA11877 - CF12000</t>
  </si>
  <si>
    <t>2014-2018 Jeep Cherokee 2.4/3.2L</t>
  </si>
  <si>
    <t>KX1FCK27800</t>
  </si>
  <si>
    <t>一支空气滤CA11206 + 一支空调滤CF10709普通款中性盒</t>
  </si>
  <si>
    <t>CA11206 - CF10709</t>
  </si>
  <si>
    <t>2012-2017 Hyundai Accent 1.6L, Kia Rio 1.6L, Hyundai Veloster 1.6L</t>
  </si>
  <si>
    <t>KX1FCK27900</t>
  </si>
  <si>
    <t>一支空气滤CA4309 + 一支空调滤CF11173普通款中性盒</t>
  </si>
  <si>
    <t>CA4309 - CF11173</t>
  </si>
  <si>
    <t>2009-2014 Nissan Murano 3.5L, Nissan Maxima 3.5L
2007-2012 Nissan Altima 3.5L
2011-2017 Nissan Quest 3.5L</t>
  </si>
  <si>
    <t>KX1FCK28000</t>
  </si>
  <si>
    <t>一支空气滤CA6900 + 一支空调滤CF10550普通款中性盒</t>
  </si>
  <si>
    <t>CA6900 - CF10550</t>
  </si>
  <si>
    <t>2008-2013 Nissan Rogue 2.5L
2014-2015 Nissan Rogue Select 2.5L
2007-2012 Nissan Sentra 2.5L</t>
  </si>
  <si>
    <t>KX1FCK28100</t>
  </si>
  <si>
    <t>一支空气滤CA12268 + 一支空调滤CF12211普通款中性盒</t>
  </si>
  <si>
    <t>CA12268 - CF12211</t>
  </si>
  <si>
    <t>2018-2025 Audi Q5 2.0L, Audi A5 Sportback 2.0L, Audi SQ5 3.0L, Audi A5 Quattro 2.0L
2017-2025 Audi A4 Quattro 2.0L, Audi A4 allroad 2.0L
2020-2025 Audi Q5 PHEV 2.0L
2019-2025 Audi S5 Sportback 3.0L, Audi S4 3.0L
2021-2025 Audi Q5 Sportback 2.0L, Audi SQ5 Sportback 3.0L
2019-2024 Audi S5 3.0L
2017-2018 Audi A4 2.0L</t>
  </si>
  <si>
    <t>KX1FCK28300</t>
  </si>
  <si>
    <t>一支空气滤CA9360 + 一支空调滤CF10285普通款中性盒</t>
  </si>
  <si>
    <t>CA9360 - CF10285</t>
  </si>
  <si>
    <t>2008-2013 Toyota Highlander 2.7/3.5L
2007-2011 Toyota Camry 2.4L</t>
  </si>
  <si>
    <t>KX1FCK28400</t>
  </si>
  <si>
    <t>一支空气滤CA10755 + 一支空调滤CF12157普通款中性盒</t>
  </si>
  <si>
    <t>CA10755 - CF12157</t>
  </si>
  <si>
    <t>2016-2022 Lexus RX350 3.5L
2018-2022 Lexus RX350L 3.5L</t>
  </si>
  <si>
    <t>KX1FCK28500</t>
  </si>
  <si>
    <t>一支空气滤CA11170 + 一支空调滤CF10729普通款中性盒</t>
  </si>
  <si>
    <t>CA11170 - CF10729</t>
  </si>
  <si>
    <t>2011-2019 Dodge Journey 3.6L
2011-2014 Chrysler 200 3.6L, Dodge Avenger 3.6L</t>
  </si>
  <si>
    <t>KX1FCK28600</t>
  </si>
  <si>
    <t>一支空气滤CA10163 + 一支空调滤CF10374普通款中性盒</t>
  </si>
  <si>
    <t>CA10163 - CF10374</t>
  </si>
  <si>
    <t>2005-2023 Toyota Tacoma 2.7L</t>
  </si>
  <si>
    <t>KX1FCK28700</t>
  </si>
  <si>
    <t>一支空气滤CA11426 + 一支空调滤CF12157普通款中性盒</t>
  </si>
  <si>
    <t>CA11426 - CF12157</t>
  </si>
  <si>
    <t>2016-2022 Toyota Prius 1.8L
2020-2025 Toyota Corolla 1.8L
2017-2022 Toyota Prius Prime 1.8L
2019-2022 Toyota Prius AWD-e 1.8L</t>
  </si>
  <si>
    <t>KX1FCK28800</t>
  </si>
  <si>
    <t>一支空气滤CA7440 + 一件空调滤CF10388普通款中性盒</t>
  </si>
  <si>
    <t>CA7440 - CF10388</t>
  </si>
  <si>
    <t>2004-2015 Nissan TITAN 5.6L
2005-2015 Nissan Armada 5.6L
2004-2010 INFINITI QX56 5.6L
2012-2014 Nissan NV3500 5.6L, Nissan NV2500 5.6L</t>
  </si>
  <si>
    <t>KX1FCK28900</t>
  </si>
  <si>
    <t>一支空气滤CA11958 + 一支空调滤CF12152普通款中性盒</t>
  </si>
  <si>
    <t>CA11958 - CF12152</t>
  </si>
  <si>
    <t>2015-2023 Ford Mustang 2.3/3.7/5.0L</t>
  </si>
  <si>
    <t>KX1FCK29000</t>
  </si>
  <si>
    <t>一支空气滤CA9054 + 一支空调滤CF10743普通款中性盒</t>
  </si>
  <si>
    <t>CA9054 - CF10743</t>
  </si>
  <si>
    <t>2008-2010 Dodge Grand Caravan 3.3/3.8/4.0L, Chrysler Town &amp; Country 3.3/3.8/4.0L
2009-2010 Volkswagen Routan 3.8/4.0L</t>
  </si>
  <si>
    <t>KX1FCK29100</t>
  </si>
  <si>
    <t>一支空气滤CA12967 + 一支空调滤CF12312普通款中性盒</t>
  </si>
  <si>
    <t>CA12967 - CF12312</t>
  </si>
  <si>
    <t>2021-2025 Nissan Rogue 1.5/2.5L</t>
  </si>
  <si>
    <t>KX1FCK29200</t>
  </si>
  <si>
    <t>一支空气滤CA9054 + 一支空调滤CF10729普通款中性盒</t>
  </si>
  <si>
    <t>CA9054 - CF10729</t>
  </si>
  <si>
    <t>2008-2014 Dodge Avenger 2.4/2.7/3.5L
2011-2014 Chrysler 200 2.4L
2007-2010 Chrysler Sebring 2.4/2.7/3.5L</t>
  </si>
  <si>
    <t>KX1FCK29300</t>
  </si>
  <si>
    <t>一支空气滤CA11251 + 一支空调滤CF11966普通款中性盒</t>
  </si>
  <si>
    <t>CA11251 - CF11966</t>
  </si>
  <si>
    <t>2014-2020 Chevrolet Impala 2.5/3.6L
2013-2019 Cadillac XTS 3.6L</t>
  </si>
  <si>
    <t>KX1FCK29400</t>
  </si>
  <si>
    <t>一支空气滤CA11251 + 一支空调滤CF10775普通款中性盒</t>
  </si>
  <si>
    <t>CA11251 - CF10775</t>
  </si>
  <si>
    <t>2013-2015 Chevrolet Malibu 2.0/2.5L
2016 Chevrolet Malibu Limited 2.5L
2015-2017 Buick Regal 2.0L</t>
  </si>
  <si>
    <t>KX1FCK29500</t>
  </si>
  <si>
    <t>一支空气滤CA12777 + 一支空调滤CF11643普通款中性盒</t>
  </si>
  <si>
    <t>CA12777 - CF11643</t>
  </si>
  <si>
    <t>2019-2025 Volkswagen Jetta 1.4/1.5L
2022-2024 Volkswagen Taos 1.5L
2019-2021 Volkswagen Golf 1.4L
2019 Volkswagen Golf SportWagen 1.4L</t>
  </si>
  <si>
    <t>KX1FCK29600</t>
  </si>
  <si>
    <t>一支空气滤CA11759 + 一支空调滤CF11719普通款中性盒</t>
  </si>
  <si>
    <t>CA11759 - CF11719</t>
  </si>
  <si>
    <t>2015-2018 Mercedes-Benz C300 2.0L
2016-2019 Mercedes-Benz GLC300 2.0L
2017-2019 Mercedes-Benz E300 2.0L
2018-2020 Mercedes-Benz GLC350e 2.0L
2016-2018 Mercedes-Benz C350e 2.0L</t>
  </si>
  <si>
    <t>KX1FCK29700</t>
  </si>
  <si>
    <t>一支空气滤CA11759 + 一支空调滤CF11855普通款中性盒</t>
  </si>
  <si>
    <t>CA11759 - CF11855</t>
  </si>
  <si>
    <t>KX1FCK29800</t>
  </si>
  <si>
    <t>一支空气滤CA12371 + 一支空调滤CF12307普通款中性盒</t>
  </si>
  <si>
    <t>CA12371 - CF12307</t>
  </si>
  <si>
    <t>2019-2021 Jeep Cherokee 2.4/3.2L</t>
  </si>
  <si>
    <t>KX1FCK29900</t>
  </si>
  <si>
    <t>一支空气滤CA9898 + 一件空调滤CF10218普通款中性盒</t>
  </si>
  <si>
    <t>CA9898 - CF10218</t>
  </si>
  <si>
    <t>2004-2009 Mazda 3 2.0/2.3L
2012-2015 Mazda 5 2.5L
2006-2010 Mazda 5 2.3L</t>
  </si>
  <si>
    <t>KX1FCK30000</t>
  </si>
  <si>
    <t>一支空气滤CA9492 + 一支空调滤CF10141普通款中性盒</t>
  </si>
  <si>
    <t>CA9492 - CF10141</t>
  </si>
  <si>
    <t>2005-2009 Chevrolet Equinox 3.4/3.6L
2002-2007 Saturn Vue 2.2/2.4/3.0/3.5L
2006-2009 Pontiac Torrent 3.4/3.6L
2007-2009 Suzuki XL-7 3.6L</t>
  </si>
  <si>
    <t>KX1FCK30100</t>
  </si>
  <si>
    <t>一支空气滤CA10516 + 一支空调滤CF10729普通款中性盒</t>
  </si>
  <si>
    <t>CA10516 - CF10729</t>
  </si>
  <si>
    <t>2009-2020 Dodge Journey 2.4/3.5L</t>
  </si>
  <si>
    <t>KX1FCK30200</t>
  </si>
  <si>
    <t>一支空气滤CA10468 + 一支空调滤CF10134普通款中性盒</t>
  </si>
  <si>
    <t>CA10468 - CF10134</t>
  </si>
  <si>
    <t>2008-2012 Honda Accord 3.5L
2009-2014 Acura TL 3.5/3.7L
2012-2015 Honda Crosstour 3.5L
2010-2011 Honda Accord Crosstour 3.5L
2010-2014 Acura TSX 3.5L</t>
  </si>
  <si>
    <t>KX1FCK30300</t>
  </si>
  <si>
    <t>一支空气滤CA9600 + 一支空调滤CF10134普通款中性盒</t>
  </si>
  <si>
    <t>CA9600 - CF10134</t>
  </si>
  <si>
    <t>2003-2007 Honda Accord 3.0L
2004-2006 Acura TL 3.2L
2005-2008 Acura RL 3.5L</t>
  </si>
  <si>
    <t>KX1FCK30400</t>
  </si>
  <si>
    <t>一支空气滤CA11053A + 一支空调滤CF10709普通款中性盒</t>
  </si>
  <si>
    <t>CA11053A - CF10709</t>
  </si>
  <si>
    <t>2010-2015 Hyundai Tucson 2.0/2.4L
2011-2016 Kia Sportage 2.4L
2013 Kia Forte 2.0L, Kia Forte Koup 2.0L</t>
  </si>
  <si>
    <t>KX1FCK30500</t>
  </si>
  <si>
    <t>一支空气滤CA11456 + 一支空调滤CF11920普通款中性盒</t>
  </si>
  <si>
    <t>CA11456 - CF11920</t>
  </si>
  <si>
    <t>2013-2019 Ford Escape 2.5L
2014-2022 Ford Transit Connect 2.5L</t>
  </si>
  <si>
    <t>KX1FCK30600</t>
  </si>
  <si>
    <t>一支空气滤CA11500 + 一支空调滤CF11819普通款中性盒</t>
  </si>
  <si>
    <t>CA11500 - CF11819</t>
  </si>
  <si>
    <t>2013-2016 Hyundai Santa Fe Sport 2.0/2.4L
2013-2018 Hyundai Santa Fe 3.3L
2019 Hyundai Santa Fe XL 3.3L</t>
  </si>
  <si>
    <t>KX1FCK30800</t>
  </si>
  <si>
    <t>一支空气滤CA10881 + 一支空调滤CF11664普通款中性盒</t>
  </si>
  <si>
    <t>CA10881 - CF11664</t>
  </si>
  <si>
    <t>2011-2013 Kia Sorento 2.4/3.5L
2010-2011 Hyundai Santa Fe 2.4/3.5L</t>
  </si>
  <si>
    <t>KX1FCK31000</t>
  </si>
  <si>
    <t>一支空气滤CA11943 + 一支空调滤CF11819普通款中性盒</t>
  </si>
  <si>
    <t>CA11943 - CF11819</t>
  </si>
  <si>
    <t>2017-2018 Hyundai Santa Fe Sport 2.0/2.4L
2015-2021 Kia Sedona 3.3L</t>
  </si>
  <si>
    <t>KX1FCK31100</t>
  </si>
  <si>
    <t>一支空气滤CA10885 + 一支空调滤CF10134普通款中性盒</t>
  </si>
  <si>
    <t>CA10885 - CF10134</t>
  </si>
  <si>
    <t>2010-2011 Honda CR-V 2.4L</t>
  </si>
  <si>
    <t>KX1FCK31400</t>
  </si>
  <si>
    <t>一支空气滤CA9898 + 一件空调滤CF11672普通款中性盒</t>
  </si>
  <si>
    <t>CA9898 - CF11672</t>
  </si>
  <si>
    <t>2010-2013 Mazda 3 2.0/2.3/2.5L</t>
  </si>
  <si>
    <t>KX1FCK31500</t>
  </si>
  <si>
    <t>一支空气滤CA9360 + 一支空调滤CF9846A普通款中性盒</t>
  </si>
  <si>
    <t>CA9360 - CF9846A</t>
  </si>
  <si>
    <t>2004-2009 Toyota Sienna 3.3/3.5L</t>
  </si>
  <si>
    <t>KX1FCK31600</t>
  </si>
  <si>
    <t>一支空气滤CA7440 + 一支空调滤CF10363普通款中性盒</t>
  </si>
  <si>
    <t>CA7440 - CF10363</t>
  </si>
  <si>
    <t>1999-2004 Jeep Grand Cherokee 4.0/4.7L</t>
  </si>
  <si>
    <t>KX1FCK31700</t>
  </si>
  <si>
    <t>一支空气滤CA10228 + 一件空调滤CF10747普通款中性盒</t>
  </si>
  <si>
    <t>CA10228 - CF10747</t>
  </si>
  <si>
    <t>2008-2012 Jeep Liberty 3.7L
2007-2011 Dodge Nitro 3.7/4.0L</t>
  </si>
  <si>
    <t>KX1FCK31800</t>
  </si>
  <si>
    <t>一支空气滤CA11305 + 一支空调滤CF11472普通款中性盒</t>
  </si>
  <si>
    <t>CA11305 - CF11472</t>
  </si>
  <si>
    <t>2013-2016 BMW 328i xDrive 2.0L
2014-2016 BMW 328i 2.0L, BMW 428i 2.0L, BMW 428i xDrive 2.0L, BMW 328i GT xDrive 2.0L, BMW 228i 2.0L
2013-2018 BMW 320i 2.0L, BMW 320i xDrive 2.0L
2014-2018 BMW 328d xDrive 2.0L, BMW 328d 2.0L
2015-2016 BMW 428i Gran Coupe 2.0L, BMW 428i xDrive Gran Coupe 2.0L, BMW 228i xDrive 2.0L</t>
  </si>
  <si>
    <t>KX1FCK31900</t>
  </si>
  <si>
    <t>一支空气滤CA10159 + 一支空调滤CF9846A普通款中性盒</t>
  </si>
  <si>
    <t>CA10159 - CF9846A</t>
  </si>
  <si>
    <t>2004-2009 Toyota Prius 1.5L</t>
  </si>
  <si>
    <t>KX1FCK32100</t>
  </si>
  <si>
    <t>一支空气滤CA12800 + 一支空调滤CF11719普通款中性盒</t>
  </si>
  <si>
    <t>CA12800 - CF11719</t>
  </si>
  <si>
    <t>2020-2023 Mercedes-Benz GLC300 2.0L, Mercedes-Benz E350 2.0L
2019-2023 Mercedes-Benz C300 2.0L</t>
  </si>
  <si>
    <t>KX1FCK32200</t>
  </si>
  <si>
    <t>一支空气滤CA11942 + 一支空调滤CF12159普通款中性盒</t>
  </si>
  <si>
    <t>CA11942 - CF12159</t>
  </si>
  <si>
    <t>2016-2020 Kia Optima 2.0/2.4L
2016-2019 Hyundai Sonata 2.0L</t>
  </si>
  <si>
    <t>KX1FCK32500</t>
  </si>
  <si>
    <t>一支空气滤CA11949 + 一支空调滤CF11182普通款中性盒</t>
  </si>
  <si>
    <t>CA11949 - CF11182</t>
  </si>
  <si>
    <t>2015-2020 Honda Fit 1.5L</t>
  </si>
  <si>
    <t>KX1FCK32600</t>
  </si>
  <si>
    <t>一支空气滤CA11482 + 一支空调滤CF11775普通款中性盒</t>
  </si>
  <si>
    <t>CA11482 - CF11775</t>
  </si>
  <si>
    <t>2013-2020 Ford Fusion 2.0L, Lincoln MKZ 2.0L
2019-2020 Ford SSV Plug-In Hybrid 2.0L</t>
  </si>
  <si>
    <t>KX1FCK32800</t>
  </si>
  <si>
    <t>一支空气滤CA9997 + 一支空调滤CF9846A普通款中性盒</t>
  </si>
  <si>
    <t>CA9997 - CF9846A</t>
  </si>
  <si>
    <t>2005-2009 Subaru Outback 2.5/3.0L, Subaru Legacy 2.5/3.0L
2008-2014 Subaru Tribeca 3.6L
2006-2007 Subaru B9 Tribeca 3.0L</t>
  </si>
  <si>
    <t>KX1FCK32900</t>
  </si>
  <si>
    <t>一支空气滤CA10650 + 一支空调滤CF11182普通款中性盒</t>
  </si>
  <si>
    <t>CA10650 - CF11182</t>
  </si>
  <si>
    <t>2009-2013 Honda Fit 1.5L</t>
  </si>
  <si>
    <t>KX1FCK33000</t>
  </si>
  <si>
    <t>一支空气滤CA11413 + 一支空调滤CF10134普通款中性盒</t>
  </si>
  <si>
    <t>CA11413 - CF10134</t>
  </si>
  <si>
    <t>2013-2018 Acura RDX 3.5L</t>
  </si>
  <si>
    <t>KX1FCK33200</t>
  </si>
  <si>
    <t>一支空气滤CA12800 + 一支空调滤CF11855普通款中性盒</t>
  </si>
  <si>
    <t>CA12800 - CF11855</t>
  </si>
  <si>
    <t>2020-2023 Mercedes-Benz GLC300 2.0L
2019-2023 Mercedes-Benz C300 2.0L</t>
  </si>
  <si>
    <t>KX1FCK33300</t>
  </si>
  <si>
    <t>一支空气滤CA10347 + 一支空调滤CF10285普通款中性盒</t>
  </si>
  <si>
    <t>CA10347 - CF10285</t>
  </si>
  <si>
    <t>2006-2013 Lexus IS250 2.5L, Lexus IS350 3.5L
2007-2011 Lexus GS350 3.5L
2006-2007 Lexus GS430 4.3L</t>
  </si>
  <si>
    <t>KX1FCK33600</t>
  </si>
  <si>
    <t>一支空气滤CA11426 + 一支空调滤CF10285普通款中性盒</t>
  </si>
  <si>
    <t>CA11426 - CF10285</t>
  </si>
  <si>
    <t>2012-2019 Toyota Prius C 1.5L
2016 Toyota Prius 1.8L</t>
  </si>
  <si>
    <t>KX1FCK33700</t>
  </si>
  <si>
    <t>一支空气滤CA11431 + 一支空调滤CF10374普通款中性盒</t>
  </si>
  <si>
    <t>CA11431 - CF10374</t>
  </si>
  <si>
    <t>2013-2016 Dodge Dart 1.4/2.0/2.4L</t>
  </si>
  <si>
    <t>KX1FCK33900</t>
  </si>
  <si>
    <t>一支空气滤CA10470 + 一支空调滤CF10728普通款中性盒</t>
  </si>
  <si>
    <t>CA10470 - CF10728</t>
  </si>
  <si>
    <t>2007-2010 Hyundai Elantra 2.0L</t>
  </si>
  <si>
    <t>KX1FCK34100</t>
  </si>
  <si>
    <t>一支空气滤CA9687 + 一支空调滤CF8631A普通款中性盒</t>
  </si>
  <si>
    <t>CA9687 - CF8631A</t>
  </si>
  <si>
    <t>2004 Ford F-150 5.4L
2005 Lincoln Navigator 5.4L</t>
  </si>
  <si>
    <t>KX1FCK34200</t>
  </si>
  <si>
    <t>一支空气滤CA12289 + 一支空调滤CF12214普通款中性盒</t>
  </si>
  <si>
    <t>CA12289 - CF12214</t>
  </si>
  <si>
    <t>2018-2022 Toyota C-HR 2.0L</t>
  </si>
  <si>
    <t>KX1FCK34300</t>
  </si>
  <si>
    <t>一支空气滤CA10015 + 一支空调滤CF10134普通款中性盒</t>
  </si>
  <si>
    <t>CA10015 - CF10134</t>
  </si>
  <si>
    <t>2006-2014 Honda Ridgeline 3.5L</t>
  </si>
  <si>
    <t>KX1FCK34500</t>
  </si>
  <si>
    <t>一支空气滤CA9360 + 一支空调滤CF10157普通款中性盒</t>
  </si>
  <si>
    <t>CA9360 - CF10157</t>
  </si>
  <si>
    <t>2004-2006 Lexus RX330 3.3L
2002-2003 Lexus ES300 3.0L</t>
  </si>
  <si>
    <t>KX1FCK34600</t>
  </si>
  <si>
    <t>一支空气滤CA12071 + 一支空调滤CF11472普通款中性盒</t>
  </si>
  <si>
    <t>CA12071 - CF11472</t>
  </si>
  <si>
    <t>2017-2019 BMW 330i xDrive 2.0L, BMW 330i 2.0L, BMW 330i GT xDrive 2.0L, BMW 340i GT xDrive 3.0L
2017-2020 BMW 430i 2.0L, BMW 430i Gran Coupe 2.0L, BMW 430i xDrive 2.0L, BMW 430i xDrive Gran Coupe 2.0L, BMW 440i xDrive 3.0L, BMW 440i 3.0L, BMW 440i xDrive Gran Coupe 3.0L, BMW 440i Gran Coupe 3.0L
2017-2021 BMW 230i xDrive 2.0L, BMW 230i 2.0L, BMW M240i 3.0L, BMW M240i xDrive 3.0L
2016-2018 BMW 330e 2.0L, BMW 340i 3.0L
2017-2018 BMW 340i xDrive 3.0L</t>
  </si>
  <si>
    <t>KX1FCK34700</t>
  </si>
  <si>
    <t>一支空气滤CA6900 + 一支空调滤CF10743普通款中性盒</t>
  </si>
  <si>
    <t>CA6900 - CF10743</t>
  </si>
  <si>
    <t>2016-2024 INFINITI Q50 3.0L
2009-2012 INFINITI FX35 3.5L
2014-2017 INFINITI QX70 3.7/5.0L
2017-2020 INFINITI Q60 3.0L
2013 INFINITI FX37 3.7L
2022 INFINITI Q60 3.0L
2009-2013 INFINITI FX50 5.0L</t>
  </si>
  <si>
    <t>KX1FCK34900</t>
  </si>
  <si>
    <t>一支空气滤CA11503 + 一支空调滤CF10373普通款中性盒</t>
  </si>
  <si>
    <t>CA11503 - CF10373</t>
  </si>
  <si>
    <t>2013-2018 Volkswagen Jetta 1.4L</t>
  </si>
  <si>
    <t>KX1FCK35100</t>
  </si>
  <si>
    <t>一支空气滤CA10470 + 一支空调滤CF10709普通款中性盒</t>
  </si>
  <si>
    <t>CA10470 - CF10709</t>
  </si>
  <si>
    <t>2010-2013 Kia Forte 2.0/2.4L, Kia Forte Koup 2.0/2.4L</t>
  </si>
  <si>
    <t>KX1FCK35300</t>
  </si>
  <si>
    <t>一支空气滤CA10694 + 一支空调滤CF10733普通款中性盒</t>
  </si>
  <si>
    <t>CA10694 - CF10733</t>
  </si>
  <si>
    <t>2007-2015 Mini Cooper 1.6L
2011-2016 Mini Cooper Countryman 1.6L
2013-2016 Mini Cooper Paceman 1.6L</t>
  </si>
  <si>
    <t>KX1FCK35400</t>
  </si>
  <si>
    <t>一支空气滤CA11206 + 一支空调滤CF10776普通款中性盒</t>
  </si>
  <si>
    <t>CA11206 - CF10776</t>
  </si>
  <si>
    <t>2012-2013 Kia Soul 1.6/2.0L</t>
  </si>
  <si>
    <t>KX1FCK35500</t>
  </si>
  <si>
    <t>一支空气滤CA12289 + 一支空调滤CF10285普通款中性盒</t>
  </si>
  <si>
    <t>CA12289 - CF10285</t>
  </si>
  <si>
    <t>2019 Toyota Corolla 1.8L
2016-2020 Toyota Mirai -L</t>
  </si>
  <si>
    <t>KX1FCK35800</t>
  </si>
  <si>
    <t>一支空气滤CA11500 + 一支空调滤CF11664普通款中性盒</t>
  </si>
  <si>
    <t>CA11500 - CF11664</t>
  </si>
  <si>
    <t>2014-2015 Kia Sorento 2.4/3.3L</t>
  </si>
  <si>
    <t>KX1FCK36000</t>
  </si>
  <si>
    <t>一支空气滤CA7351 + 一支空调滤CF10132普通款中性盒</t>
  </si>
  <si>
    <t>CA7351 - CF10132</t>
  </si>
  <si>
    <t>2000-2004 Toyota Avalon 3.0L</t>
  </si>
  <si>
    <t>KX1FCK36100</t>
  </si>
  <si>
    <t>一支空气滤CA12813 + 一支空调滤CF12772普通款中性盒</t>
  </si>
  <si>
    <t>CA12813 - CF12772</t>
  </si>
  <si>
    <t>2022-2025 Ford Maverick 2.5L
2020-2025 Ford Escape 2.5L
2021-2025 Lincoln Corsair 2.5L</t>
  </si>
  <si>
    <t>KX1FCK36200</t>
  </si>
  <si>
    <t>一支空气滤CA11259 + 一件空调滤CF11672普通款中性盒</t>
  </si>
  <si>
    <t>CA11259 - CF11672</t>
  </si>
  <si>
    <t>2012-2013 Mazda 3 2.0L</t>
  </si>
  <si>
    <t>KX1FCK36300</t>
  </si>
  <si>
    <t>一支空气滤CA7440 + 一支空调滤CF10743普通款中性盒</t>
  </si>
  <si>
    <t>CA7440 - CF10743</t>
  </si>
  <si>
    <t>2022-2025 Nissan Frontier 3.8L</t>
  </si>
  <si>
    <t>KX1FCK36400</t>
  </si>
  <si>
    <t>一支空气滤CA10802 + 一支空调滤CF10134普通款中性盒</t>
  </si>
  <si>
    <t>CA10802 - CF10134</t>
  </si>
  <si>
    <t>2009-2014 Acura TSX 2.4L</t>
  </si>
  <si>
    <t>KX1FCK36500</t>
  </si>
  <si>
    <t>一支空气滤CA9492 + 一支空调滤CF8804A普通款中性盒</t>
  </si>
  <si>
    <t>CA9492 - CF8804A</t>
  </si>
  <si>
    <t>2006-2011 Cadillac DTS 4.6L</t>
  </si>
  <si>
    <t>KX1FCK36800</t>
  </si>
  <si>
    <t>一支空气滤CA12967 + 一支空调滤CF10140普通款中性盒</t>
  </si>
  <si>
    <t>CA12967 - CF10140</t>
  </si>
  <si>
    <t>2022-2024 Mitsubishi Outlander 2.5L</t>
  </si>
  <si>
    <t>KX1FCK36900</t>
  </si>
  <si>
    <t>一支空气滤CA10881 + 一支空调滤CF10896普通款中性盒</t>
  </si>
  <si>
    <t>CA10881 - CF10896</t>
  </si>
  <si>
    <t>2011-2012 Hyundai Santa Fe 2.4/3.5L</t>
  </si>
  <si>
    <t>KX1FCK37100</t>
  </si>
  <si>
    <t>一支空气滤CA4309 + 一支空调滤CF10745普通款中性盒</t>
  </si>
  <si>
    <t>CA4309 - CF10745</t>
  </si>
  <si>
    <t>2004-2008 Subaru Forester 2.5L</t>
  </si>
  <si>
    <t>KX1FCK37200</t>
  </si>
  <si>
    <t>一支空气滤CA11482 + 一支空调滤CF11920普通款中性盒</t>
  </si>
  <si>
    <t>CA11482 - CF11920</t>
  </si>
  <si>
    <t>2013-2018 Ford C-Max 2.0L</t>
  </si>
  <si>
    <t>KX1FCK37400</t>
  </si>
  <si>
    <t>一支空气滤CA12066 + 一支空调滤CF10413普通款中性盒</t>
  </si>
  <si>
    <t>CA12066 - CF10413</t>
  </si>
  <si>
    <t>2015-2022 Ram ProMaster City 2.4L</t>
  </si>
  <si>
    <t>KX1FCK37600</t>
  </si>
  <si>
    <t>一支空气滤CA8918 + 一支空调滤CF9846A普通款中性盒</t>
  </si>
  <si>
    <t>CA8918 - CF9846A</t>
  </si>
  <si>
    <t>2003-2009 Toyota 4Runner 4.7L</t>
  </si>
  <si>
    <t>KX1FCK37700</t>
  </si>
  <si>
    <t>一支空气滤CA4309 + 一支空调滤CF10377普通款中性盒</t>
  </si>
  <si>
    <t>CA4309 - CF10377</t>
  </si>
  <si>
    <t>2002-2007 Subaru Impreza 2.0/2.5L
2005-2006 Saab 9-2X 2.0/2.5L</t>
  </si>
  <si>
    <t>PT1FCK03300</t>
  </si>
  <si>
    <t>（PT）1支空调滤CF12936 + 1支空气滤CA11943普通款中性盒</t>
  </si>
  <si>
    <t>CA11943 - CF12936</t>
  </si>
  <si>
    <t>Palisade (2020-2025)</t>
  </si>
  <si>
    <t>B0D2HQXTR6:31.91/289.39/9233.75(ITESIER_CN)
B0DQ8Y7G8W:29.27/110.11/3222.65(SERVKITOUR)
B0CTBH7GBM:30.59/83.64/2558.69(COCOAUTO_)
B0DNN3JLR4:20.93/29.33/613.8(LTZLL)
B0D791SBYS:19.78/24.53/485.17(Forccord_CN)</t>
  </si>
  <si>
    <t>PT1FCK03400</t>
  </si>
  <si>
    <t>（PT）1支空调滤CF11182 + 1支空气滤CA12051普通款中性盒</t>
  </si>
  <si>
    <t>CA12051 - CF11182</t>
  </si>
  <si>
    <t>CRV Hybrid (2023-2025), Accord Hybrid (2023-2025), Civic Hybrid (2025)</t>
  </si>
  <si>
    <t>B0DZY385G8:29.39/232.66/6837.62(ITESIER_CN)
B0DK4N29C2:22.47/118.35/2658.95(RVgolf_)
B0DGCY5VDN:27.41/95.52/2618.64(ITESIER_CN)
B0FGXFL5Q1:25.64/40.33/1034.19(nan)
B0FF2JQ94T:23.99/16.26/390.07(nan)</t>
  </si>
  <si>
    <t>PT1FCK03500</t>
  </si>
  <si>
    <t>（PT）1支空调滤CF12157 + 1支空气滤CA12289普通款中性盒</t>
  </si>
  <si>
    <t>CA12289 - CF12157</t>
  </si>
  <si>
    <t>RAV4 Hybrid (2019-2025), Sienna Venza (2021-2025), Camry Hybird (2018-2025), Highlander/Grand Highlander Hybrid (2020-2025), RAV4 Prime</t>
  </si>
  <si>
    <t>B0F2B1L2X5:28.87/289.49/8356.48(nan)
B0DSPPZNF1:25.27/147.31/3721.99(Capume_CN)
B0FD8J7D7G:25.55/49.0/1251.81(nan)
B0CM2WBYJQ:24.4/3.2/78.03(RUITO_CN)</t>
  </si>
  <si>
    <t>PT1FCK03600</t>
  </si>
  <si>
    <t>（PT）1支空调滤CF10374 + 1支空气滤CA11895普通款中性盒</t>
  </si>
  <si>
    <t>CA11895 - CF10374</t>
  </si>
  <si>
    <t>2016-2023 Toyota Tacoma V6</t>
  </si>
  <si>
    <t>B0DL6GFF6Z:29.73/136.08/4046.05(ITESIER_CN)
B0D791QMJK:23.55/79.19/1864.74(Forccord_CN)
B0DZH9K8TK:27.98/42.36/1185.1(nan)
B0F2TFJDSG:27.98/33.84/946.91(nan)
B0DZH643NQ:31.19/30.36/946.71(Dacall)</t>
  </si>
  <si>
    <t>PT1FCK03700</t>
  </si>
  <si>
    <t>（PT）1支空调滤CF11182 + 1支空气滤CA12061普通款中性盒</t>
  </si>
  <si>
    <t>CA12061 - CF11182</t>
  </si>
  <si>
    <t>odyssey 2018-2025</t>
  </si>
  <si>
    <t>B0DVZR8HWW:29.62/224.75/6656.05(ITESIER_CN)
B0D8KBWMVM:29.59/71.16/2105.37(COCOAUTO_)
B0F8NHW1P8:23.74/27.26/647.16(nan)
B0DPSZWNZC:20.22/12.68/256.45(LTZLL)</t>
  </si>
  <si>
    <t>PT1FCK03800</t>
  </si>
  <si>
    <t>（PT）1支空调滤CF11966 + 1支空气滤CA12405普通款中性盒</t>
  </si>
  <si>
    <t>CA12405 - CF11966</t>
  </si>
  <si>
    <t>Silverado 1500 Sierra 1500 (2019-2025)/ Silverado 2500 HD Sierra 2500HD Gasoline ONLY (2020-2025)/ Suburban Yukon Tahoe (2021-2025)</t>
  </si>
  <si>
    <t>B0DQSKLN8Q:32.95/170.19/5608.4(ITESIER_CN)
B0DKFFPMBD:28.32/104.97/2973.27(Capume_CN)
B0F1C1639J:22.07/50.51/1114.67(FLTRUCKTOP_CN)</t>
  </si>
  <si>
    <t>PT1FCK03901</t>
  </si>
  <si>
    <t>（PT）1支空调滤 CF12820 + 1支空气滤 CA12817普通款中性盒</t>
  </si>
  <si>
    <t>CA12817 - CF12820</t>
  </si>
  <si>
    <t>Tucson Hybrid (2022-2025), Santa Fe Hybrid (2021-2025), Sorento Hybrid (2021-2025),Sport-age Hybrid (2023-2025)</t>
  </si>
  <si>
    <t>B0DXZPF5DT:25.42/118.58/3014.45(Capume_CN)
B0D9NV52HP:30.1/80.87/2434.56(OIFILLIO_CN)
B0DXZXFX6B:24.55/73.04/1793.15(JOJOMARK_CN)
B0D2NDN49Q:21.23/26.69/566.71(Forccord_CN)
B0DHKC264G:18.47/9.16/169.26(RVgolf_)</t>
  </si>
  <si>
    <t>PT1FCK04000</t>
  </si>
  <si>
    <t>（PT）1支空调滤CF11966 + 1支空气滤CA12166普通款中性盒</t>
  </si>
  <si>
    <t>CA12166 - CF11966</t>
  </si>
  <si>
    <t>Traverse 2018-2025, Blazer 2019-2025, Acadia 2017-2025, Enclave 2018-2025, XT5 2017-2025, XT6 2020-2025</t>
  </si>
  <si>
    <t>B0DY7LH5G1:28.73/241.46/6936.45(Capume_CN)
B0DXJYTGKG:22.83/5.97/136.26(Forccord_CN)</t>
  </si>
  <si>
    <t>PT1FCK04100</t>
  </si>
  <si>
    <t>（PT）1支空调滤CF12775 + 1支空气滤CA12295普通款中性盒</t>
  </si>
  <si>
    <t>CA12295 - CF12775</t>
  </si>
  <si>
    <t>Subaru Forester 2.5L 2023 2022 2021 2020 2019</t>
  </si>
  <si>
    <t>B0F4K9GZ7K:28.79/121.17/3488.52(nan)
B0DC6MJ3SP:24.75/64.75/1602.89(RVgolf_)
B0C4F3BG68:23.0/61.5/1414.36(Forccord_CN)</t>
  </si>
  <si>
    <t>PT1FCK04200</t>
  </si>
  <si>
    <t>（PT）1支空调滤CF11966 + 1支空气滤CA12404普通款中性盒</t>
  </si>
  <si>
    <t>CA12404 - CF11966</t>
  </si>
  <si>
    <t>Silverado 1500 (2019-2026); Sierra 1500(2020-26); Suburban (2021-26); Tahoe (2021-26)</t>
  </si>
  <si>
    <t>B0DKFFPMBD:28.32/104.97/2973.27(Capume_CN)
B0DJNLJ4YT:22.95/74.83/1717.64(Forccord_CN)
B0D3P8WVKG:21.85/59.14/1292.21(Forccord_CN)
B0D9BLXYPJ:28.41/5.78/164.28(Forccord_CN)</t>
  </si>
  <si>
    <t>PT1FCK04300</t>
  </si>
  <si>
    <t>（PT）1支空调滤CF12773 + 1支空气滤CA12668普通款中性盒</t>
  </si>
  <si>
    <t>CA12668 - CF12773</t>
  </si>
  <si>
    <t>Mazda CX-30 CX30 (2020 2021 2022 2023 2024), Mazda 3 (2019-2024)</t>
  </si>
  <si>
    <t>B0DJCSF4C2:29.55/239.41/7075.6(ITESIER_CN)</t>
  </si>
  <si>
    <t>PT1FCK04400</t>
  </si>
  <si>
    <t>（PT）1支空调滤CF11176 + 1支空气滤CA10242普通款中性盒</t>
  </si>
  <si>
    <t>CA10242 - CF11176</t>
  </si>
  <si>
    <t>Explorer (2011-2019),Police Interceptor Utility (2013-2019)</t>
  </si>
  <si>
    <t>B0DH2PBBT9:26.88/111.2/2989.17(nan)
B0F47TPCR7:27.95/84.89/2373.16(nan)
B0DK4NPJGF:20.4/8.29/169.07(RVgolf_)
B0DHG31P29:17.16/9.7/166.47(Forccord_CN)</t>
  </si>
  <si>
    <t>PT1FCK04500</t>
  </si>
  <si>
    <t>（PT）1支空调滤CF11966 + 1支空气滤CA12260普通款中性盒</t>
  </si>
  <si>
    <t>CA12260 - CF11966</t>
  </si>
  <si>
    <t>Chevrolet Chevy Equinox 2018-2025 2026, GMC Terrain 2018-2025 2026</t>
  </si>
  <si>
    <t>B0DJQVHWFT:22.13/88.92/1967.66(RVgolf_)
B0D8Q11LVP:21.52/53.6/1153.41(Forccord_CN)
B0F5HLNBLM:25.68/25.54/655.84(nan)
B0FF9BHSNK:21.59/16.91/365.1(nan)</t>
  </si>
  <si>
    <t>PT1FCK04600</t>
  </si>
  <si>
    <t>（PT）1支空调滤CF11182 + 1支空气滤CA12932普通款中性盒</t>
  </si>
  <si>
    <t>CA12932 - CF11182</t>
  </si>
  <si>
    <t>Honda Civic 22-26, Accord 23-25, CR-V CRV 23-26</t>
  </si>
  <si>
    <t>B0CL7TVLSQ:20.06/66.18/1327.52(HMENG_CN)
B0DJNSNM95:21.08/39.12/824.94(Forccord_CN)
B0DHGFLNGB:20.24/30.79/623.33(Forccord_CN)
B0F9DYS1JH:23.99/22.73/545.4(nan)
B0DHV86KTJ:20.47/13.62/278.77(RVgolf_)</t>
  </si>
  <si>
    <t>PT1FCK04701</t>
  </si>
  <si>
    <t>（PT）1支空调滤 CF11671 + 1支空气滤 CA9401普通款中性盒</t>
  </si>
  <si>
    <t>CA9401 - CF11671</t>
  </si>
  <si>
    <t>2011-2024 Ram 1500 (NOT FOR 6.2L), Ram 1500 Classic (2019-2024), for Dodge Ram 1500</t>
  </si>
  <si>
    <t>B0FBGMFKHM:26.81/137.2/3678.2(nan)
B0DHV72D36:20.94/29.27/613.06(RVgolf_)</t>
  </si>
  <si>
    <t>PT1FCK04800</t>
  </si>
  <si>
    <t>（PT）1支空调滤CF11966 + 1支空气滤CA12814普通款中性盒</t>
  </si>
  <si>
    <t>CA12814 - CF11966</t>
  </si>
  <si>
    <t>2024-2025 Trax, 2021-2025 Trailblazer, 2020-2025 Encore GX</t>
  </si>
  <si>
    <t>B0DY7PHHCG:28.71/138.28/3970.15(Capume_CN)
B0F9L3RFL5:27.99/19.39/542.71(nan)</t>
  </si>
  <si>
    <t>PT1FCK04900</t>
  </si>
  <si>
    <t>（PT）1支空调滤CF10134 + 1支空气滤CA12290普通款中性盒</t>
  </si>
  <si>
    <t>CA12290 - CF10134</t>
  </si>
  <si>
    <t>Honda Accord (L4 1.5L) 2018 2019 2020 2021 2022</t>
  </si>
  <si>
    <t>B0DK4NKYXG:21.29/89.01/1894.73(RVgolf_)
B0F5HP9MYK:24.57/36.58/898.61(nan)
B0DBSKML3C:22.3/27.82/620.57(Forccord_CN)</t>
  </si>
  <si>
    <t>PT1FCK05000</t>
  </si>
  <si>
    <t>（PT）1支空调滤CF10285 + 1支空气滤CA10755普通款中性盒</t>
  </si>
  <si>
    <t>CA10755 - CF10285</t>
  </si>
  <si>
    <t>Lexus 13-18 ES350 3.5L, 15-17 NX200T 2.0L, 18-21 NX300 2.0L; Toyota 13-18 Avalon 3.5L, 12-17 Camry 3.5L</t>
  </si>
  <si>
    <t>B0F2H87FH3:23.99/49.0/1175.51(nan)
B0BLH2RY9F:20.85/29.75/620.16(FilterDoctor_US)
B0D31RCP8W:22.42/17.2/385.73(BDFHYK_CN)
B0CMQJHT76:19.39/17.85/346.25(Rritess_CN)
B0DZGFKS1L:19.99/15.47/309.24(FLTRUCKTOP_CN)</t>
  </si>
  <si>
    <t>PT1FCK05200</t>
  </si>
  <si>
    <t>（PT）1支空调滤CF12150 + 1支空气滤CA10262普通款中性盒</t>
  </si>
  <si>
    <t>CA10262 - CF12150</t>
  </si>
  <si>
    <t>Ford Expedition 2018-2024, F-150 2015-2025 2026, Lincoln Navigator 2018-2024</t>
  </si>
  <si>
    <t>B0D8JLT2YP:30.4/228.95/6961.29(COCOAUTO_CN)
B0DHR97N1B:28.14/151.84/4272.32(OIFILLIO_CN)
B0DK4MPGLG:24.99/100.0/2499.0(RVgolf_CN)
B0DNTDYMKB:24.14/91.63/2211.85(ATRACYPART_CN)
B0DJX46SFN:28.23/57.02/1609.63(Dacall_CN)</t>
  </si>
  <si>
    <t>PT1FCK05300</t>
  </si>
  <si>
    <t>（PT）1支空调滤CF12552 + 1支空气滤CA12967普通款中性盒</t>
  </si>
  <si>
    <t>CA12967 - CF12552</t>
  </si>
  <si>
    <t>2021-2026 Nissan Rogue</t>
  </si>
  <si>
    <t>B0FCQTNRBH:27.52/47.52/1307.91(nan)
B0D79649DR:20.63/39.27/810.18(Forccord_CN)
B0DJQW2GQH:21.33/26.03/555.22(RVgolf_)</t>
  </si>
  <si>
    <t>PT1FCK05400</t>
  </si>
  <si>
    <t>（PT）1支空调滤CF10134 + 1支空气滤CA11258普通款中性盒</t>
  </si>
  <si>
    <t>CA11258 - CF10134</t>
  </si>
  <si>
    <t>Honda CR-V CRV 2012 2013 2014 L4 2.4L</t>
  </si>
  <si>
    <t>B0DHGB7S1D:21.14/58.5/1236.85(Forccord_CN)
B0DHV7GK2S:22.17/44.51/986.78(RVgolf_)</t>
  </si>
  <si>
    <t>PT1FCK05500</t>
  </si>
  <si>
    <t>（PT）1支空调滤CF10735 + 1支空气滤CA11943普通款中性盒</t>
  </si>
  <si>
    <t>CA11943 - CF10735</t>
  </si>
  <si>
    <t>Telluride (2020-2024), Santa Fe 2.0L 2.4L (2019-2020)</t>
  </si>
  <si>
    <t>B0D2DWTW4X:31.65/100.81/3190.18(ITESIER_CN)</t>
  </si>
  <si>
    <t>PT1FCK05600</t>
  </si>
  <si>
    <t>（PT）1支空调滤CF10285 + 1支空气滤CA11895普通款中性盒</t>
  </si>
  <si>
    <t>CA11895 - CF10285</t>
  </si>
  <si>
    <t>2014-2021 Toyota Tundra 5.7L 4.6L, 2014-2021 Toyota Sequoia 5.7L</t>
  </si>
  <si>
    <t>B0F2J215BP:29.79/213.4/6357.21(SERVKITOUR_CN)
B0DKTRR4RC:30.74/149.34/4591.15(ITESIER_CN)
B0D2NHQHYF:20.48/74.62/1528.43(Forccord_CN)
B0FHPGRDQY:21.99/66.58/1464.13(RVgolf_CN)
B0DZH9FG2H:30.03/39.25/1178.63(Dacall_CN)</t>
  </si>
  <si>
    <t>PT1FCK05701</t>
  </si>
  <si>
    <t>（PT）1支空调滤 CF11854 + 1支空气滤 CA11858普通款中性盒</t>
  </si>
  <si>
    <t>CA11858 - CF11854</t>
  </si>
  <si>
    <t>Nissan Rogue 2014-2020, Rogue Sport 2017-2022, Qashqai 2017-2022</t>
  </si>
  <si>
    <t>B0DWKJXXJJ:24.87/94.22/2343.48(COCOAUTO_CN)
B0DT5YLNPN:27.25/71.34/1944.07(Dacall_CN)
B0DL5MYYJ7:21.41/44.34/949.23(RVgolf_CN)
B0DT3KNJKT:19.76/23.71/468.34(Forccord_CN)
B0F7QCVHDZ:24.53/6.76/165.94(JONHWI_CN)</t>
  </si>
  <si>
    <t>PT1FCK05800</t>
  </si>
  <si>
    <t>（PT）1支空调滤CF11643 + 1支空气滤CA12293普通款中性盒</t>
  </si>
  <si>
    <t>CA12293 - CF11643</t>
  </si>
  <si>
    <t>2018 2019 2020 2021 2022 2023 2024 2025 Volkswagen Atlas 2.0L 3.6L</t>
  </si>
  <si>
    <t>B0FD9Q3434:34.99/41.69/1458.88(nan)
B0D8SQF6J9:24.45/28.99/708.8(Forccord_CN)</t>
  </si>
  <si>
    <t>PT1FCK05900</t>
  </si>
  <si>
    <t>（PT）1支空调滤CF10134 + 1支空气滤CA11476普通款中性盒</t>
  </si>
  <si>
    <t>CA11476 - CF10134</t>
  </si>
  <si>
    <t>Honda Accord 2.4L (2013-2017), Acura TLX 2.4L (2015-2020)</t>
  </si>
  <si>
    <t>B0D9XY3CRZ:24.81/60.93/1511.31(Forccord_CN)</t>
  </si>
  <si>
    <t>PT1FCK06000</t>
  </si>
  <si>
    <t>（PT）1支空调滤CF12283 + 1支空气滤CA12091普通款中性盒</t>
  </si>
  <si>
    <t>CA12091 - CF12283</t>
  </si>
  <si>
    <t>2021-2024 Chrysler Grand Caravan V6 (3.6L Gas), 2017-2026 Pacifica V6</t>
  </si>
  <si>
    <t>B0FJDG1FRH:21.99/66.58/1464.13(RVgolf_CN)
B0D9BLFKYK:20.71/51.45/1065.27(Forccord_CN)</t>
  </si>
  <si>
    <t>PT1FCK06100</t>
  </si>
  <si>
    <t>（PT）1支空调滤CF11663 + 1支空气滤CA10110普通款中性盒</t>
  </si>
  <si>
    <t>CA10110 - CF11663</t>
  </si>
  <si>
    <t>Traverse 2017-2009, Acadia 2016-2007, Limited 2017, Enclave 2017-2008, Outlook 2010-2007</t>
  </si>
  <si>
    <t>B0D8Q4BZ71:23.89/43.84/1047.5(Forccord_CN)
B0DXK35169:22.59/1.81/40.81(Forccord_CN)</t>
  </si>
  <si>
    <t>PT1FCK06500</t>
  </si>
  <si>
    <t>（PT）1支空调滤CF11809 + 1支空气滤CA8755A普通款中性盒</t>
  </si>
  <si>
    <t>CA8755A - CF11809</t>
  </si>
  <si>
    <t>2014-2018 Chevrolet Silverado 1500＆GMC Sierra 1500, 2015-2020 Suburban</t>
  </si>
  <si>
    <t>B0DKF1HP9P:30.1/91.95/2767.68(COCOAUTO_CN)
B0DYRZV7D2:29.87/82.33/2459.17(ITESIER_CN)
B0DRY6MKDL:23.76/34.78/826.34(Forccord_CN)
B0DJQVNGXQ:21.84/16.13/352.29(RVgolf_CN)</t>
  </si>
  <si>
    <t>PT1FCK06700</t>
  </si>
  <si>
    <t>（PT）1支空调滤CF11811 + 1支空气滤CA11259普通款中性盒</t>
  </si>
  <si>
    <t>CA11259 - CF11811</t>
  </si>
  <si>
    <t>2013-2023 Mazda CX-5(2.0L/2.5L), 2014-2018 Mazda 3 (2.0L/2.5L), 2014-2020 Mazda 6 (2.5L)</t>
  </si>
  <si>
    <t>B0CL7B5F2F:23.08/489.28/11294.53(J1YL2C_CN)
B0DZ2B52HF:27.61/223.1/6159.26(SERVKITOUR_CN)
B0DYV5RCMT:27.99/189.83/5314.27(COCOAUTO_CN)
B0DMSSSJ5W:27.44/138.52/3801.04(Dacall_CN)
B0DRSFV42B:19.99/94.63/1891.58(WHEELZEN_CN)</t>
  </si>
  <si>
    <t>PT1FCK19600</t>
  </si>
  <si>
    <t>（PT）1支空调滤CF12157 + 1支空气滤CA12295普通款中性盒</t>
  </si>
  <si>
    <t>CA12295 - CF12157</t>
  </si>
  <si>
    <t>2024-2025 Subaru Crosstrek 2.0/2.5L, Subaru Impreza 2.0/2.5L</t>
  </si>
  <si>
    <t>B0F195W45Q:29.46/197.34/5813.48(SERVKITOUR_CN)
B0F1G7DVDC:29.09/113.36/3297.14(COCOAUTO_CN)
B0DZH8H1MQ:28.11/58.38/1641.45(Dacall_CN)
B0CL7RZM4L:21.32/20.58/438.67(J1YL2C_CN)</t>
  </si>
  <si>
    <t>PT1FCK19700</t>
  </si>
  <si>
    <t>（PT）1支空调滤CF11182 + 1支空气滤CA12997普通款中性盒</t>
  </si>
  <si>
    <t>CA12997 - CF11182</t>
  </si>
  <si>
    <t>2023-2025 Honda CR-V 2.0L, Honda Accord 2.0L
2025 Honda Civic 2.0L</t>
  </si>
  <si>
    <t>B0DZY385G8:29.05/274.25/7966.39(ITESIER_CN)
B0FG3GRM7Y:26.98/199.0/5369.02(COCOAUTO_CN)
B0FLBXKS9W:27.79/160.23/4452.88(SERVKITOUR_CN)
B0DXZ1XH1M:29.99/100.0/2999.0(Capume_CN)
B0FGXFL5Q1:25.05/45.17/1131.6(TuLeYiLe_CN)</t>
  </si>
  <si>
    <t>PT1FCK19800</t>
  </si>
  <si>
    <t>（PT）1支空调滤CF11182 + 1支空气滤CA12934普通款中性盒</t>
  </si>
  <si>
    <t>CA12934 - CF11182</t>
  </si>
  <si>
    <t>2023-2025 Honda Pilot 3.5L
2022-2025 Acura MDX 3.5L</t>
  </si>
  <si>
    <t>B0F283GFSM:30.89/299.0/9236.11(ITESIER_CN)
B0DYH3G5NN:30.28/164.54/4982.67(SERVKITOUR_CN)
B0CP7D2PFS:26.83/98.4/2640.13(TBFPUU_CN)
B0DMSMQF8L:29.66/50.77/1506.04(Dacall_CN)
B0DMRBGVZS:24.32/43.76/1064.14(Forccord_CN)</t>
  </si>
  <si>
    <t>PT1FCK19900</t>
  </si>
  <si>
    <t>（PT）1支空调滤CF10285 + 1支空气滤CA10835普通款中性盒</t>
  </si>
  <si>
    <t>CA10835 - CF10285</t>
  </si>
  <si>
    <t>2010-2024 Toyota 4Runner 4.0L
2010-2023 Lexus GX460 4.6L</t>
  </si>
  <si>
    <t>B0F2FK14N4:29.59/232.39/6876.74(SERVKITOUR_CN)
B0FGDTHLGH:27.23/57.23/1558.59(COCOAUTO_CN)
B0DSW8HRG1:19.99/65.6/1311.3(WHEELZEN_CN)</t>
  </si>
  <si>
    <t>PT1FCK20100</t>
  </si>
  <si>
    <t>（PT）1支空调滤CF11182 + 1支空气滤CA12052普通款中性盒</t>
  </si>
  <si>
    <t>CA12052 - CF11182</t>
  </si>
  <si>
    <t>2016-2022 Honda HR-V 1.8L</t>
  </si>
  <si>
    <t>B0F2FRSHGR:29.79/144.66/4309.39(SERVKITOUR_CN)
B0D9QT1MMS:30.94/38.32/1185.53(NICEASY_CN)</t>
  </si>
  <si>
    <t>PT1FCK20300</t>
  </si>
  <si>
    <t>（PT）1支空调滤CF11182 + 1支空气滤CA12605普通款中性盒</t>
  </si>
  <si>
    <t>CA12605 - CF11182</t>
  </si>
  <si>
    <t>2019-2025 Acura RDX 2.0L</t>
  </si>
  <si>
    <t>B0FGWHBTGB:26.55/91.67/2433.83(ITESIER_CN)</t>
  </si>
  <si>
    <t>PT1FCK20500</t>
  </si>
  <si>
    <t>（PT）1支空调滤CF10134 + 1支空气滤CA11042普通款中性盒</t>
  </si>
  <si>
    <t>CA11042 - CF10134</t>
  </si>
  <si>
    <t>2011-2017 Honda Odyssey 3.5L</t>
  </si>
  <si>
    <t>B0D1K661CK:29.66/120.47/3573.56(ITESIER_CN)
B0DXF1NP3V:28.0/94.0/2632.08(COCOAUTO_CN)
B0FJRL5QHP:23.99/50.0/1199.5(TuLeYiLe_CN)</t>
  </si>
  <si>
    <t>PT1FCK20600</t>
  </si>
  <si>
    <t>（PT）1支空调滤CF12772 + 1支空气滤CA10242普通款中性盒</t>
  </si>
  <si>
    <t>CA10242 - CF12772</t>
  </si>
  <si>
    <t>2020-2025 Ford Explorer 2.3/3.0L, Lincoln Aviator 3.0L, Ford Police Interceptor Utility 3.0L</t>
  </si>
  <si>
    <t>B0DDHNBLJL:29.33/78.65/2306.66(COCOAUTO_CN)
B0DHFTKPR3:28.29/80.1/2266.15(ITESIER_CN)
B0DHGBHBCH:20.23/9.77/197.6(Forccord_CN)</t>
  </si>
  <si>
    <t>PT1FCK20700</t>
  </si>
  <si>
    <t>（PT）1支空调滤CF11177 + 1支空气滤CA6900普通款中性盒</t>
  </si>
  <si>
    <t>CA6900 - CF11177</t>
  </si>
  <si>
    <t>2013-2019 Nissan Sentra 1.6/1.8L
2011-2017 Nissan Juke 1.6L</t>
  </si>
  <si>
    <t>B0D6VB1KVM:17.2/66.02/1135.35(DOVOSO_CN)
B0DGLLDF9X:17.6/42.03/740.0(GoaMotors_CN)
B0DZB9R5YQ:18.2/30.38/552.87(WHEELZEN_CN)
B0F2T7YVB9:25.98/19.28/500.96(Dacall_CN)
B0F43BBFSG:17.49/14.1/246.61(partszen_CN)</t>
  </si>
  <si>
    <t>PT1FCK21100</t>
  </si>
  <si>
    <t>（PT）1支空调滤CF10140 + 1支空气滤CA10910普通款中性盒</t>
  </si>
  <si>
    <t>CA10910 - CF10140</t>
  </si>
  <si>
    <t>2013-2025 Mitsubishi Outlander Sport 2.0/2.4L
2014-2020 Mitsubishi Outlander 2.4/3.0L
2013-2017 Mitsubishi Lancer 2.0/2.4L</t>
  </si>
  <si>
    <t>B0F134WKDF:19.99/68.3/1365.29(WHEELZEN_CN)
B0FJM4PJJH:27.69/20.36/563.86(Dacall_CN)
B0FG2XNXCH:29.99/0.68/20.43(CULMKARI_CN)</t>
  </si>
  <si>
    <t>PT1FCK21400</t>
  </si>
  <si>
    <t>（PT）1支空调滤CF12002 + 1支空气滤CA11206普通款中性盒</t>
  </si>
  <si>
    <t>CA11206 - CF12002</t>
  </si>
  <si>
    <t>2014-2019 Kia Soul 1.6/2.0L</t>
  </si>
  <si>
    <t>B0DPJXPSDT:23.23/102.57/2383.0(Forccord_CN)
B0FK5KMDHQ:22.99/66.58/1530.71(RVgolf_CN)
B0DZH7F4MC:28.1/32.09/901.61(Dacall_CN)</t>
  </si>
  <si>
    <t>PT1FCK21500</t>
  </si>
  <si>
    <t>（PT）1支空调滤CF11182 + 1支空气滤CA11399普通款中性盒</t>
  </si>
  <si>
    <t>CA11399 - CF11182</t>
  </si>
  <si>
    <t>2020-2022 Honda CR-V 2.0L</t>
  </si>
  <si>
    <t>B0FSCFY2HV:29.86/49.0/1463.14(ITESIER_CN)
B0DZY3H4FR:29.86/49.0/1463.14(ITESIER_CN)
B0FKYCPBM1:23.99/18.05/433.05(TuLeYiLe_CN)
B0FCYTCYTG:28.87/0.6/17.32(LSXFIT_CN)</t>
  </si>
  <si>
    <t>PT1FCK21700</t>
  </si>
  <si>
    <t>（PT）1支空调滤CF11776 + 1支空气滤CA4309普通款中性盒</t>
  </si>
  <si>
    <t>CA4309 - CF11776</t>
  </si>
  <si>
    <t>2013-2020 Nissan Pathfinder 3.5L
2015-2024 Nissan Murano 3.5L
2014-2020 INFINITI QX60 3.5L
2016-2023 Nissan Maxima 3.5L
2013-2018 Nissan Altima 3.5L
2013 INFINITI JX35 3.5L</t>
  </si>
  <si>
    <t>B0FJMBJCYK:28.99/47.55/1378.51(Dacall_CN)
B0F1XPX2XL:19.25/46.72/899.41(WHEELZEN_CN)
B0FKB5HPH7:18.88/11.47/216.58(AUTOKAY_CN)</t>
  </si>
  <si>
    <t>PT1FCK21800</t>
  </si>
  <si>
    <t>（PT）1支空调滤CF10436 + 1支空气滤CA10330普通款中性盒</t>
  </si>
  <si>
    <t>CA10330 - CF10436</t>
  </si>
  <si>
    <t>2010-2018 Mercedes-Benz Sprinter 2500 2.1/3.0L, Mercedes-Benz Sprinter 3500 2.1/3.0L
2007-2019 Freightliner Sprinter 2500 2.1/3.0/3.5L, Freightliner Sprinter 3500 2.1/3.0/3.5L
2007-2009 Dodge Sprinter 2500 3.0/3.5L, Dodge Sprinter 3500 3.0/3.5L</t>
  </si>
  <si>
    <t>B0DT5YCDCJ:38.58/46.33/1787.36(Dacall_CN)
B0F5LXXFFW:37.79/46.73/1765.88(SERVKITOUR_CN)
B0DC61X555:39.09/43.7/1708.15(OIFILLIO_CN)
B0DK9612T5:37.1/7.88/292.32(Quealzara_CN)
B0FJ21HLFK:32.89/3.43/112.97(vierzweites_CN)</t>
  </si>
  <si>
    <t>PT1FCK21900</t>
  </si>
  <si>
    <t>（PT）1支空调滤CF10285 + 1支空气滤CA10677普通款中性盒</t>
  </si>
  <si>
    <t>CA10677 - CF10285</t>
  </si>
  <si>
    <t>2013-2018 Toyota RAV4 2.5L, Lexus ES300h 2.5L, Toyota Avalon 2.5L
2012-2017 Toyota Camry 2.5L
2007-2017 Lexus LS460 4.6L
2010-2012 Lexus HS250h 2.4L
2008-2016 Lexus LS600h 5.0L</t>
  </si>
  <si>
    <t>B0C7H8QDDM:23.73/28.32/672.04(A-Premium_HK)
B0FM3XSLYC:22.99/21.7/498.94(Kefly_CN)
B0FM6SLC7Q:25.99/16.78/436.11(Kefly_CN)
B0FJDK4XBG:25.99/2.56/66.64(NuFlySic_CN)</t>
  </si>
  <si>
    <t>PT1FCK22000</t>
  </si>
  <si>
    <t>（PT）1支空调滤CF12776 + 1支空气滤CA12535普通款中性盒</t>
  </si>
  <si>
    <t>CA12535 - CF12776</t>
  </si>
  <si>
    <t>2019-2023 Ford Ranger 2.3L</t>
  </si>
  <si>
    <t>B0F1F84935:28.65/73.79/2113.64(SCREW RHINO_CN)
B0FPLHTQTM:23.99/49.0/1175.51(RVgolf_CN)</t>
  </si>
  <si>
    <t>PT1FCK22200</t>
  </si>
  <si>
    <t>（PT）1支空调滤CF12058 + 1支空气滤CA12057普通款中性盒</t>
  </si>
  <si>
    <t>CA12057 - CF12058</t>
  </si>
  <si>
    <t>2017-2020 Hyundai Elantra 1.4/1.6/2.0L
2019-2024 Kia Forte 1.6/2.0L
2018-2020 Hyundai Elantra GT 1.6/2.0L</t>
  </si>
  <si>
    <t>B0DMSSVCJ8:27.88/66.79/1862.05(Dacall_CN)
B0CSK9YQFF:17.39/79.0/1373.93(CARBBIA_CN)
B0CZ4DM7XY:28.63/43.31/1240.07(COCOAUTO_CN)
B0F29LPT86:23.75/40.62/964.74(Forccord_CN)</t>
  </si>
  <si>
    <t>PT1FCK22300</t>
  </si>
  <si>
    <t>（PT）1支空调滤CF11671 + 1支空气滤CA10261普通款中性盒</t>
  </si>
  <si>
    <t>CA10261 - CF11671</t>
  </si>
  <si>
    <t>2016-2025 Ram 2500 6.4/6.7L, Ram 3500 6.4/6.7L
2016-2023 Ram 4500 6.4/6.7L
2016-2024 Ram 5500 6.4/6.7L</t>
  </si>
  <si>
    <t>B0FHD3DPTQ:32.36/62.79/2031.61(TuLeYiLe_CN)
B0DT39PNL9:37.24/49.08/1827.51(NuFlySic_CN)
B0FKM2BGJS:29.86/48.74/1455.17(FLTRUCKTOP_CN)</t>
  </si>
  <si>
    <t>PT1FCK22400</t>
  </si>
  <si>
    <t>（PT）1支空调滤CF11643 + 1支空气滤CA11876普通款中性盒</t>
  </si>
  <si>
    <t>CA11876 - CF11643</t>
  </si>
  <si>
    <t>2018-2024 Volkswagen Tiguan 2.0L
2019-2025 Audi Q3 2.0L, Volkswagen Jetta 2.0L
2015-2024 Volkswagen GTI 2.0L
2015-2018 Volkswagen Golf 1.8/2.0L
2015-2020 Audi A3 1.8/2.0L, Audi A3 Quattro 2.0L, Audi S3 2.0L
2015-2019 Volkswagen Golf SportWagen 1.8/2.0L, Volkswagen Golf R 2.0L
2017-2019 Volkswagen Golf Alltrack 1.8L
2022-2024 Audi A3 2.0L, Volkswagen Golf R 2.0L
2019-2023 Volkswagen Arteon 2.0L
2022-2025 Audi A3 Quattro 2.0L, Audi S3 2.0L
2016-2023 Audi TT Quattro 2.0L, Audi TTS Quattro 2.0L</t>
  </si>
  <si>
    <t>B0DG5RN4N5:23.51/31.65/743.89(GoaMotors_CN)</t>
  </si>
  <si>
    <t>PT1FCK22600</t>
  </si>
  <si>
    <t>（PT）1支空调滤CF12553 + 1支空气滤CA12072普通款中性盒</t>
  </si>
  <si>
    <t>CA12072 - CF12553</t>
  </si>
  <si>
    <t>2018-2024 BMW X3 2.0/3.0L
2019-2025 BMW X4 2.0/3.0L</t>
  </si>
  <si>
    <t>B0DHP85G7K:31.27/76.59/2395.07(COCOAUTO_CN)
B0DT5Y5V3F:31.9/43.33/1382.24(Dacall_CN)
B0DXVC8LYV:28.76/20.4/586.6(partszen_CN)
B0F37SRBVG:26.99/8.66/233.8(MATERIG_CN)
B0F9YZZJB5:27.06/5.33/144.3(Egreat_CN)</t>
  </si>
  <si>
    <t>PT1FCK22700</t>
  </si>
  <si>
    <t>（PT）1支空调滤CF10134 + 1支空气滤CA10344普通款中性盒</t>
  </si>
  <si>
    <t>CA10344 - CF10134</t>
  </si>
  <si>
    <t>2007-2009 Honda CR-V 2.4L</t>
  </si>
  <si>
    <t>B0DSZMPSPH:19.99/45.4/907.51(WHEELZEN_CN)
B0FJM63PMH:28.99/23.47/680.39(Dacall_CN)
B0FKB326T8:17.96/29.65/532.3(AUTOKAY_CN)</t>
  </si>
  <si>
    <t>PT1FCK22800</t>
  </si>
  <si>
    <t>（PT）1支空调滤CF11670 + 1支空气滤CA10997普通款中性盒</t>
  </si>
  <si>
    <t>CA10997 - CF11670</t>
  </si>
  <si>
    <t>2011-2019 Ford Fiesta 1.0/1.6L</t>
  </si>
  <si>
    <t>B0F6NH15B6:19.99/33.75/674.66(WHEELZEN_CN)</t>
  </si>
  <si>
    <t>PT1FCK22900</t>
  </si>
  <si>
    <t>（PT）1支空调滤CF10134 + 1支空气滤CA11399普通款中性盒</t>
  </si>
  <si>
    <t>CA11399 - CF10134</t>
  </si>
  <si>
    <t>2017-2022 Honda Accord 2.0L
2014-2015 Honda Accord 2.0L</t>
  </si>
  <si>
    <t>B0F8HS7CRZ:27.97/99.0/2768.78(SERVKITOUR_CN)
B0FGXHMNBB:23.99/45.32/1087.24(Kefly_CN)
B0FGXFJPGX:23.99/18.05/433.05(TuLeYiLe_CN)</t>
  </si>
  <si>
    <t>PT1FCK23100</t>
  </si>
  <si>
    <t>（PT）1支空调滤CF10743 + 1支空气滤CA12168普通款中性盒</t>
  </si>
  <si>
    <t>CA12168 - CF10743</t>
  </si>
  <si>
    <t>2017-2024 Nissan TITAN 5.6L</t>
  </si>
  <si>
    <t>B0F6N45JS8:23.99/57.61/1382.02(WHEELZEN_CN)</t>
  </si>
  <si>
    <t>PT1FCK23400</t>
  </si>
  <si>
    <t>（PT）1支空调滤CF12772 + 1支空气滤CA12778普通款中性盒</t>
  </si>
  <si>
    <t>CA12778 - CF12772</t>
  </si>
  <si>
    <t>2021-2025 Ford Bronco Sport 1.5/2.0L
2020-2022 Ford Escape 1.5/2.0L, Lincoln Corsair 2.0/2.3L
2022-2024 Ford Maverick 2.0L</t>
  </si>
  <si>
    <t>B0DT6V3FYR:29.02/57.12/1657.24(Dacall_CN)
B0FCR755TG:29.62/19.59/580.18(Dacall_CN)
B0FFGTRCPW:23.73/13.54/321.31(AUTOKAY_CN)
B0DCF1SNYG:23.99/8.56/205.33(FLTRUCKTOP_CN)
B0DRY6HNRC:25.81/7.84/202.4(Forccord_CN)</t>
  </si>
  <si>
    <t>PT1FCK23800</t>
  </si>
  <si>
    <t>（PT）1支空调滤CF11179 + 1支空气滤CA10522普通款中性盒</t>
  </si>
  <si>
    <t>CA10522 - CF11179</t>
  </si>
  <si>
    <t>2011-2017 Audi Q5 2.0L
2009-2016 Audi A4 Quattro 2.0L, Audi A4 2.0L
2013-2017 Audi A5 Quattro 2.0L
2013-2016 Audi allroad 2.0L
2010-2011 Audi A5 Quattro 2.0L
2010-2014 Audi A5 2.0L</t>
  </si>
  <si>
    <t>B0FLXYF8Z3:25.99/49.0/1273.51(RVgolf_CN)
B0D9BL7FDP:24.56/20.26/497.62(Forccord_CN)</t>
  </si>
  <si>
    <t>PT1FCK24400</t>
  </si>
  <si>
    <t>（PT）1支空调滤CF11182 + 1支空气滤CA12259普通款中性盒</t>
  </si>
  <si>
    <t>CA12259 - CF11182</t>
  </si>
  <si>
    <t>2017-2019 Honda CR-V 2.4L</t>
  </si>
  <si>
    <t>B0DXYJZW78:25.91/82.0/2124.66(Capume_CN)</t>
  </si>
  <si>
    <t>PT1FCK24500</t>
  </si>
  <si>
    <t>（PT）1支空调滤CF12573 + 1支空气滤CA12616普通款中性盒</t>
  </si>
  <si>
    <t>CA12616 - CF12573</t>
  </si>
  <si>
    <t>2019-2025 Volvo XC40 2.0L</t>
  </si>
  <si>
    <t>B0FN723JTK:28.99/49.0/1420.51(RVgolf_CN)
B0F29K1473:28.91/27.7/800.81(Forccord_CN)</t>
  </si>
  <si>
    <t>PT1FCK24700</t>
  </si>
  <si>
    <t>（PT）1支空调滤CF12935 + 1支空气滤CA12933普通款中性盒</t>
  </si>
  <si>
    <t>CA12933 - CF12935</t>
  </si>
  <si>
    <t>2021-2025 Jeep Grand Cherokee L 3.6/5.7L
2022-2025 Jeep Grand Cherokee 2.0/3.6/5.7L</t>
  </si>
  <si>
    <t>B0FPKPQV32:29.9/200.0/5980.0(SCREW RHINO_CN)</t>
  </si>
  <si>
    <t>PT1FCK05101</t>
  </si>
  <si>
    <t>（PT）1支空调滤CF12552 + 1支空气滤CA12931普通款中性盒</t>
  </si>
  <si>
    <t>CF12552 CA12931</t>
  </si>
  <si>
    <t>2022-2025 Nissan Pathfinder＆INFINITI QX60</t>
  </si>
  <si>
    <t>B0DR33P47W:29.61/97.39/2883.73(SERVKITOUR)
B0D89YQ7CK:21.69/39.83/864.0(Forccord_CN)</t>
  </si>
  <si>
    <t>KX1FCK03300</t>
  </si>
  <si>
    <t>（KAX）1支空调滤CF12936 + 1支空气滤CA11943普通款中性盒</t>
  </si>
  <si>
    <t>KX1FCK03400</t>
  </si>
  <si>
    <t>（KAX）1支空调滤CF11182 + 1支空气滤CA12051普通款中性盒</t>
  </si>
  <si>
    <t>KX1FCK03500</t>
  </si>
  <si>
    <t>（KAX）1支空调滤CF12157 + 1支空气滤CA12289普通款中性盒</t>
  </si>
  <si>
    <t>KX1FCK03600</t>
  </si>
  <si>
    <t>（KAX）1支空调滤CF10374 + 1支空气滤CA11895普通款中性盒</t>
  </si>
  <si>
    <t>KX1FCK03700</t>
  </si>
  <si>
    <t>（KAX）1支空调滤CF11182 + 1支空气滤CA12061普通款中性盒</t>
  </si>
  <si>
    <t>KX1FCK03800</t>
  </si>
  <si>
    <t>（KAX）1支空调滤CF11966 + 1支空气滤CA12405普通款中性盒</t>
  </si>
  <si>
    <t>KX1FCK03900</t>
  </si>
  <si>
    <t>（KAX）1支空调滤 CF12820 + 1支空气滤 CA12817普通款中性盒</t>
  </si>
  <si>
    <t>KX1FCK04000</t>
  </si>
  <si>
    <t>（KAX）1支空调滤CF11966 + 1支空气滤CA12166普通款中性盒</t>
  </si>
  <si>
    <t>KX1FCK04100</t>
  </si>
  <si>
    <t>（KAX）1支空调滤CF12775 + 1支空气滤CA12295普通款中性盒</t>
  </si>
  <si>
    <t>KX1FCK04200</t>
  </si>
  <si>
    <t>（KAX）1支空调滤CF11966 + 1支空气滤CA12404普通款中性盒</t>
  </si>
  <si>
    <t>KX1FCK04300</t>
  </si>
  <si>
    <t>（KAX）1支空调滤CF12773 + 1支空气滤CA12668普通款中性盒</t>
  </si>
  <si>
    <t>KX1FCK04400</t>
  </si>
  <si>
    <t>（KAX）1支空调滤CF11176 + 1支空气滤CA10242普通款中性盒</t>
  </si>
  <si>
    <t>KX1FCK04500</t>
  </si>
  <si>
    <t>（KAX）1支空调滤CF11966 + 1支空气滤CA12260普通款中性盒</t>
  </si>
  <si>
    <t>KX1FCK04600</t>
  </si>
  <si>
    <t>（KAX）1支空调滤CF11182 + 1支空气滤CA12932普通款中性盒</t>
  </si>
  <si>
    <t>KX1FCK04700</t>
  </si>
  <si>
    <t>（KAX）1支空调滤 CF11671 + 1支空气滤 CA9401普通款中性盒</t>
  </si>
  <si>
    <t>KX1FCK04800</t>
  </si>
  <si>
    <t>（KAX）1支空调滤CF11966 + 1支空气滤CA12814普通款中性盒</t>
  </si>
  <si>
    <t>KX1FCK04900</t>
  </si>
  <si>
    <t>（KAX）1支空调滤CF10134 + 1支空气滤CA12290普通款中性盒</t>
  </si>
  <si>
    <t>KX1FCK05000</t>
  </si>
  <si>
    <t>（KAX）1支空调滤CF10285 + 1支空气滤CA10755普通款中性盒</t>
  </si>
  <si>
    <t>KX1FCK05200</t>
  </si>
  <si>
    <t>（KAX）1支空调滤CF12150 + 1支空气滤CA10262普通款中性盒</t>
  </si>
  <si>
    <t>KX1FCK05300</t>
  </si>
  <si>
    <t>（KAX）1支空调滤CF12552 + 1支空气滤CA12967普通款中性盒</t>
  </si>
  <si>
    <t>KX1FCK05400</t>
  </si>
  <si>
    <t>（KAX）1支空调滤CF10134 + 1支空气滤CA11258普通款中性盒</t>
  </si>
  <si>
    <t>KX1FCK05500</t>
  </si>
  <si>
    <t>（KAX）1支空调滤CF10735 + 1支空气滤CA11943普通款中性盒</t>
  </si>
  <si>
    <t>KX1FCK05600</t>
  </si>
  <si>
    <t>（KAX）1支空调滤CF10285 + 1支空气滤CA11895普通款中性盒</t>
  </si>
  <si>
    <t>KX1FCK05700</t>
  </si>
  <si>
    <t>（KAX）1支空调滤 CF11854 + 1支空气滤 CA11858普通款中性盒</t>
  </si>
  <si>
    <t>KX1FCK05800</t>
  </si>
  <si>
    <t>（KAX）1支空调滤CF11643 + 1支空气滤CA12293普通款中性盒</t>
  </si>
  <si>
    <t>KX1FCK05900</t>
  </si>
  <si>
    <t>（KAX）1支空调滤CF10134 + 1支空气滤CA11476普通款中性盒</t>
  </si>
  <si>
    <t>KX1FCK06000</t>
  </si>
  <si>
    <t>（KAX）1支空调滤CF12283 + 1支空气滤CA12091普通款中性盒</t>
  </si>
  <si>
    <t>KX1FCK06100</t>
  </si>
  <si>
    <t>（KAX）1支空调滤CF11663 + 1支空气滤CA10110普通款中性盒</t>
  </si>
  <si>
    <t>KX1FCK06500</t>
  </si>
  <si>
    <t>（KAX）1支空调滤CF11809 + 1支空气滤CA8755A普通款中性盒</t>
  </si>
  <si>
    <t>KX1FCK06700</t>
  </si>
  <si>
    <t>（KAX）1支空调滤CF11811 + 1支空气滤CA11259普通款中性盒</t>
  </si>
  <si>
    <t>KX1FCK19600</t>
  </si>
  <si>
    <t>（KAX）1支空调滤CF12157 + 1支空气滤CA12295普通款中性盒</t>
  </si>
  <si>
    <t>KX1FCK19700</t>
  </si>
  <si>
    <t>（KAX）1支空调滤CF11182 + 1支空气滤CA12997普通款中性盒</t>
  </si>
  <si>
    <t>KX1FCK19800</t>
  </si>
  <si>
    <t>（KAX）1支空调滤CF11182 + 1支空气滤CA12934普通款中性盒</t>
  </si>
  <si>
    <t>KX1FCK19900</t>
  </si>
  <si>
    <t>（KAX）1支空调滤CF10285 + 1支空气滤CA10835普通款中性盒</t>
  </si>
  <si>
    <t>KX1FCK20100</t>
  </si>
  <si>
    <t>（KAX）1支空调滤CF11182 + 1支空气滤CA12052普通款中性盒</t>
  </si>
  <si>
    <t>KX1FCK20300</t>
  </si>
  <si>
    <t>（KAX）1支空调滤CF11182 + 1支空气滤CA12605普通款中性盒</t>
  </si>
  <si>
    <t>KX1FCK20500</t>
  </si>
  <si>
    <t>（KAX）1支空调滤CF10134 + 1支空气滤CA11042普通款中性盒</t>
  </si>
  <si>
    <t>KX1FCK20600</t>
  </si>
  <si>
    <t>（KAX）1支空调滤CF12772 + 1支空气滤CA10242普通款中性盒</t>
  </si>
  <si>
    <t>KX1FCK20700</t>
  </si>
  <si>
    <t>（KAX）1支空调滤CF11177 + 1支空气滤CA6900普通款中性盒</t>
  </si>
  <si>
    <t>KX1FCK21100</t>
  </si>
  <si>
    <t>（KAX）1支空调滤CF10140 + 1支空气滤CA10910普通款中性盒</t>
  </si>
  <si>
    <t>KX1FCK21400</t>
  </si>
  <si>
    <t>（KAX）1支空调滤CF12002 + 1支空气滤CA11206普通款中性盒</t>
  </si>
  <si>
    <t>KX1FCK21500</t>
  </si>
  <si>
    <t>（KAX）1支空调滤CF11182 + 1支空气滤CA11399普通款中性盒</t>
  </si>
  <si>
    <t>KX1FCK21700</t>
  </si>
  <si>
    <t>（KAX）1支空调滤CF11776 + 1支空气滤CA4309普通款中性盒</t>
  </si>
  <si>
    <t>KX1FCK21800</t>
  </si>
  <si>
    <t>（KAX）1支空调滤CF10436 + 1支空气滤CA10330普通款中性盒</t>
  </si>
  <si>
    <t>KX1FCK21900</t>
  </si>
  <si>
    <t>（KAX）1支空调滤CF10285 + 1支空气滤CA10677普通款中性盒</t>
  </si>
  <si>
    <t>KX1FCK22000</t>
  </si>
  <si>
    <t>（KAX）1支空调滤CF12776 + 1支空气滤CA12535普通款中性盒</t>
  </si>
  <si>
    <t>KX1FCK22200</t>
  </si>
  <si>
    <t>（KAX）1支空调滤CF12058 + 1支空气滤CA12057普通款中性盒</t>
  </si>
  <si>
    <t>KX1FCK22300</t>
  </si>
  <si>
    <t>（KAX）1支空调滤CF11671 + 1支空气滤CA10261普通款中性盒</t>
  </si>
  <si>
    <t>KX1FCK22400</t>
  </si>
  <si>
    <t>（KAX）1支空调滤CF11643 + 1支空气滤CA11876普通款中性盒</t>
  </si>
  <si>
    <t>KX1FCK22600</t>
  </si>
  <si>
    <t>（KAX）1支空调滤CF12553 + 1支空气滤CA12072普通款中性盒</t>
  </si>
  <si>
    <t>KX1FCK22700</t>
  </si>
  <si>
    <t>（KAX）1支空调滤CF10134 + 1支空气滤CA10344普通款中性盒</t>
  </si>
  <si>
    <t>KX1FCK22800</t>
  </si>
  <si>
    <t>（KAX）1支空调滤CF11670 + 1支空气滤CA10997普通款中性盒</t>
  </si>
  <si>
    <t>KX1FCK22900</t>
  </si>
  <si>
    <t>（KAX）1支空调滤CF10134 + 1支空气滤CA11399普通款中性盒</t>
  </si>
  <si>
    <t>KX1FCK23100</t>
  </si>
  <si>
    <t>（KAX）1支空调滤CF10743 + 1支空气滤CA12168普通款中性盒</t>
  </si>
  <si>
    <t>KX1FCK23400</t>
  </si>
  <si>
    <t>（KAX）1支空调滤CF12772 + 1支空气滤CA12778普通款中性盒</t>
  </si>
  <si>
    <t>KX1FCK23800</t>
  </si>
  <si>
    <t>（KAX）1支空调滤CF11179 + 1支空气滤CA10522普通款中性盒</t>
  </si>
  <si>
    <t>KX1FCK24400</t>
  </si>
  <si>
    <t>（KAX）1支空调滤CF11182 + 1支空气滤CA12259普通款中性盒</t>
  </si>
  <si>
    <t>KX1FCK24500</t>
  </si>
  <si>
    <t>（KAX）1支空调滤CF12573 + 1支空气滤CA12616普通款中性盒</t>
  </si>
  <si>
    <t>KX1FCK24700</t>
  </si>
  <si>
    <t>（KAX）1支空调滤CF12935 + 1支空气滤CA12933普通款中性盒</t>
  </si>
  <si>
    <t>KX1FCK05100</t>
  </si>
  <si>
    <t>（KAX）1支空调滤CF12552 + 1支空气滤CA12931普通款中性盒</t>
  </si>
  <si>
    <t>业务分类</t>
  </si>
  <si>
    <t>产品分类</t>
  </si>
  <si>
    <t>平台</t>
  </si>
  <si>
    <t>发货渠道</t>
  </si>
  <si>
    <t>月份</t>
  </si>
  <si>
    <t>销量</t>
  </si>
  <si>
    <t>销售额</t>
  </si>
  <si>
    <t>毛利润-实际</t>
  </si>
  <si>
    <t>毛利率</t>
  </si>
  <si>
    <t>返利前毛利率</t>
  </si>
  <si>
    <t>客单价$</t>
  </si>
  <si>
    <t>材料占比</t>
  </si>
  <si>
    <t>头程占比</t>
  </si>
  <si>
    <t>尾程占比</t>
  </si>
  <si>
    <t>退款率含vc</t>
  </si>
  <si>
    <t>仓储费占比</t>
  </si>
  <si>
    <t>推广占比</t>
  </si>
  <si>
    <t>库内操作费占比</t>
  </si>
  <si>
    <t>佣金占比</t>
  </si>
  <si>
    <t>税费占比</t>
  </si>
  <si>
    <t>平台费占比</t>
  </si>
  <si>
    <t>退换成本占比</t>
  </si>
  <si>
    <t>移仓换标占比</t>
  </si>
  <si>
    <t>VC退款率</t>
  </si>
  <si>
    <t>店铺费用占比合计</t>
  </si>
  <si>
    <t>滤清器</t>
  </si>
  <si>
    <t>合计</t>
  </si>
  <si>
    <t>滤清器组合套装</t>
  </si>
  <si>
    <t>amazon</t>
  </si>
  <si>
    <t>FBA</t>
  </si>
  <si>
    <t>202603</t>
  </si>
  <si>
    <t>202604</t>
  </si>
  <si>
    <t>202605</t>
  </si>
  <si>
    <t>202606</t>
  </si>
  <si>
    <t>202607</t>
  </si>
  <si>
    <t>202608</t>
  </si>
  <si>
    <t>OO1FCK13400</t>
  </si>
  <si>
    <t>202511</t>
  </si>
  <si>
    <t>OO1FCK13500</t>
  </si>
  <si>
    <t>OO1FCK15500</t>
  </si>
  <si>
    <t>OO1FCK18000</t>
  </si>
  <si>
    <t>OO1FCK18500</t>
  </si>
  <si>
    <t>OO1FCK19100</t>
  </si>
  <si>
    <t>202512</t>
  </si>
  <si>
    <t>OO1FCK19500</t>
  </si>
  <si>
    <t>PT1FCK00100</t>
  </si>
  <si>
    <t>202601</t>
  </si>
  <si>
    <t>202602</t>
  </si>
  <si>
    <t>PT1FCK00200</t>
  </si>
  <si>
    <t>PT1FCK00300</t>
  </si>
  <si>
    <t>202509</t>
  </si>
  <si>
    <t>202510</t>
  </si>
  <si>
    <t>PT1FCK00400</t>
  </si>
  <si>
    <t>PT1FCK00600</t>
  </si>
  <si>
    <t>PT1FCK00700</t>
  </si>
  <si>
    <t>PT1FCK00800</t>
  </si>
  <si>
    <t>PT1FCK00900</t>
  </si>
  <si>
    <t>PT1FCK01000</t>
  </si>
  <si>
    <t>PT1FCK01100</t>
  </si>
  <si>
    <t>202508</t>
  </si>
  <si>
    <t>PT1FCK01200</t>
  </si>
  <si>
    <t>PT1FCK01300</t>
  </si>
  <si>
    <t>PT1FCK01400</t>
  </si>
  <si>
    <t>PT1FCK01500</t>
  </si>
  <si>
    <t>PT1FCK01600</t>
  </si>
  <si>
    <t>PT1FCK01700</t>
  </si>
  <si>
    <t>PT1FCK01800</t>
  </si>
  <si>
    <t>PT1FCK01900</t>
  </si>
  <si>
    <t>PT1FCK02000</t>
  </si>
  <si>
    <t>PT1FCK02100</t>
  </si>
  <si>
    <t>PT1FCK02600</t>
  </si>
  <si>
    <t>PTOZZZ03400</t>
  </si>
  <si>
    <t>202203</t>
  </si>
  <si>
    <t>202204</t>
  </si>
  <si>
    <t>202205</t>
  </si>
  <si>
    <t>202206</t>
  </si>
  <si>
    <t>202207</t>
  </si>
  <si>
    <t>202208</t>
  </si>
  <si>
    <t>品线</t>
  </si>
  <si>
    <t>商品等级</t>
  </si>
  <si>
    <t>开发人员</t>
  </si>
  <si>
    <t>FBA可用库存</t>
  </si>
  <si>
    <t>FBA在途库存</t>
  </si>
  <si>
    <t>海外仓可用库存</t>
  </si>
  <si>
    <t>海外仓在途库存</t>
  </si>
  <si>
    <t>本地仓可用库存</t>
  </si>
  <si>
    <t>总库存</t>
  </si>
  <si>
    <t>采购在途库存</t>
  </si>
  <si>
    <t>含采购在途总库存</t>
  </si>
  <si>
    <t>总库存金额</t>
  </si>
  <si>
    <t>含采购在途总库存金额</t>
  </si>
  <si>
    <t>7天销量</t>
  </si>
  <si>
    <t>14天销量</t>
  </si>
  <si>
    <t>30天销量</t>
  </si>
  <si>
    <t>30-60天销量</t>
  </si>
  <si>
    <t>60-90天销量</t>
  </si>
  <si>
    <t>近7天入库数量</t>
  </si>
  <si>
    <t>近14天入库数量</t>
  </si>
  <si>
    <t>近30天入库数量</t>
  </si>
  <si>
    <t>采购单价</t>
  </si>
  <si>
    <t>30天出库金额</t>
  </si>
  <si>
    <t>全链路库销比</t>
  </si>
  <si>
    <t>成品库销比</t>
  </si>
  <si>
    <t>离岸库销比</t>
  </si>
  <si>
    <t>FBA库销比</t>
  </si>
  <si>
    <t>海外仓在库库销比</t>
  </si>
  <si>
    <t>海外仓在途库销比</t>
  </si>
  <si>
    <t>库销比-预警值</t>
  </si>
  <si>
    <t>滞销数量</t>
  </si>
  <si>
    <t>库销比-红线值</t>
  </si>
  <si>
    <t>滞销金额</t>
  </si>
  <si>
    <t>品牌</t>
  </si>
  <si>
    <t>FBA30天销量</t>
  </si>
  <si>
    <t>FBM30天销量</t>
  </si>
  <si>
    <t>FBA首次到货时间</t>
  </si>
  <si>
    <t>FBM首次到货时间</t>
  </si>
  <si>
    <t>是否滞销</t>
  </si>
  <si>
    <t>品类</t>
  </si>
  <si>
    <t>PO在库</t>
  </si>
  <si>
    <t>PO在途</t>
  </si>
  <si>
    <t>配件</t>
  </si>
  <si>
    <t>推新</t>
  </si>
  <si>
    <t>谭新培</t>
  </si>
  <si>
    <t>KAX</t>
  </si>
  <si>
    <t>N</t>
  </si>
  <si>
    <t>S</t>
  </si>
  <si>
    <t>PHILTOP</t>
  </si>
  <si>
    <t>A</t>
  </si>
  <si>
    <t>C</t>
  </si>
  <si>
    <t>B</t>
  </si>
  <si>
    <t>D</t>
  </si>
  <si>
    <t>PT1FCK38300</t>
  </si>
  <si>
    <t>交付</t>
  </si>
  <si>
    <t>PT1FCK38000</t>
  </si>
  <si>
    <t>PT1FCK39000</t>
  </si>
  <si>
    <t>PT1FCK39200</t>
  </si>
  <si>
    <t>PT1FCK38200</t>
  </si>
  <si>
    <t>PT1FCK38400</t>
  </si>
  <si>
    <t>PT1FCK39600</t>
  </si>
  <si>
    <t>PT1FCK38800</t>
  </si>
  <si>
    <t>PT1FCK39100</t>
  </si>
  <si>
    <t>PT1FCK42300</t>
  </si>
  <si>
    <t>PT1FCK42800</t>
  </si>
  <si>
    <t>PT1FCK43800</t>
  </si>
  <si>
    <t>PT1FCK39800</t>
  </si>
  <si>
    <t>PT1FCK39300</t>
  </si>
  <si>
    <t>PT1FCK39900</t>
  </si>
  <si>
    <t>PT1FCK43000</t>
  </si>
  <si>
    <t>PT1FCK43900</t>
  </si>
  <si>
    <t>PT1FCK45300</t>
  </si>
  <si>
    <t>PT1FCK40200</t>
  </si>
  <si>
    <t>PT1FCK39700</t>
  </si>
  <si>
    <t>PT1FCK44100</t>
  </si>
  <si>
    <t>PT1FCK46200</t>
  </si>
  <si>
    <t>PT1FCK44400</t>
  </si>
  <si>
    <t>PT1FCK43500</t>
  </si>
  <si>
    <t>PT1FCK40400</t>
  </si>
  <si>
    <t>PT1FCK40300</t>
  </si>
  <si>
    <t>PT1FCK46300</t>
  </si>
  <si>
    <t>PT1FCK47900</t>
  </si>
  <si>
    <t>PT1FCK44600</t>
  </si>
  <si>
    <t>PT1FCK44900</t>
  </si>
  <si>
    <t>PT1FCK40600</t>
  </si>
  <si>
    <t>PT1FCK41000</t>
  </si>
  <si>
    <t>PT1FCK45100</t>
  </si>
  <si>
    <t>PT1FCK48300</t>
  </si>
  <si>
    <t>PT1FCK44800</t>
  </si>
  <si>
    <t>PT1FCK46700</t>
  </si>
  <si>
    <t>PT1FCK44500</t>
  </si>
  <si>
    <t>PT1FCK41600</t>
  </si>
  <si>
    <t>PT1FCK46000</t>
  </si>
  <si>
    <t>PT1FCK49200</t>
  </si>
  <si>
    <t>PT1FCK45500</t>
  </si>
  <si>
    <t>PT1FCK45700</t>
  </si>
  <si>
    <t>PT1FCK45000</t>
  </si>
  <si>
    <t>PT1FCK48000</t>
  </si>
  <si>
    <t>PT1FCK46900</t>
  </si>
  <si>
    <t>PT1FCK45600</t>
  </si>
  <si>
    <t>PT1FCK47200</t>
  </si>
  <si>
    <t>PT1FCK47700</t>
  </si>
  <si>
    <t>PT1FCK49000</t>
  </si>
  <si>
    <t>PT1FCK48400</t>
  </si>
  <si>
    <t>PT1FCK38500</t>
  </si>
  <si>
    <t>PT1FCK46100</t>
  </si>
  <si>
    <t>PT1FCK49100</t>
  </si>
  <si>
    <t>PT1FCK40000</t>
  </si>
  <si>
    <t>PT1FCK47000</t>
  </si>
  <si>
    <t>PT1FCK40700</t>
  </si>
  <si>
    <t>PT1FCK48700</t>
  </si>
  <si>
    <t>PT1FCK38700</t>
  </si>
  <si>
    <t>PT1FCK46500</t>
  </si>
  <si>
    <t>PT1FCK41300</t>
  </si>
  <si>
    <t>PT1FCK41200</t>
  </si>
  <si>
    <t>PT1FCK39400</t>
  </si>
  <si>
    <t>PT1FCK41900</t>
  </si>
  <si>
    <t>PT1FCK41400</t>
  </si>
  <si>
    <t>PT1FCK40800</t>
  </si>
  <si>
    <t>PT1FCK45400</t>
  </si>
  <si>
    <t>PT1FCK43700</t>
  </si>
  <si>
    <t>PT1FCK41100</t>
  </si>
  <si>
    <t>PT1FCK48100</t>
  </si>
  <si>
    <t>PT1FCK45900</t>
  </si>
  <si>
    <t>PT1FCK42500</t>
  </si>
  <si>
    <t>PT1FCK47400</t>
  </si>
  <si>
    <t>PT1FCK42900</t>
  </si>
  <si>
    <t>PT1FCK48200</t>
  </si>
  <si>
    <t>PT1FCK44700</t>
  </si>
  <si>
    <t>PT1FCK48600</t>
  </si>
  <si>
    <t>PT1FCK45200</t>
  </si>
  <si>
    <t>PT1FCK46400</t>
  </si>
  <si>
    <t>PT1FCK47100</t>
  </si>
  <si>
    <t>PT1FCK47300</t>
  </si>
  <si>
    <t>PT1FCK48500</t>
  </si>
  <si>
    <t>PT1FCK48900</t>
  </si>
  <si>
    <t>数据导入模版说明</t>
  </si>
  <si>
    <t/>
  </si>
  <si>
    <t>上传规则: 数据追加不覆盖，相同SKU+月份会新增记录</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</si>
</sst>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0_ "/>
    <numFmt numFmtId="178" formatCode="yyyy/m/d;@"/>
    <numFmt numFmtId="179" formatCode="0_ "/>
    <numFmt numFmtId="180" formatCode="#,##0_ "/>
    <numFmt numFmtId="181" formatCode="0.0_ "/>
    <numFmt numFmtId="182" formatCode="0.00_);[Red]\(0.00\)"/>
    <numFmt numFmtId="183" formatCode="0.0%"/>
  </numFmts>
  <fonts count="30">
    <font>
      <sz val="12"/>
      <color theme="1"/>
      <name val="宋体"/>
      <charset val="134"/>
      <scheme val="minor"/>
    </font>
    <font>
      <sz val="10"/>
      <color indexed="8"/>
      <name val="微软雅黑"/>
      <charset val="134"/>
    </font>
    <font>
      <sz val="11"/>
      <color indexed="8"/>
      <name val="Calibri"/>
      <charset val="134"/>
    </font>
    <font>
      <sz val="10"/>
      <color theme="1"/>
      <name val="微软雅黑"/>
      <charset val="134"/>
    </font>
    <font>
      <b/>
      <sz val="10"/>
      <color indexed="9"/>
      <name val="微软雅黑"/>
      <charset val="134"/>
    </font>
    <font>
      <b/>
      <sz val="10"/>
      <color rgb="FFFFFFFF"/>
      <name val="微软雅黑"/>
      <charset val="134"/>
    </font>
    <font>
      <sz val="10"/>
      <name val="微软雅黑"/>
      <charset val="134"/>
    </font>
    <font>
      <sz val="10"/>
      <color rgb="FF000000"/>
      <name val="微软雅黑"/>
      <charset val="134"/>
    </font>
    <font>
      <sz val="10"/>
      <color rgb="FFFF0000"/>
      <name val="微软雅黑"/>
      <charset val="134"/>
    </font>
    <font>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3" borderId="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9" fillId="4" borderId="7" applyNumberFormat="0" applyAlignment="0" applyProtection="0">
      <alignment vertical="center"/>
    </xf>
    <xf numFmtId="0" fontId="20" fillId="5" borderId="8" applyNumberFormat="0" applyAlignment="0" applyProtection="0">
      <alignment vertical="center"/>
    </xf>
    <xf numFmtId="0" fontId="21" fillId="5" borderId="7" applyNumberFormat="0" applyAlignment="0" applyProtection="0">
      <alignment vertical="center"/>
    </xf>
    <xf numFmtId="0" fontId="22" fillId="6" borderId="9" applyNumberFormat="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10" fillId="0" borderId="0">
      <alignment vertical="center"/>
    </xf>
  </cellStyleXfs>
  <cellXfs count="58">
    <xf numFmtId="0" fontId="0" fillId="0" borderId="0" xfId="0" applyNumberFormat="1"/>
    <xf numFmtId="0" fontId="1" fillId="0" borderId="1" xfId="0" applyFont="1" applyFill="1" applyBorder="1" applyAlignment="1">
      <alignment horizontal="center" vertical="center"/>
    </xf>
    <xf numFmtId="0" fontId="1" fillId="0" borderId="0" xfId="0" applyNumberFormat="1" applyFont="1" applyFill="1" applyBorder="1" applyAlignment="1" applyProtection="1"/>
    <xf numFmtId="0" fontId="1" fillId="0" borderId="1" xfId="0" applyNumberFormat="1" applyFont="1" applyFill="1" applyBorder="1" applyAlignment="1">
      <alignment horizontal="left" vertical="center"/>
    </xf>
    <xf numFmtId="0" fontId="1" fillId="0" borderId="1" xfId="0" applyFont="1" applyFill="1" applyBorder="1" applyAlignment="1">
      <alignment horizontal="right" vertical="center"/>
    </xf>
    <xf numFmtId="0" fontId="1" fillId="0" borderId="1" xfId="0" applyFont="1" applyFill="1" applyBorder="1" applyAlignment="1">
      <alignment horizontal="left" vertical="center"/>
    </xf>
    <xf numFmtId="176" fontId="1" fillId="0" borderId="1" xfId="0" applyNumberFormat="1" applyFont="1" applyFill="1" applyBorder="1" applyAlignment="1">
      <alignment horizontal="left" vertical="center"/>
    </xf>
    <xf numFmtId="177" fontId="1" fillId="0" borderId="0" xfId="0" applyNumberFormat="1" applyFont="1" applyFill="1" applyBorder="1" applyAlignment="1" applyProtection="1"/>
    <xf numFmtId="10" fontId="1" fillId="0" borderId="0" xfId="0" applyNumberFormat="1" applyFont="1" applyFill="1" applyBorder="1" applyAlignment="1" applyProtection="1"/>
    <xf numFmtId="177" fontId="1" fillId="0" borderId="1" xfId="0" applyNumberFormat="1" applyFont="1" applyFill="1" applyBorder="1" applyAlignment="1">
      <alignment horizontal="center" vertical="center"/>
    </xf>
    <xf numFmtId="10" fontId="1" fillId="0" borderId="1" xfId="0" applyNumberFormat="1" applyFont="1" applyFill="1" applyBorder="1" applyAlignment="1">
      <alignment horizontal="center" vertical="center"/>
    </xf>
    <xf numFmtId="0" fontId="1" fillId="0" borderId="1" xfId="0" applyNumberFormat="1" applyFont="1" applyFill="1" applyBorder="1" applyAlignment="1">
      <alignment vertical="center"/>
    </xf>
    <xf numFmtId="177" fontId="1" fillId="0" borderId="1" xfId="0" applyNumberFormat="1" applyFont="1" applyFill="1" applyBorder="1" applyAlignment="1">
      <alignment horizontal="right" vertical="center"/>
    </xf>
    <xf numFmtId="10" fontId="1" fillId="0" borderId="1" xfId="0" applyNumberFormat="1" applyFont="1" applyFill="1" applyBorder="1" applyAlignment="1">
      <alignment horizontal="right" vertical="center"/>
    </xf>
    <xf numFmtId="0" fontId="1" fillId="0" borderId="1" xfId="0" applyFont="1" applyFill="1" applyBorder="1" applyAlignment="1">
      <alignment vertical="center"/>
    </xf>
    <xf numFmtId="0" fontId="2" fillId="0" borderId="0" xfId="0" applyNumberFormat="1" applyFont="1" applyFill="1" applyBorder="1" applyAlignment="1" applyProtection="1"/>
    <xf numFmtId="0" fontId="3" fillId="0" borderId="0" xfId="0" applyFont="1" applyFill="1" applyBorder="1" applyAlignment="1">
      <alignment horizontal="center" vertical="center"/>
    </xf>
    <xf numFmtId="0" fontId="3" fillId="0" borderId="0" xfId="0" applyFont="1" applyFill="1" applyAlignment="1">
      <alignment horizontal="center" vertical="center"/>
    </xf>
    <xf numFmtId="0" fontId="0" fillId="0" borderId="0" xfId="0" applyNumberFormat="1" applyAlignment="1">
      <alignment horizontal="left"/>
    </xf>
    <xf numFmtId="177" fontId="0" fillId="0" borderId="0" xfId="0" applyNumberFormat="1"/>
    <xf numFmtId="0" fontId="0" fillId="0" borderId="0" xfId="0" applyNumberFormat="1" applyAlignment="1">
      <alignment wrapText="1"/>
    </xf>
    <xf numFmtId="10" fontId="0" fillId="0" borderId="0" xfId="0" applyNumberFormat="1"/>
    <xf numFmtId="0" fontId="4"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5" fillId="2" borderId="2" xfId="0" applyFont="1" applyFill="1" applyBorder="1" applyAlignment="1">
      <alignment horizontal="center" vertical="center" wrapText="1"/>
    </xf>
    <xf numFmtId="177" fontId="5" fillId="2" borderId="2"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177" fontId="4" fillId="2" borderId="2" xfId="0" applyNumberFormat="1" applyFont="1" applyFill="1" applyBorder="1" applyAlignment="1">
      <alignment horizontal="center" vertical="center" wrapText="1"/>
    </xf>
    <xf numFmtId="10" fontId="4" fillId="2" borderId="2" xfId="0"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6" fillId="0" borderId="3" xfId="0" applyFont="1" applyFill="1" applyBorder="1" applyAlignment="1">
      <alignment horizontal="center" vertical="center" wrapText="1"/>
    </xf>
    <xf numFmtId="178" fontId="6" fillId="0" borderId="3" xfId="0" applyNumberFormat="1" applyFont="1" applyFill="1" applyBorder="1" applyAlignment="1">
      <alignment horizontal="center" vertical="center" wrapText="1"/>
    </xf>
    <xf numFmtId="0" fontId="6" fillId="0" borderId="3" xfId="0" applyNumberFormat="1" applyFont="1" applyFill="1" applyBorder="1" applyAlignment="1">
      <alignment horizontal="center" vertical="center" wrapText="1"/>
    </xf>
    <xf numFmtId="179" fontId="6" fillId="0" borderId="3" xfId="0" applyNumberFormat="1" applyFont="1" applyFill="1" applyBorder="1" applyAlignment="1">
      <alignment horizontal="center" vertical="center" wrapText="1"/>
    </xf>
    <xf numFmtId="177" fontId="6" fillId="0" borderId="3" xfId="0" applyNumberFormat="1" applyFont="1" applyFill="1" applyBorder="1" applyAlignment="1">
      <alignment horizontal="center" vertical="center" wrapText="1"/>
    </xf>
    <xf numFmtId="177" fontId="3" fillId="0" borderId="3" xfId="0" applyNumberFormat="1" applyFont="1" applyFill="1" applyBorder="1" applyAlignment="1">
      <alignment horizontal="center" vertical="center"/>
    </xf>
    <xf numFmtId="177" fontId="7" fillId="0" borderId="3" xfId="0" applyNumberFormat="1" applyFont="1" applyFill="1" applyBorder="1" applyAlignment="1" applyProtection="1">
      <alignment horizontal="center" vertical="center"/>
    </xf>
    <xf numFmtId="0" fontId="7" fillId="0" borderId="3" xfId="0" applyFont="1" applyFill="1" applyBorder="1" applyAlignment="1" applyProtection="1">
      <alignment horizontal="center" vertical="center"/>
    </xf>
    <xf numFmtId="180" fontId="6" fillId="0" borderId="3"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10" fontId="6" fillId="0" borderId="3" xfId="0" applyNumberFormat="1" applyFont="1" applyFill="1" applyBorder="1" applyAlignment="1" applyProtection="1">
      <alignment horizontal="center" vertical="center"/>
    </xf>
    <xf numFmtId="177" fontId="7" fillId="0" borderId="3" xfId="0" applyNumberFormat="1" applyFont="1" applyFill="1" applyBorder="1" applyAlignment="1">
      <alignment horizontal="center" vertical="center"/>
    </xf>
    <xf numFmtId="10" fontId="7" fillId="0" borderId="3" xfId="0" applyNumberFormat="1" applyFont="1" applyFill="1" applyBorder="1" applyAlignment="1" applyProtection="1">
      <alignment horizontal="center" vertical="center"/>
    </xf>
    <xf numFmtId="10" fontId="3" fillId="0" borderId="0" xfId="0" applyNumberFormat="1" applyFont="1" applyFill="1" applyBorder="1" applyAlignment="1">
      <alignment horizontal="center" vertical="center"/>
    </xf>
    <xf numFmtId="10" fontId="6" fillId="0" borderId="3" xfId="0" applyNumberFormat="1" applyFont="1" applyFill="1" applyBorder="1" applyAlignment="1">
      <alignment horizontal="center" vertical="center" wrapText="1"/>
    </xf>
    <xf numFmtId="181" fontId="7" fillId="0" borderId="3" xfId="0" applyNumberFormat="1" applyFont="1" applyFill="1" applyBorder="1" applyAlignment="1" applyProtection="1">
      <alignment horizontal="center" vertical="center"/>
    </xf>
    <xf numFmtId="9" fontId="7" fillId="0" borderId="3" xfId="0" applyNumberFormat="1" applyFont="1" applyFill="1" applyBorder="1" applyAlignment="1" applyProtection="1">
      <alignment horizontal="center" vertical="center"/>
    </xf>
    <xf numFmtId="182" fontId="7" fillId="0" borderId="3" xfId="0" applyNumberFormat="1" applyFont="1" applyFill="1" applyBorder="1" applyAlignment="1" applyProtection="1">
      <alignment horizontal="center" vertical="center"/>
    </xf>
    <xf numFmtId="183" fontId="7" fillId="0" borderId="3" xfId="0" applyNumberFormat="1" applyFont="1" applyFill="1" applyBorder="1" applyAlignment="1" applyProtection="1">
      <alignment horizontal="center" vertical="center"/>
    </xf>
    <xf numFmtId="10" fontId="8" fillId="0" borderId="3" xfId="0" applyNumberFormat="1" applyFont="1" applyFill="1" applyBorder="1" applyAlignment="1" applyProtection="1">
      <alignment horizontal="center" vertical="center"/>
    </xf>
    <xf numFmtId="0" fontId="3" fillId="0" borderId="0" xfId="0" applyNumberFormat="1" applyFont="1" applyAlignment="1">
      <alignment horizontal="center" wrapText="1"/>
    </xf>
    <xf numFmtId="0" fontId="9" fillId="0" borderId="2" xfId="0" applyFont="1" applyFill="1" applyBorder="1" applyAlignment="1">
      <alignment horizontal="center" vertical="center" wrapText="1"/>
    </xf>
    <xf numFmtId="0" fontId="3" fillId="0" borderId="0" xfId="0" applyNumberFormat="1" applyFont="1" applyAlignment="1">
      <alignment horizontal="center"/>
    </xf>
    <xf numFmtId="0" fontId="3" fillId="0" borderId="0" xfId="0" applyNumberFormat="1" applyFont="1" applyAlignment="1">
      <alignment horizontal="left"/>
    </xf>
    <xf numFmtId="0" fontId="6" fillId="0" borderId="0" xfId="0" applyNumberFormat="1" applyFont="1" applyFill="1" applyAlignment="1">
      <alignment horizontal="center" vertical="center" wrapText="1"/>
    </xf>
    <xf numFmtId="177" fontId="3" fillId="0" borderId="0" xfId="0" applyNumberFormat="1" applyFont="1" applyAlignment="1">
      <alignment horizontal="center"/>
    </xf>
    <xf numFmtId="10" fontId="3" fillId="0" borderId="0" xfId="0" applyNumberFormat="1" applyFont="1" applyAlignment="1">
      <alignment horizont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L220"/>
  <sheetViews>
    <sheetView tabSelected="1" workbookViewId="0">
      <pane xSplit="2" ySplit="1" topLeftCell="Z2" activePane="bottomRight" state="frozen"/>
      <selection/>
      <selection pane="topRight"/>
      <selection pane="bottomLeft"/>
      <selection pane="bottomRight" activeCell="AD4" sqref="AD4"/>
    </sheetView>
  </sheetViews>
  <sheetFormatPr defaultColWidth="9" defaultRowHeight="14.25"/>
  <cols>
    <col min="1" max="1" width="11.875" customWidth="1"/>
    <col min="2" max="2" width="32.5" style="18" customWidth="1"/>
    <col min="3" max="3" width="24" customWidth="1"/>
    <col min="4" max="4" width="21.25" customWidth="1"/>
    <col min="5" max="5" width="11.125" style="19"/>
    <col min="6" max="6" width="11.125"/>
    <col min="7" max="8" width="11.125" style="19"/>
    <col min="9" max="14" width="9" style="19"/>
    <col min="16" max="16" width="12.625" style="19"/>
    <col min="17" max="17" width="12.625"/>
    <col min="21" max="21" width="9.625"/>
    <col min="23" max="23" width="28.5" style="20" customWidth="1"/>
    <col min="24" max="25" width="9" style="19"/>
    <col min="27" max="27" width="9.375" style="19"/>
    <col min="28" max="28" width="9" style="19"/>
    <col min="30" max="30" width="12.625" style="19"/>
    <col min="31" max="32" width="9" style="21"/>
    <col min="33" max="34" width="12.625" style="21"/>
    <col min="35" max="41" width="9" style="21"/>
  </cols>
  <sheetData>
    <row r="1" s="16" customFormat="1" ht="49.5" spans="1:89">
      <c r="A1" s="22" t="s">
        <v>0</v>
      </c>
      <c r="B1" s="23" t="s">
        <v>1</v>
      </c>
      <c r="C1" s="24" t="s">
        <v>2</v>
      </c>
      <c r="D1" s="24" t="s">
        <v>3</v>
      </c>
      <c r="E1" s="25" t="s">
        <v>4</v>
      </c>
      <c r="F1" s="26" t="s">
        <v>5</v>
      </c>
      <c r="G1" s="25" t="s">
        <v>6</v>
      </c>
      <c r="H1" s="25" t="s">
        <v>7</v>
      </c>
      <c r="I1" s="27" t="s">
        <v>8</v>
      </c>
      <c r="J1" s="27" t="s">
        <v>9</v>
      </c>
      <c r="K1" s="27" t="s">
        <v>10</v>
      </c>
      <c r="L1" s="27" t="s">
        <v>11</v>
      </c>
      <c r="M1" s="27" t="s">
        <v>12</v>
      </c>
      <c r="N1" s="27" t="s">
        <v>13</v>
      </c>
      <c r="O1" s="22" t="s">
        <v>14</v>
      </c>
      <c r="P1" s="27" t="s">
        <v>15</v>
      </c>
      <c r="Q1" s="22" t="s">
        <v>16</v>
      </c>
      <c r="R1" s="22" t="s">
        <v>17</v>
      </c>
      <c r="S1" s="22" t="s">
        <v>18</v>
      </c>
      <c r="T1" s="22" t="s">
        <v>19</v>
      </c>
      <c r="U1" s="24" t="s">
        <v>20</v>
      </c>
      <c r="V1" s="22" t="s">
        <v>21</v>
      </c>
      <c r="W1" s="22" t="s">
        <v>22</v>
      </c>
      <c r="X1" s="27" t="s">
        <v>23</v>
      </c>
      <c r="Y1" s="27" t="s">
        <v>24</v>
      </c>
      <c r="Z1" s="22" t="s">
        <v>25</v>
      </c>
      <c r="AA1" s="27" t="s">
        <v>26</v>
      </c>
      <c r="AB1" s="27" t="s">
        <v>27</v>
      </c>
      <c r="AC1" s="22" t="s">
        <v>28</v>
      </c>
      <c r="AD1" s="27" t="s">
        <v>29</v>
      </c>
      <c r="AE1" s="28" t="s">
        <v>30</v>
      </c>
      <c r="AF1" s="28" t="s">
        <v>31</v>
      </c>
      <c r="AG1" s="28" t="s">
        <v>32</v>
      </c>
      <c r="AH1" s="28" t="s">
        <v>33</v>
      </c>
      <c r="AI1" s="28" t="s">
        <v>34</v>
      </c>
      <c r="AJ1" s="28" t="s">
        <v>35</v>
      </c>
      <c r="AK1" s="28" t="s">
        <v>36</v>
      </c>
      <c r="AL1" s="28" t="s">
        <v>37</v>
      </c>
      <c r="AM1" s="28" t="s">
        <v>38</v>
      </c>
      <c r="AN1" s="28" t="s">
        <v>39</v>
      </c>
      <c r="AO1" s="28" t="s">
        <v>40</v>
      </c>
      <c r="AP1" s="22" t="s">
        <v>41</v>
      </c>
      <c r="AQ1" s="22" t="s">
        <v>42</v>
      </c>
      <c r="AR1" s="22" t="s">
        <v>43</v>
      </c>
      <c r="AS1" s="22" t="s">
        <v>44</v>
      </c>
      <c r="AT1" s="22" t="s">
        <v>45</v>
      </c>
      <c r="AU1" s="22" t="s">
        <v>46</v>
      </c>
      <c r="AV1" s="22" t="s">
        <v>47</v>
      </c>
      <c r="AW1" s="22" t="s">
        <v>48</v>
      </c>
      <c r="AX1" s="22" t="s">
        <v>49</v>
      </c>
      <c r="AY1" s="22" t="s">
        <v>50</v>
      </c>
      <c r="AZ1" s="22" t="s">
        <v>51</v>
      </c>
      <c r="BA1" s="22" t="s">
        <v>52</v>
      </c>
      <c r="BB1" s="22" t="s">
        <v>53</v>
      </c>
      <c r="BC1" s="22" t="s">
        <v>54</v>
      </c>
      <c r="BD1" s="22" t="s">
        <v>55</v>
      </c>
      <c r="BE1" s="22" t="s">
        <v>56</v>
      </c>
      <c r="BF1" s="22" t="s">
        <v>57</v>
      </c>
      <c r="BG1" s="22" t="s">
        <v>58</v>
      </c>
      <c r="BH1" s="22" t="s">
        <v>59</v>
      </c>
      <c r="BI1" s="22" t="s">
        <v>60</v>
      </c>
      <c r="BJ1" s="22" t="s">
        <v>61</v>
      </c>
      <c r="BK1" s="22" t="s">
        <v>62</v>
      </c>
      <c r="BL1" s="22" t="s">
        <v>63</v>
      </c>
      <c r="BM1" s="22" t="s">
        <v>64</v>
      </c>
      <c r="BN1" s="22" t="s">
        <v>65</v>
      </c>
      <c r="BO1" s="22" t="s">
        <v>66</v>
      </c>
      <c r="BP1" s="22" t="s">
        <v>67</v>
      </c>
      <c r="BQ1" s="22" t="s">
        <v>68</v>
      </c>
      <c r="BR1" s="22" t="s">
        <v>69</v>
      </c>
      <c r="BS1" s="22" t="s">
        <v>70</v>
      </c>
      <c r="BT1" s="22" t="s">
        <v>71</v>
      </c>
      <c r="BU1" s="22" t="s">
        <v>72</v>
      </c>
      <c r="BV1" s="22" t="s">
        <v>73</v>
      </c>
      <c r="BW1" s="22" t="s">
        <v>74</v>
      </c>
      <c r="BX1" s="22" t="s">
        <v>75</v>
      </c>
      <c r="BY1" s="22" t="s">
        <v>76</v>
      </c>
      <c r="BZ1" s="22" t="s">
        <v>77</v>
      </c>
      <c r="CA1" s="22" t="s">
        <v>78</v>
      </c>
      <c r="CB1" s="22" t="s">
        <v>79</v>
      </c>
      <c r="CC1" s="22" t="s">
        <v>80</v>
      </c>
      <c r="CD1" s="22" t="s">
        <v>81</v>
      </c>
      <c r="CE1" s="22" t="s">
        <v>82</v>
      </c>
      <c r="CF1" s="22" t="s">
        <v>83</v>
      </c>
      <c r="CG1" s="22" t="s">
        <v>84</v>
      </c>
      <c r="CH1" s="22" t="s">
        <v>85</v>
      </c>
      <c r="CI1" s="22" t="s">
        <v>86</v>
      </c>
      <c r="CJ1" s="22" t="s">
        <v>87</v>
      </c>
      <c r="CK1" s="22" t="s">
        <v>88</v>
      </c>
    </row>
    <row r="2" s="17" customFormat="1" ht="33" spans="1:89">
      <c r="A2" s="29" t="s">
        <v>89</v>
      </c>
      <c r="B2" s="30" t="s">
        <v>90</v>
      </c>
      <c r="C2" s="29" t="s">
        <v>91</v>
      </c>
      <c r="D2" s="31" t="s">
        <v>92</v>
      </c>
      <c r="E2" s="32">
        <v>46007</v>
      </c>
      <c r="F2" s="33">
        <v>40</v>
      </c>
      <c r="G2" s="34">
        <f>F2+15+15+60</f>
        <v>130</v>
      </c>
      <c r="H2" s="35">
        <v>2.5</v>
      </c>
      <c r="I2" s="36">
        <v>23.2477876106195</v>
      </c>
      <c r="J2" s="35">
        <v>7.1264701612</v>
      </c>
      <c r="K2" s="35">
        <v>53.516</v>
      </c>
      <c r="L2" s="35">
        <v>68.23868</v>
      </c>
      <c r="M2" s="35">
        <v>5.776056</v>
      </c>
      <c r="N2" s="35">
        <v>14.38191735552</v>
      </c>
      <c r="O2" s="35">
        <v>0</v>
      </c>
      <c r="P2" s="35">
        <v>2.39742809734513</v>
      </c>
      <c r="Q2" s="35" t="s">
        <v>93</v>
      </c>
      <c r="R2" s="37" t="s">
        <v>94</v>
      </c>
      <c r="S2" s="35">
        <v>6.8</v>
      </c>
      <c r="T2" s="38" t="s">
        <v>95</v>
      </c>
      <c r="U2" s="39">
        <v>23.0599999999999</v>
      </c>
      <c r="V2" s="38">
        <v>2588306.92</v>
      </c>
      <c r="W2" s="40"/>
      <c r="X2" s="35"/>
      <c r="Y2" s="35"/>
      <c r="Z2" s="35"/>
      <c r="AA2" s="35"/>
      <c r="AB2" s="35">
        <v>23.742</v>
      </c>
      <c r="AC2" s="41">
        <v>0.1</v>
      </c>
      <c r="AD2" s="42">
        <v>24.9747012894204</v>
      </c>
      <c r="AE2" s="43">
        <v>0.129597888388148</v>
      </c>
      <c r="AF2" s="43">
        <v>0.0133647822400277</v>
      </c>
      <c r="AG2" s="43">
        <v>0.039727457082014</v>
      </c>
      <c r="AH2" s="43">
        <v>0.29833206974981</v>
      </c>
      <c r="AI2" s="44">
        <v>0.1769</v>
      </c>
      <c r="AJ2" s="44">
        <v>0.0336</v>
      </c>
      <c r="AK2" s="45">
        <v>0.0006</v>
      </c>
      <c r="AL2" s="45">
        <v>0</v>
      </c>
      <c r="AM2" s="45">
        <v>0.1125</v>
      </c>
      <c r="AN2" s="44">
        <v>0.032199393479909</v>
      </c>
      <c r="AO2" s="43">
        <v>0.178878409060092</v>
      </c>
      <c r="AP2" s="46"/>
      <c r="AQ2" s="29"/>
      <c r="AR2" s="29"/>
      <c r="AS2" s="29"/>
      <c r="AT2" s="29"/>
      <c r="AU2" s="29"/>
      <c r="AV2" s="29"/>
      <c r="AW2" s="29"/>
      <c r="AX2" s="29"/>
      <c r="AY2" s="29"/>
      <c r="AZ2" s="29"/>
      <c r="BA2" s="29"/>
      <c r="BB2" s="29"/>
      <c r="BC2" s="29"/>
      <c r="BD2" s="29"/>
      <c r="BE2" s="29"/>
      <c r="BF2" s="47">
        <v>0.15</v>
      </c>
      <c r="BG2" s="48">
        <v>15.9585659646405</v>
      </c>
      <c r="BH2" s="48">
        <v>23.742</v>
      </c>
      <c r="BI2" s="48">
        <f t="shared" ref="BI2:BI6" si="0">BG2/BH2</f>
        <v>0.672166033385582</v>
      </c>
      <c r="BJ2" s="45">
        <v>0.2652</v>
      </c>
      <c r="BK2" s="45">
        <v>0.211</v>
      </c>
      <c r="BL2" s="45"/>
      <c r="BM2" s="37"/>
      <c r="BN2" s="37"/>
      <c r="BO2" s="49"/>
      <c r="BP2" s="37"/>
      <c r="BQ2" s="37"/>
      <c r="BR2" s="49"/>
      <c r="BS2" s="29"/>
      <c r="BT2" s="29"/>
      <c r="BU2" s="29"/>
      <c r="BV2" s="29"/>
      <c r="BW2" s="29"/>
      <c r="BX2" s="29"/>
      <c r="BY2" s="29"/>
      <c r="BZ2" s="29"/>
      <c r="CA2" s="29"/>
      <c r="CB2" s="29"/>
      <c r="CC2" s="29"/>
      <c r="CD2" s="29"/>
      <c r="CE2" s="29"/>
      <c r="CF2" s="29"/>
      <c r="CG2" s="29"/>
      <c r="CH2" s="29"/>
      <c r="CI2" s="29"/>
      <c r="CJ2" s="29"/>
      <c r="CK2" s="29"/>
    </row>
    <row r="3" s="17" customFormat="1" ht="82.5" spans="1:89">
      <c r="A3" s="29" t="s">
        <v>96</v>
      </c>
      <c r="B3" s="30" t="s">
        <v>97</v>
      </c>
      <c r="C3" s="29" t="s">
        <v>98</v>
      </c>
      <c r="D3" s="31" t="s">
        <v>99</v>
      </c>
      <c r="E3" s="32">
        <v>46007</v>
      </c>
      <c r="F3" s="33">
        <v>35</v>
      </c>
      <c r="G3" s="34">
        <f t="shared" ref="G3:G66" si="1">F3+15+15+60</f>
        <v>125</v>
      </c>
      <c r="H3" s="35">
        <v>1.25</v>
      </c>
      <c r="I3" s="36">
        <v>22.9469026548673</v>
      </c>
      <c r="J3" s="35">
        <v>5.7627009258</v>
      </c>
      <c r="K3" s="35">
        <v>51.34</v>
      </c>
      <c r="L3" s="35">
        <v>68.23868</v>
      </c>
      <c r="M3" s="35">
        <v>4.670325</v>
      </c>
      <c r="N3" s="35">
        <v>11.628735624</v>
      </c>
      <c r="O3" s="35">
        <v>0</v>
      </c>
      <c r="P3" s="35">
        <v>2.36639933628319</v>
      </c>
      <c r="Q3" s="35" t="s">
        <v>93</v>
      </c>
      <c r="R3" s="37" t="s">
        <v>94</v>
      </c>
      <c r="S3" s="35">
        <v>6.8</v>
      </c>
      <c r="T3" s="38" t="s">
        <v>100</v>
      </c>
      <c r="U3" s="39">
        <v>3.28999999999996</v>
      </c>
      <c r="V3" s="38">
        <v>1558827.96</v>
      </c>
      <c r="W3" s="40"/>
      <c r="X3" s="35"/>
      <c r="Y3" s="35"/>
      <c r="Z3" s="35"/>
      <c r="AA3" s="35"/>
      <c r="AB3" s="35">
        <v>26.982</v>
      </c>
      <c r="AC3" s="41">
        <v>0.1</v>
      </c>
      <c r="AD3" s="42">
        <v>23.6244473878681</v>
      </c>
      <c r="AE3" s="43">
        <v>0.112559856840184</v>
      </c>
      <c r="AF3" s="43">
        <v>0.011607735236644</v>
      </c>
      <c r="AG3" s="43">
        <v>0.0282673788692462</v>
      </c>
      <c r="AH3" s="43">
        <v>0.251834556370914</v>
      </c>
      <c r="AI3" s="44">
        <v>0.1769</v>
      </c>
      <c r="AJ3" s="44">
        <v>0.0336</v>
      </c>
      <c r="AK3" s="45">
        <v>0.0006</v>
      </c>
      <c r="AL3" s="45">
        <v>0</v>
      </c>
      <c r="AM3" s="45">
        <v>0.1125</v>
      </c>
      <c r="AN3" s="44">
        <v>0.0229090226817879</v>
      </c>
      <c r="AO3" s="43">
        <v>0.264921450001224</v>
      </c>
      <c r="AP3" s="46"/>
      <c r="AQ3" s="29"/>
      <c r="AR3" s="29"/>
      <c r="AS3" s="29"/>
      <c r="AT3" s="29"/>
      <c r="AU3" s="29"/>
      <c r="AV3" s="29"/>
      <c r="AW3" s="29"/>
      <c r="AX3" s="29"/>
      <c r="AY3" s="29"/>
      <c r="AZ3" s="29"/>
      <c r="BA3" s="29"/>
      <c r="BB3" s="29"/>
      <c r="BC3" s="29"/>
      <c r="BD3" s="29"/>
      <c r="BE3" s="29"/>
      <c r="BF3" s="47">
        <v>0.15</v>
      </c>
      <c r="BG3" s="48">
        <v>15.0839604379018</v>
      </c>
      <c r="BH3" s="48">
        <v>26.982</v>
      </c>
      <c r="BI3" s="48">
        <f t="shared" si="0"/>
        <v>0.559037893332659</v>
      </c>
      <c r="BJ3" s="45">
        <v>0.2652</v>
      </c>
      <c r="BK3" s="45">
        <v>0.211</v>
      </c>
      <c r="BL3" s="45"/>
      <c r="BM3" s="37"/>
      <c r="BN3" s="37"/>
      <c r="BO3" s="49"/>
      <c r="BP3" s="37"/>
      <c r="BQ3" s="37"/>
      <c r="BR3" s="49"/>
      <c r="BS3" s="29"/>
      <c r="BT3" s="29"/>
      <c r="BU3" s="29"/>
      <c r="BV3" s="29"/>
      <c r="BW3" s="29"/>
      <c r="BX3" s="29"/>
      <c r="BY3" s="29"/>
      <c r="BZ3" s="29"/>
      <c r="CA3" s="29"/>
      <c r="CB3" s="29"/>
      <c r="CC3" s="29"/>
      <c r="CD3" s="29"/>
      <c r="CE3" s="29"/>
      <c r="CF3" s="29"/>
      <c r="CG3" s="29"/>
      <c r="CH3" s="29"/>
      <c r="CI3" s="29"/>
      <c r="CJ3" s="29"/>
      <c r="CK3" s="29"/>
    </row>
    <row r="4" s="17" customFormat="1" ht="33" spans="1:89">
      <c r="A4" s="29" t="s">
        <v>101</v>
      </c>
      <c r="B4" s="30" t="s">
        <v>102</v>
      </c>
      <c r="C4" s="29" t="s">
        <v>103</v>
      </c>
      <c r="D4" s="31" t="s">
        <v>104</v>
      </c>
      <c r="E4" s="32">
        <v>46007</v>
      </c>
      <c r="F4" s="33">
        <v>40</v>
      </c>
      <c r="G4" s="34">
        <f t="shared" si="1"/>
        <v>130</v>
      </c>
      <c r="H4" s="35">
        <v>1.66666666666667</v>
      </c>
      <c r="I4" s="36">
        <v>15.9115044247788</v>
      </c>
      <c r="J4" s="35">
        <v>3.8373768448</v>
      </c>
      <c r="K4" s="35">
        <v>47.124</v>
      </c>
      <c r="L4" s="35">
        <v>66.31428</v>
      </c>
      <c r="M4" s="35">
        <v>3.110184</v>
      </c>
      <c r="N4" s="35">
        <v>7.74410934528</v>
      </c>
      <c r="O4" s="35">
        <v>0</v>
      </c>
      <c r="P4" s="35">
        <v>1.64087389380531</v>
      </c>
      <c r="Q4" s="35" t="s">
        <v>93</v>
      </c>
      <c r="R4" s="37" t="s">
        <v>94</v>
      </c>
      <c r="S4" s="35">
        <v>6.8</v>
      </c>
      <c r="T4" s="38" t="s">
        <v>105</v>
      </c>
      <c r="U4" s="39">
        <v>19.5999999999999</v>
      </c>
      <c r="V4" s="38">
        <v>407859</v>
      </c>
      <c r="W4" s="40"/>
      <c r="X4" s="35"/>
      <c r="Y4" s="35"/>
      <c r="Z4" s="35"/>
      <c r="AA4" s="35"/>
      <c r="AB4" s="35">
        <v>22.482</v>
      </c>
      <c r="AC4" s="41">
        <v>0.1</v>
      </c>
      <c r="AD4" s="42">
        <v>19.4298694519635</v>
      </c>
      <c r="AE4" s="43">
        <v>0.0936720224696155</v>
      </c>
      <c r="AF4" s="43">
        <v>0.0096599273171791</v>
      </c>
      <c r="AG4" s="43">
        <v>0.022590877671549</v>
      </c>
      <c r="AH4" s="43">
        <v>0.27742193755004</v>
      </c>
      <c r="AI4" s="44">
        <v>0.1769</v>
      </c>
      <c r="AJ4" s="44">
        <v>0.0336</v>
      </c>
      <c r="AK4" s="45">
        <v>0.0006</v>
      </c>
      <c r="AL4" s="45">
        <v>0</v>
      </c>
      <c r="AM4" s="45">
        <v>0.1125</v>
      </c>
      <c r="AN4" s="44">
        <v>0.0183098478783026</v>
      </c>
      <c r="AO4" s="43">
        <v>0.270445387113314</v>
      </c>
      <c r="AP4" s="46"/>
      <c r="AQ4" s="29"/>
      <c r="AR4" s="29"/>
      <c r="AS4" s="29"/>
      <c r="AT4" s="29"/>
      <c r="AU4" s="29"/>
      <c r="AV4" s="29"/>
      <c r="AW4" s="29"/>
      <c r="AX4" s="29"/>
      <c r="AY4" s="29"/>
      <c r="AZ4" s="29"/>
      <c r="BA4" s="29"/>
      <c r="BB4" s="29"/>
      <c r="BC4" s="29"/>
      <c r="BD4" s="29"/>
      <c r="BE4" s="29"/>
      <c r="BF4" s="47">
        <v>0.15</v>
      </c>
      <c r="BG4" s="48">
        <v>10.3760173116338</v>
      </c>
      <c r="BH4" s="48">
        <v>22.482</v>
      </c>
      <c r="BI4" s="48">
        <f t="shared" si="0"/>
        <v>0.461525545397821</v>
      </c>
      <c r="BJ4" s="45">
        <v>0.2652</v>
      </c>
      <c r="BK4" s="45">
        <v>0.211</v>
      </c>
      <c r="BL4" s="45"/>
      <c r="BM4" s="37"/>
      <c r="BN4" s="37"/>
      <c r="BO4" s="49"/>
      <c r="BP4" s="37"/>
      <c r="BQ4" s="37"/>
      <c r="BR4" s="49"/>
      <c r="BS4" s="29"/>
      <c r="BT4" s="29"/>
      <c r="BU4" s="29"/>
      <c r="BV4" s="29"/>
      <c r="BW4" s="29"/>
      <c r="BX4" s="29"/>
      <c r="BY4" s="29"/>
      <c r="BZ4" s="29"/>
      <c r="CA4" s="29"/>
      <c r="CB4" s="29"/>
      <c r="CC4" s="29"/>
      <c r="CD4" s="29"/>
      <c r="CE4" s="29"/>
      <c r="CF4" s="29"/>
      <c r="CG4" s="29"/>
      <c r="CH4" s="29"/>
      <c r="CI4" s="29"/>
      <c r="CJ4" s="29"/>
      <c r="CK4" s="29"/>
    </row>
    <row r="5" s="17" customFormat="1" ht="33" spans="1:89">
      <c r="A5" s="29" t="s">
        <v>106</v>
      </c>
      <c r="B5" s="30" t="s">
        <v>107</v>
      </c>
      <c r="C5" s="29" t="s">
        <v>108</v>
      </c>
      <c r="D5" s="31" t="s">
        <v>104</v>
      </c>
      <c r="E5" s="32">
        <v>46007</v>
      </c>
      <c r="F5" s="33">
        <v>40</v>
      </c>
      <c r="G5" s="34">
        <f t="shared" si="1"/>
        <v>130</v>
      </c>
      <c r="H5" s="35">
        <v>1</v>
      </c>
      <c r="I5" s="36">
        <v>18.4336283185841</v>
      </c>
      <c r="J5" s="35">
        <v>3.8373768448</v>
      </c>
      <c r="K5" s="35">
        <v>47.124</v>
      </c>
      <c r="L5" s="35">
        <v>66.31428</v>
      </c>
      <c r="M5" s="35">
        <v>3.110184</v>
      </c>
      <c r="N5" s="35">
        <v>7.74410934528</v>
      </c>
      <c r="O5" s="35">
        <v>0</v>
      </c>
      <c r="P5" s="35">
        <v>1.90096792035398</v>
      </c>
      <c r="Q5" s="35" t="s">
        <v>93</v>
      </c>
      <c r="R5" s="37" t="s">
        <v>94</v>
      </c>
      <c r="S5" s="35">
        <v>6.8</v>
      </c>
      <c r="T5" s="38" t="s">
        <v>109</v>
      </c>
      <c r="U5" s="39">
        <v>23.1099999999999</v>
      </c>
      <c r="V5" s="38">
        <v>136660</v>
      </c>
      <c r="W5" s="40"/>
      <c r="X5" s="35"/>
      <c r="Y5" s="35"/>
      <c r="Z5" s="35"/>
      <c r="AA5" s="35"/>
      <c r="AB5" s="35">
        <v>21.492</v>
      </c>
      <c r="AC5" s="41">
        <v>0.1</v>
      </c>
      <c r="AD5" s="42">
        <v>20.184618933922</v>
      </c>
      <c r="AE5" s="43">
        <v>0.113518747651148</v>
      </c>
      <c r="AF5" s="43">
        <v>0.0117066208515247</v>
      </c>
      <c r="AG5" s="43">
        <v>0.0236314959897527</v>
      </c>
      <c r="AH5" s="43">
        <v>0.290201005025126</v>
      </c>
      <c r="AI5" s="44">
        <v>0.1769</v>
      </c>
      <c r="AJ5" s="44">
        <v>0.0336</v>
      </c>
      <c r="AK5" s="45">
        <v>0.0006</v>
      </c>
      <c r="AL5" s="45">
        <v>0</v>
      </c>
      <c r="AM5" s="45">
        <v>0.1125</v>
      </c>
      <c r="AN5" s="44">
        <v>0.0191532663316583</v>
      </c>
      <c r="AO5" s="43">
        <v>0.23388886415079</v>
      </c>
      <c r="AP5" s="46"/>
      <c r="AQ5" s="29"/>
      <c r="AR5" s="29"/>
      <c r="AS5" s="29"/>
      <c r="AT5" s="29"/>
      <c r="AU5" s="29"/>
      <c r="AV5" s="29"/>
      <c r="AW5" s="29"/>
      <c r="AX5" s="29"/>
      <c r="AY5" s="29"/>
      <c r="AZ5" s="29"/>
      <c r="BA5" s="29"/>
      <c r="BB5" s="29"/>
      <c r="BC5" s="29"/>
      <c r="BD5" s="29"/>
      <c r="BE5" s="29"/>
      <c r="BF5" s="47">
        <v>0.15</v>
      </c>
      <c r="BG5" s="48">
        <v>11.7011354703277</v>
      </c>
      <c r="BH5" s="48">
        <v>21.492</v>
      </c>
      <c r="BI5" s="48">
        <f t="shared" si="0"/>
        <v>0.544441441947129</v>
      </c>
      <c r="BJ5" s="45">
        <v>0.2652</v>
      </c>
      <c r="BK5" s="45">
        <v>0.211</v>
      </c>
      <c r="BL5" s="45"/>
      <c r="BM5" s="37"/>
      <c r="BN5" s="37"/>
      <c r="BO5" s="49"/>
      <c r="BP5" s="37"/>
      <c r="BQ5" s="37"/>
      <c r="BR5" s="49"/>
      <c r="BS5" s="29"/>
      <c r="BT5" s="29"/>
      <c r="BU5" s="29"/>
      <c r="BV5" s="29"/>
      <c r="BW5" s="29"/>
      <c r="BX5" s="29"/>
      <c r="BY5" s="29"/>
      <c r="BZ5" s="29"/>
      <c r="CA5" s="29"/>
      <c r="CB5" s="29"/>
      <c r="CC5" s="29"/>
      <c r="CD5" s="29"/>
      <c r="CE5" s="29"/>
      <c r="CF5" s="29"/>
      <c r="CG5" s="29"/>
      <c r="CH5" s="29"/>
      <c r="CI5" s="29"/>
      <c r="CJ5" s="29"/>
      <c r="CK5" s="29"/>
    </row>
    <row r="6" s="16" customFormat="1" ht="33" spans="1:89">
      <c r="A6" s="29" t="s">
        <v>110</v>
      </c>
      <c r="B6" s="30" t="s">
        <v>111</v>
      </c>
      <c r="C6" s="29" t="s">
        <v>112</v>
      </c>
      <c r="D6" s="31"/>
      <c r="E6" s="32">
        <v>46007</v>
      </c>
      <c r="F6" s="33">
        <v>40</v>
      </c>
      <c r="G6" s="34">
        <f t="shared" si="1"/>
        <v>130</v>
      </c>
      <c r="H6" s="35">
        <v>4.16666666666667</v>
      </c>
      <c r="I6" s="36">
        <v>15.1681415929204</v>
      </c>
      <c r="J6" s="35">
        <v>4.2486926176</v>
      </c>
      <c r="K6" s="35">
        <v>47.124</v>
      </c>
      <c r="L6" s="35">
        <v>66.31428</v>
      </c>
      <c r="M6" s="35">
        <v>3.443418</v>
      </c>
      <c r="N6" s="35">
        <v>8.57383534656</v>
      </c>
      <c r="O6" s="35">
        <v>0</v>
      </c>
      <c r="P6" s="35">
        <v>1.56421460176991</v>
      </c>
      <c r="Q6" s="37" t="s">
        <v>93</v>
      </c>
      <c r="R6" s="35" t="s">
        <v>94</v>
      </c>
      <c r="S6" s="35">
        <v>6.8</v>
      </c>
      <c r="T6" s="38" t="s">
        <v>113</v>
      </c>
      <c r="U6" s="39">
        <v>313.853</v>
      </c>
      <c r="V6" s="38">
        <v>11.6099999999999</v>
      </c>
      <c r="W6" s="40"/>
      <c r="X6" s="35"/>
      <c r="Y6" s="35"/>
      <c r="Z6" s="35"/>
      <c r="AA6" s="35"/>
      <c r="AB6" s="35">
        <v>19.782</v>
      </c>
      <c r="AC6" s="41">
        <v>0.1</v>
      </c>
      <c r="AD6" s="42">
        <v>17.7703654023789</v>
      </c>
      <c r="AE6" s="43">
        <v>0.101483578607025</v>
      </c>
      <c r="AF6" s="43">
        <v>0.0104654940438494</v>
      </c>
      <c r="AG6" s="43">
        <v>0.0284261937162126</v>
      </c>
      <c r="AH6" s="43">
        <v>0.315286624203822</v>
      </c>
      <c r="AI6" s="44">
        <v>0.1769</v>
      </c>
      <c r="AJ6" s="44">
        <v>0.0336</v>
      </c>
      <c r="AK6" s="45">
        <v>0.0006</v>
      </c>
      <c r="AL6" s="45">
        <v>0</v>
      </c>
      <c r="AM6" s="45">
        <v>0.1125</v>
      </c>
      <c r="AN6" s="43">
        <v>0.0230384440400364</v>
      </c>
      <c r="AO6" s="43">
        <v>0.213399665389055</v>
      </c>
      <c r="AP6" s="46"/>
      <c r="AQ6" s="29"/>
      <c r="AR6" s="29"/>
      <c r="AS6" s="29"/>
      <c r="AT6" s="29"/>
      <c r="AU6" s="29"/>
      <c r="AV6" s="29"/>
      <c r="AW6" s="29"/>
      <c r="AX6" s="29"/>
      <c r="AY6" s="29"/>
      <c r="AZ6" s="29"/>
      <c r="BA6" s="29"/>
      <c r="BB6" s="29"/>
      <c r="BC6" s="29"/>
      <c r="BD6" s="29"/>
      <c r="BE6" s="29"/>
      <c r="BF6" s="47">
        <v>0.15</v>
      </c>
      <c r="BG6" s="48">
        <v>10.2015605418534</v>
      </c>
      <c r="BH6" s="48">
        <v>19.782</v>
      </c>
      <c r="BI6" s="48">
        <f t="shared" si="0"/>
        <v>0.515699147803731</v>
      </c>
      <c r="BJ6" s="45">
        <v>0.2652</v>
      </c>
      <c r="BK6" s="45">
        <v>0.211</v>
      </c>
      <c r="BL6" s="45"/>
      <c r="BM6" s="37"/>
      <c r="BN6" s="37"/>
      <c r="BO6" s="49"/>
      <c r="BP6" s="37"/>
      <c r="BQ6" s="37"/>
      <c r="BR6" s="49"/>
      <c r="BS6" s="29"/>
      <c r="BT6" s="29"/>
      <c r="BU6" s="29"/>
      <c r="BV6" s="29"/>
      <c r="BW6" s="29"/>
      <c r="BX6" s="29"/>
      <c r="BY6" s="29"/>
      <c r="BZ6" s="29"/>
      <c r="CA6" s="29"/>
      <c r="CB6" s="29"/>
      <c r="CC6" s="29"/>
      <c r="CD6" s="29"/>
      <c r="CE6" s="29"/>
      <c r="CF6" s="29"/>
      <c r="CG6" s="29"/>
      <c r="CH6" s="29"/>
      <c r="CI6" s="29"/>
      <c r="CJ6" s="29"/>
      <c r="CK6" s="29"/>
    </row>
    <row r="7" ht="33" spans="1:89">
      <c r="A7" s="29" t="s">
        <v>114</v>
      </c>
      <c r="B7" s="30" t="s">
        <v>115</v>
      </c>
      <c r="C7" s="29" t="s">
        <v>116</v>
      </c>
      <c r="D7" s="31"/>
      <c r="E7" s="32">
        <v>46007</v>
      </c>
      <c r="F7" s="33">
        <v>40</v>
      </c>
      <c r="G7" s="34">
        <f t="shared" si="1"/>
        <v>130</v>
      </c>
      <c r="H7" s="35">
        <v>1.5</v>
      </c>
      <c r="I7" s="36">
        <v>28.7079646017699</v>
      </c>
      <c r="J7" s="35">
        <v>13.0253057696</v>
      </c>
      <c r="K7" s="35">
        <v>72.012</v>
      </c>
      <c r="L7" s="35">
        <v>69.90468</v>
      </c>
      <c r="M7" s="35">
        <v>7.60015872</v>
      </c>
      <c r="N7" s="35">
        <v>26.28303777792</v>
      </c>
      <c r="O7" s="35">
        <v>0</v>
      </c>
      <c r="P7" s="35">
        <v>2.96050884955752</v>
      </c>
      <c r="Q7" s="37" t="s">
        <v>117</v>
      </c>
      <c r="R7" s="35" t="s">
        <v>94</v>
      </c>
      <c r="S7" s="35">
        <v>6.8</v>
      </c>
      <c r="T7" s="38" t="s">
        <v>118</v>
      </c>
      <c r="U7" s="39">
        <v>290.5045</v>
      </c>
      <c r="V7" s="38">
        <v>23.22</v>
      </c>
      <c r="W7" s="40"/>
      <c r="X7" s="35"/>
      <c r="Y7" s="35"/>
      <c r="Z7" s="35"/>
      <c r="AA7" s="35"/>
      <c r="AB7" s="35">
        <v>31.482</v>
      </c>
      <c r="AC7" s="41">
        <v>0.1</v>
      </c>
      <c r="AD7" s="42">
        <v>30.8736446399474</v>
      </c>
      <c r="AE7" s="43">
        <v>0.120690666102352</v>
      </c>
      <c r="AF7" s="43">
        <v>0.0124462249418051</v>
      </c>
      <c r="AG7" s="43">
        <v>0.0547594666263075</v>
      </c>
      <c r="AH7" s="43">
        <v>0.302744425385935</v>
      </c>
      <c r="AI7" s="44">
        <v>0.1769</v>
      </c>
      <c r="AJ7" s="44">
        <v>0.0336</v>
      </c>
      <c r="AK7" s="45">
        <v>0.0006</v>
      </c>
      <c r="AL7" s="45">
        <v>0</v>
      </c>
      <c r="AM7" s="45">
        <v>0.1125</v>
      </c>
      <c r="AN7" s="43">
        <v>0.0319516981132075</v>
      </c>
      <c r="AO7" s="43">
        <v>0.169507518830393</v>
      </c>
      <c r="AP7" s="46"/>
      <c r="AQ7" s="29"/>
      <c r="AR7" s="29"/>
      <c r="AS7" s="29"/>
      <c r="AT7" s="29"/>
      <c r="AU7" s="29"/>
      <c r="AV7" s="29"/>
      <c r="AW7" s="29"/>
      <c r="AX7" s="29"/>
      <c r="AY7" s="29"/>
      <c r="AZ7" s="29"/>
      <c r="BA7" s="29"/>
      <c r="BB7" s="29"/>
      <c r="BC7" s="29"/>
      <c r="BD7" s="29"/>
      <c r="BE7" s="29"/>
      <c r="BF7" s="47">
        <v>0.15</v>
      </c>
      <c r="BG7" s="48">
        <v>21.9265653549429</v>
      </c>
      <c r="BH7" s="48">
        <v>31.482</v>
      </c>
      <c r="BI7" s="48">
        <f t="shared" ref="BI7:BI38" si="2">BG7/BH7</f>
        <v>0.696479428084077</v>
      </c>
      <c r="BJ7" s="45">
        <v>0.2652</v>
      </c>
      <c r="BK7" s="45">
        <v>0.211</v>
      </c>
      <c r="BL7" s="45"/>
      <c r="BM7" s="37"/>
      <c r="BN7" s="37"/>
      <c r="BO7" s="49"/>
      <c r="BP7" s="37"/>
      <c r="BQ7" s="37"/>
      <c r="BR7" s="49"/>
      <c r="BS7" s="29"/>
      <c r="BT7" s="29"/>
      <c r="BU7" s="29"/>
      <c r="BV7" s="29"/>
      <c r="BW7" s="29"/>
      <c r="BX7" s="29"/>
      <c r="BY7" s="29"/>
      <c r="BZ7" s="29"/>
      <c r="CA7" s="29"/>
      <c r="CB7" s="29"/>
      <c r="CC7" s="29"/>
      <c r="CD7" s="29"/>
      <c r="CE7" s="29"/>
      <c r="CF7" s="29"/>
      <c r="CG7" s="29"/>
      <c r="CH7" s="29"/>
      <c r="CI7" s="29"/>
      <c r="CJ7" s="29"/>
      <c r="CK7" s="29"/>
    </row>
    <row r="8" ht="33" spans="1:89">
      <c r="A8" s="29" t="s">
        <v>119</v>
      </c>
      <c r="B8" s="30" t="s">
        <v>120</v>
      </c>
      <c r="C8" s="29" t="s">
        <v>121</v>
      </c>
      <c r="D8" s="31"/>
      <c r="E8" s="32">
        <v>46007</v>
      </c>
      <c r="F8" s="33">
        <v>40</v>
      </c>
      <c r="G8" s="34">
        <f t="shared" si="1"/>
        <v>130</v>
      </c>
      <c r="H8" s="35">
        <v>2.5</v>
      </c>
      <c r="I8" s="36">
        <v>22.9734513274336</v>
      </c>
      <c r="J8" s="35">
        <v>4.6722822856</v>
      </c>
      <c r="K8" s="35">
        <v>47.124</v>
      </c>
      <c r="L8" s="35">
        <v>66.31428</v>
      </c>
      <c r="M8" s="35">
        <v>3.78675</v>
      </c>
      <c r="N8" s="35">
        <v>9.42870456</v>
      </c>
      <c r="O8" s="35">
        <v>0</v>
      </c>
      <c r="P8" s="35">
        <v>2.36913716814159</v>
      </c>
      <c r="Q8" s="37" t="s">
        <v>93</v>
      </c>
      <c r="R8" s="35" t="s">
        <v>94</v>
      </c>
      <c r="S8" s="35">
        <v>6.8</v>
      </c>
      <c r="T8" s="38" t="s">
        <v>122</v>
      </c>
      <c r="U8" s="39">
        <v>288.4657</v>
      </c>
      <c r="V8" s="38">
        <v>6.74000000000001</v>
      </c>
      <c r="W8" s="40"/>
      <c r="X8" s="35"/>
      <c r="Y8" s="35"/>
      <c r="Z8" s="35"/>
      <c r="AA8" s="35"/>
      <c r="AB8" s="35">
        <v>26.712</v>
      </c>
      <c r="AC8" s="41">
        <v>0.1</v>
      </c>
      <c r="AD8" s="42">
        <v>20.0993524496993</v>
      </c>
      <c r="AE8" s="43">
        <v>0.113829134926637</v>
      </c>
      <c r="AF8" s="43">
        <v>0.0117386295393095</v>
      </c>
      <c r="AG8" s="43">
        <v>0.0231502808664975</v>
      </c>
      <c r="AH8" s="43">
        <v>0.233490566037736</v>
      </c>
      <c r="AI8" s="44">
        <v>0.1769</v>
      </c>
      <c r="AJ8" s="44">
        <v>0.0336</v>
      </c>
      <c r="AK8" s="45">
        <v>0.0006</v>
      </c>
      <c r="AL8" s="45">
        <v>0</v>
      </c>
      <c r="AM8" s="45">
        <v>0.1125</v>
      </c>
      <c r="AN8" s="43">
        <v>0.0187626347708895</v>
      </c>
      <c r="AO8" s="43">
        <v>0.29112875385893</v>
      </c>
      <c r="AP8" s="46"/>
      <c r="AQ8" s="29"/>
      <c r="AR8" s="29"/>
      <c r="AS8" s="29"/>
      <c r="AT8" s="29"/>
      <c r="AU8" s="29"/>
      <c r="AV8" s="29"/>
      <c r="AW8" s="29"/>
      <c r="AX8" s="29"/>
      <c r="AY8" s="29"/>
      <c r="AZ8" s="29"/>
      <c r="BA8" s="29"/>
      <c r="BB8" s="29"/>
      <c r="BC8" s="29"/>
      <c r="BD8" s="29"/>
      <c r="BE8" s="29"/>
      <c r="BF8" s="47">
        <v>0.15</v>
      </c>
      <c r="BG8" s="48">
        <v>14.5250055760637</v>
      </c>
      <c r="BH8" s="48">
        <v>26.712</v>
      </c>
      <c r="BI8" s="48">
        <f t="shared" si="2"/>
        <v>0.543763311472885</v>
      </c>
      <c r="BJ8" s="45">
        <v>0.2652</v>
      </c>
      <c r="BK8" s="45">
        <v>0.211</v>
      </c>
      <c r="BL8" s="45"/>
      <c r="BM8" s="37"/>
      <c r="BN8" s="37"/>
      <c r="BO8" s="49"/>
      <c r="BP8" s="37"/>
      <c r="BQ8" s="37"/>
      <c r="BR8" s="49"/>
      <c r="BS8" s="29"/>
      <c r="BT8" s="29"/>
      <c r="BU8" s="29"/>
      <c r="BV8" s="29"/>
      <c r="BW8" s="29"/>
      <c r="BX8" s="29"/>
      <c r="BY8" s="29"/>
      <c r="BZ8" s="29"/>
      <c r="CA8" s="29"/>
      <c r="CB8" s="29"/>
      <c r="CC8" s="29"/>
      <c r="CD8" s="29"/>
      <c r="CE8" s="29"/>
      <c r="CF8" s="29"/>
      <c r="CG8" s="29"/>
      <c r="CH8" s="29"/>
      <c r="CI8" s="29"/>
      <c r="CJ8" s="29"/>
      <c r="CK8" s="29"/>
    </row>
    <row r="9" ht="33" spans="1:89">
      <c r="A9" s="29" t="s">
        <v>123</v>
      </c>
      <c r="B9" s="30" t="s">
        <v>124</v>
      </c>
      <c r="C9" s="29" t="s">
        <v>125</v>
      </c>
      <c r="D9" s="31"/>
      <c r="E9" s="32">
        <v>46007</v>
      </c>
      <c r="F9" s="33">
        <v>35</v>
      </c>
      <c r="G9" s="34">
        <f t="shared" si="1"/>
        <v>125</v>
      </c>
      <c r="H9" s="35">
        <v>1.25</v>
      </c>
      <c r="I9" s="36">
        <v>27.4867256637168</v>
      </c>
      <c r="J9" s="35">
        <v>6.1193425093</v>
      </c>
      <c r="K9" s="35">
        <v>51.34</v>
      </c>
      <c r="L9" s="35">
        <v>68.23868</v>
      </c>
      <c r="M9" s="35">
        <v>4.95924</v>
      </c>
      <c r="N9" s="35">
        <v>12.3481108608</v>
      </c>
      <c r="O9" s="35">
        <v>0</v>
      </c>
      <c r="P9" s="35">
        <v>2.8345685840708</v>
      </c>
      <c r="Q9" s="37" t="s">
        <v>93</v>
      </c>
      <c r="R9" s="35" t="s">
        <v>94</v>
      </c>
      <c r="S9" s="35">
        <v>6.8</v>
      </c>
      <c r="T9" s="38" t="s">
        <v>126</v>
      </c>
      <c r="U9" s="39">
        <v>210.9348</v>
      </c>
      <c r="V9" s="38">
        <v>20.47</v>
      </c>
      <c r="W9" s="40"/>
      <c r="X9" s="35"/>
      <c r="Y9" s="35"/>
      <c r="Z9" s="35"/>
      <c r="AA9" s="35"/>
      <c r="AB9" s="35">
        <v>25.182</v>
      </c>
      <c r="AC9" s="41">
        <v>0.1</v>
      </c>
      <c r="AD9" s="42">
        <v>23.0336381863873</v>
      </c>
      <c r="AE9" s="43">
        <v>0.14446624513159</v>
      </c>
      <c r="AF9" s="43">
        <v>0.0148980815291952</v>
      </c>
      <c r="AG9" s="43">
        <v>0.0321623770618719</v>
      </c>
      <c r="AH9" s="43">
        <v>0.269835596854896</v>
      </c>
      <c r="AI9" s="44">
        <v>0.1769</v>
      </c>
      <c r="AJ9" s="44">
        <v>0.0336</v>
      </c>
      <c r="AK9" s="45">
        <v>0.0006</v>
      </c>
      <c r="AL9" s="45">
        <v>0</v>
      </c>
      <c r="AM9" s="45">
        <v>0.1125</v>
      </c>
      <c r="AN9" s="43">
        <v>0.0260650464617584</v>
      </c>
      <c r="AO9" s="50">
        <v>0.204672652960689</v>
      </c>
      <c r="AP9" s="46"/>
      <c r="AQ9" s="29"/>
      <c r="AR9" s="29"/>
      <c r="AS9" s="29"/>
      <c r="AT9" s="29"/>
      <c r="AU9" s="29"/>
      <c r="AV9" s="29"/>
      <c r="AW9" s="29"/>
      <c r="AX9" s="29"/>
      <c r="AY9" s="29"/>
      <c r="AZ9" s="29"/>
      <c r="BA9" s="29"/>
      <c r="BB9" s="29"/>
      <c r="BC9" s="29"/>
      <c r="BD9" s="29"/>
      <c r="BE9" s="29"/>
      <c r="BF9" s="47">
        <v>0.15</v>
      </c>
      <c r="BG9" s="48">
        <v>17.6565518005468</v>
      </c>
      <c r="BH9" s="48">
        <v>25.182</v>
      </c>
      <c r="BI9" s="48">
        <f t="shared" si="2"/>
        <v>0.701157644370852</v>
      </c>
      <c r="BJ9" s="45">
        <v>0.2652</v>
      </c>
      <c r="BK9" s="45">
        <v>0.211</v>
      </c>
      <c r="BL9" s="45"/>
      <c r="BM9" s="37"/>
      <c r="BN9" s="37"/>
      <c r="BO9" s="49"/>
      <c r="BP9" s="37"/>
      <c r="BQ9" s="37"/>
      <c r="BR9" s="49"/>
      <c r="BS9" s="29"/>
      <c r="BT9" s="29"/>
      <c r="BU9" s="29"/>
      <c r="BV9" s="29"/>
      <c r="BW9" s="29"/>
      <c r="BX9" s="29"/>
      <c r="BY9" s="29"/>
      <c r="BZ9" s="29"/>
      <c r="CA9" s="29"/>
      <c r="CB9" s="29"/>
      <c r="CC9" s="29"/>
      <c r="CD9" s="29"/>
      <c r="CE9" s="29"/>
      <c r="CF9" s="29"/>
      <c r="CG9" s="29"/>
      <c r="CH9" s="29"/>
      <c r="CI9" s="29"/>
      <c r="CJ9" s="29"/>
      <c r="CK9" s="29"/>
    </row>
    <row r="10" ht="33" spans="1:89">
      <c r="A10" s="29" t="s">
        <v>127</v>
      </c>
      <c r="B10" s="30" t="s">
        <v>128</v>
      </c>
      <c r="C10" s="29" t="s">
        <v>129</v>
      </c>
      <c r="D10" s="31"/>
      <c r="E10" s="32">
        <v>46007</v>
      </c>
      <c r="F10" s="33">
        <v>35</v>
      </c>
      <c r="G10" s="34">
        <f t="shared" si="1"/>
        <v>125</v>
      </c>
      <c r="H10" s="35">
        <v>3.33333333333333</v>
      </c>
      <c r="I10" s="36">
        <v>15.0530973451327</v>
      </c>
      <c r="J10" s="35">
        <v>3.3224581735</v>
      </c>
      <c r="K10" s="35">
        <v>47.124</v>
      </c>
      <c r="L10" s="35">
        <v>66.31428</v>
      </c>
      <c r="M10" s="35">
        <v>2.6928</v>
      </c>
      <c r="N10" s="35">
        <v>6.704856576</v>
      </c>
      <c r="O10" s="35">
        <v>0</v>
      </c>
      <c r="P10" s="35">
        <v>1.55235066371681</v>
      </c>
      <c r="Q10" s="37" t="s">
        <v>93</v>
      </c>
      <c r="R10" s="35" t="s">
        <v>94</v>
      </c>
      <c r="S10" s="35">
        <v>6.8</v>
      </c>
      <c r="T10" s="38" t="s">
        <v>130</v>
      </c>
      <c r="U10" s="39">
        <v>188.824299</v>
      </c>
      <c r="V10" s="38">
        <v>8.76999999999998</v>
      </c>
      <c r="W10" s="40"/>
      <c r="X10" s="35"/>
      <c r="Y10" s="35"/>
      <c r="Z10" s="35"/>
      <c r="AA10" s="35"/>
      <c r="AB10" s="35">
        <v>20.412</v>
      </c>
      <c r="AC10" s="41">
        <v>0.1</v>
      </c>
      <c r="AD10" s="42">
        <v>17.3223685839906</v>
      </c>
      <c r="AE10" s="43">
        <v>0.0976054138469547</v>
      </c>
      <c r="AF10" s="43">
        <v>0.0100655583029672</v>
      </c>
      <c r="AG10" s="43">
        <v>0.0215430683518778</v>
      </c>
      <c r="AH10" s="43">
        <v>0.305555555555556</v>
      </c>
      <c r="AI10" s="44">
        <v>0.1769</v>
      </c>
      <c r="AJ10" s="44">
        <v>0.0336</v>
      </c>
      <c r="AK10" s="45">
        <v>0.0006</v>
      </c>
      <c r="AL10" s="45">
        <v>0</v>
      </c>
      <c r="AM10" s="45">
        <v>0.1125</v>
      </c>
      <c r="AN10" s="43">
        <v>0.0174603174603175</v>
      </c>
      <c r="AO10" s="50">
        <v>0.239870086482327</v>
      </c>
      <c r="AP10" s="46"/>
      <c r="AQ10" s="29"/>
      <c r="AR10" s="29"/>
      <c r="AS10" s="29"/>
      <c r="AT10" s="29"/>
      <c r="AU10" s="29"/>
      <c r="AV10" s="29"/>
      <c r="AW10" s="29"/>
      <c r="AX10" s="29"/>
      <c r="AY10" s="29"/>
      <c r="AZ10" s="29"/>
      <c r="BA10" s="29"/>
      <c r="BB10" s="29"/>
      <c r="BC10" s="29"/>
      <c r="BD10" s="29"/>
      <c r="BE10" s="29"/>
      <c r="BF10" s="47">
        <v>0.15</v>
      </c>
      <c r="BG10" s="48">
        <v>9.65447508492148</v>
      </c>
      <c r="BH10" s="48">
        <v>20.412</v>
      </c>
      <c r="BI10" s="48">
        <f t="shared" si="2"/>
        <v>0.472980358853688</v>
      </c>
      <c r="BJ10" s="45">
        <v>0.2652</v>
      </c>
      <c r="BK10" s="45">
        <v>0.211</v>
      </c>
      <c r="BL10" s="45"/>
      <c r="BM10" s="37"/>
      <c r="BN10" s="37"/>
      <c r="BO10" s="49"/>
      <c r="BP10" s="37"/>
      <c r="BQ10" s="37"/>
      <c r="BR10" s="49"/>
      <c r="BS10" s="29"/>
      <c r="BT10" s="29"/>
      <c r="BU10" s="29"/>
      <c r="BV10" s="29"/>
      <c r="BW10" s="29"/>
      <c r="BX10" s="29"/>
      <c r="BY10" s="29"/>
      <c r="BZ10" s="29"/>
      <c r="CA10" s="29"/>
      <c r="CB10" s="29"/>
      <c r="CC10" s="29"/>
      <c r="CD10" s="29"/>
      <c r="CE10" s="29"/>
      <c r="CF10" s="29"/>
      <c r="CG10" s="29"/>
      <c r="CH10" s="29"/>
      <c r="CI10" s="29"/>
      <c r="CJ10" s="29"/>
      <c r="CK10" s="29"/>
    </row>
    <row r="11" ht="33" spans="1:89">
      <c r="A11" s="29" t="s">
        <v>131</v>
      </c>
      <c r="B11" s="30" t="s">
        <v>132</v>
      </c>
      <c r="C11" s="29" t="s">
        <v>133</v>
      </c>
      <c r="D11" s="31"/>
      <c r="E11" s="32">
        <v>46007</v>
      </c>
      <c r="F11" s="33">
        <v>40</v>
      </c>
      <c r="G11" s="34">
        <f t="shared" si="1"/>
        <v>130</v>
      </c>
      <c r="H11" s="35">
        <v>2.5</v>
      </c>
      <c r="I11" s="36">
        <v>20.2566371681416</v>
      </c>
      <c r="J11" s="35">
        <v>6.5783603053</v>
      </c>
      <c r="K11" s="35">
        <v>53.516</v>
      </c>
      <c r="L11" s="35">
        <v>68.23868</v>
      </c>
      <c r="M11" s="35">
        <v>5.331744</v>
      </c>
      <c r="N11" s="35">
        <v>13.27561602048</v>
      </c>
      <c r="O11" s="35">
        <v>0</v>
      </c>
      <c r="P11" s="35">
        <v>2.0889657079646</v>
      </c>
      <c r="Q11" s="37" t="s">
        <v>93</v>
      </c>
      <c r="R11" s="35" t="s">
        <v>94</v>
      </c>
      <c r="S11" s="35">
        <v>6.8</v>
      </c>
      <c r="T11" s="38" t="s">
        <v>134</v>
      </c>
      <c r="U11" s="39">
        <v>171.6603</v>
      </c>
      <c r="V11" s="38">
        <v>9.97000000000003</v>
      </c>
      <c r="W11" s="40"/>
      <c r="X11" s="35"/>
      <c r="Y11" s="35"/>
      <c r="Z11" s="35"/>
      <c r="AA11" s="35"/>
      <c r="AB11" s="35">
        <v>25.812</v>
      </c>
      <c r="AC11" s="41">
        <v>0.1</v>
      </c>
      <c r="AD11" s="42">
        <v>21.7997027482953</v>
      </c>
      <c r="AE11" s="43">
        <v>0.103867406925002</v>
      </c>
      <c r="AF11" s="43">
        <v>0.0107113263391408</v>
      </c>
      <c r="AG11" s="43">
        <v>0.0337310295414923</v>
      </c>
      <c r="AH11" s="43">
        <v>0.274407252440725</v>
      </c>
      <c r="AI11" s="44">
        <v>0.1769</v>
      </c>
      <c r="AJ11" s="44">
        <v>0.0336</v>
      </c>
      <c r="AK11" s="45">
        <v>0.0006</v>
      </c>
      <c r="AL11" s="45">
        <v>0</v>
      </c>
      <c r="AM11" s="45">
        <v>0.1125</v>
      </c>
      <c r="AN11" s="43">
        <v>0.0273389121338912</v>
      </c>
      <c r="AO11" s="50">
        <v>0.242044072619749</v>
      </c>
      <c r="AP11" s="46"/>
      <c r="AQ11" s="29"/>
      <c r="AR11" s="29"/>
      <c r="AS11" s="29"/>
      <c r="AT11" s="29"/>
      <c r="AU11" s="29"/>
      <c r="AV11" s="29"/>
      <c r="AW11" s="29"/>
      <c r="AX11" s="29"/>
      <c r="AY11" s="29"/>
      <c r="AZ11" s="29"/>
      <c r="BA11" s="29"/>
      <c r="BB11" s="29"/>
      <c r="BC11" s="29"/>
      <c r="BD11" s="29"/>
      <c r="BE11" s="29"/>
      <c r="BF11" s="47">
        <v>0.15</v>
      </c>
      <c r="BG11" s="48">
        <v>14.0990466518723</v>
      </c>
      <c r="BH11" s="48">
        <v>25.812</v>
      </c>
      <c r="BI11" s="48">
        <f t="shared" si="2"/>
        <v>0.546220620326681</v>
      </c>
      <c r="BJ11" s="45">
        <v>0.2652</v>
      </c>
      <c r="BK11" s="45">
        <v>0.211</v>
      </c>
      <c r="BL11" s="45"/>
      <c r="BM11" s="37"/>
      <c r="BN11" s="37"/>
      <c r="BO11" s="49"/>
      <c r="BP11" s="37"/>
      <c r="BQ11" s="37"/>
      <c r="BR11" s="49"/>
      <c r="BS11" s="29"/>
      <c r="BT11" s="29"/>
      <c r="BU11" s="29"/>
      <c r="BV11" s="29"/>
      <c r="BW11" s="29"/>
      <c r="BX11" s="29"/>
      <c r="BY11" s="29"/>
      <c r="BZ11" s="29"/>
      <c r="CA11" s="29"/>
      <c r="CB11" s="29"/>
      <c r="CC11" s="29"/>
      <c r="CD11" s="29"/>
      <c r="CE11" s="29"/>
      <c r="CF11" s="29"/>
      <c r="CG11" s="29"/>
      <c r="CH11" s="29"/>
      <c r="CI11" s="29"/>
      <c r="CJ11" s="29"/>
      <c r="CK11" s="29"/>
    </row>
    <row r="12" ht="33" spans="1:89">
      <c r="A12" s="29" t="s">
        <v>135</v>
      </c>
      <c r="B12" s="30" t="s">
        <v>136</v>
      </c>
      <c r="C12" s="29" t="s">
        <v>137</v>
      </c>
      <c r="D12" s="31"/>
      <c r="E12" s="32">
        <v>46007</v>
      </c>
      <c r="F12" s="33">
        <v>35</v>
      </c>
      <c r="G12" s="34">
        <f t="shared" si="1"/>
        <v>125</v>
      </c>
      <c r="H12" s="35">
        <v>2.5</v>
      </c>
      <c r="I12" s="36">
        <v>19.6637168141593</v>
      </c>
      <c r="J12" s="35">
        <v>3.8624146744</v>
      </c>
      <c r="K12" s="35">
        <v>47.124</v>
      </c>
      <c r="L12" s="35">
        <v>66.31428</v>
      </c>
      <c r="M12" s="35">
        <v>3.13038</v>
      </c>
      <c r="N12" s="35">
        <v>7.7943957696</v>
      </c>
      <c r="O12" s="35">
        <v>0</v>
      </c>
      <c r="P12" s="35">
        <v>2.02782079646018</v>
      </c>
      <c r="Q12" s="37" t="s">
        <v>93</v>
      </c>
      <c r="R12" s="35" t="s">
        <v>94</v>
      </c>
      <c r="S12" s="35">
        <v>6.8</v>
      </c>
      <c r="T12" s="38" t="s">
        <v>138</v>
      </c>
      <c r="U12" s="39">
        <v>148.7786</v>
      </c>
      <c r="V12" s="38">
        <v>8.73000000000002</v>
      </c>
      <c r="W12" s="40"/>
      <c r="X12" s="35"/>
      <c r="Y12" s="35"/>
      <c r="Z12" s="35"/>
      <c r="AA12" s="35"/>
      <c r="AB12" s="35">
        <v>22.482</v>
      </c>
      <c r="AC12" s="41">
        <v>0.1</v>
      </c>
      <c r="AD12" s="42">
        <v>18.828380610643</v>
      </c>
      <c r="AE12" s="43">
        <v>0.11576153166156</v>
      </c>
      <c r="AF12" s="43">
        <v>0.0119379079525984</v>
      </c>
      <c r="AG12" s="43">
        <v>0.0227382769415532</v>
      </c>
      <c r="AH12" s="43">
        <v>0.27742193755004</v>
      </c>
      <c r="AI12" s="44">
        <v>0.1769</v>
      </c>
      <c r="AJ12" s="44">
        <v>0.0336</v>
      </c>
      <c r="AK12" s="45">
        <v>0.0006</v>
      </c>
      <c r="AL12" s="45">
        <v>0</v>
      </c>
      <c r="AM12" s="45">
        <v>0.1125</v>
      </c>
      <c r="AN12" s="43">
        <v>0.0184287429943955</v>
      </c>
      <c r="AO12" s="43">
        <v>0.245811602899853</v>
      </c>
      <c r="AP12" s="46"/>
      <c r="AQ12" s="29"/>
      <c r="AR12" s="29"/>
      <c r="AS12" s="29"/>
      <c r="AT12" s="29"/>
      <c r="AU12" s="29"/>
      <c r="AV12" s="29"/>
      <c r="AW12" s="29"/>
      <c r="AX12" s="29"/>
      <c r="AY12" s="29"/>
      <c r="AZ12" s="29"/>
      <c r="BA12" s="29"/>
      <c r="BB12" s="29"/>
      <c r="BC12" s="29"/>
      <c r="BD12" s="29"/>
      <c r="BE12" s="29"/>
      <c r="BF12" s="47">
        <v>0.15</v>
      </c>
      <c r="BG12" s="48">
        <v>12.3605759875162</v>
      </c>
      <c r="BH12" s="48">
        <v>22.482</v>
      </c>
      <c r="BI12" s="48">
        <f t="shared" si="2"/>
        <v>0.549798771795935</v>
      </c>
      <c r="BJ12" s="45">
        <v>0.2652</v>
      </c>
      <c r="BK12" s="45">
        <v>0.211</v>
      </c>
      <c r="BL12" s="45"/>
      <c r="BM12" s="37"/>
      <c r="BN12" s="37"/>
      <c r="BO12" s="49"/>
      <c r="BP12" s="37"/>
      <c r="BQ12" s="37"/>
      <c r="BR12" s="49"/>
      <c r="BS12" s="29"/>
      <c r="BT12" s="29"/>
      <c r="BU12" s="29"/>
      <c r="BV12" s="29"/>
      <c r="BW12" s="29"/>
      <c r="BX12" s="29"/>
      <c r="BY12" s="29"/>
      <c r="BZ12" s="29"/>
      <c r="CA12" s="29"/>
      <c r="CB12" s="29"/>
      <c r="CC12" s="29"/>
      <c r="CD12" s="29"/>
      <c r="CE12" s="29"/>
      <c r="CF12" s="29"/>
      <c r="CG12" s="29"/>
      <c r="CH12" s="29"/>
      <c r="CI12" s="29"/>
      <c r="CJ12" s="29"/>
      <c r="CK12" s="29"/>
    </row>
    <row r="13" ht="33" spans="1:89">
      <c r="A13" s="29" t="s">
        <v>139</v>
      </c>
      <c r="B13" s="30" t="s">
        <v>140</v>
      </c>
      <c r="C13" s="29" t="s">
        <v>141</v>
      </c>
      <c r="D13" s="31"/>
      <c r="E13" s="32">
        <v>46007</v>
      </c>
      <c r="F13" s="33">
        <v>40</v>
      </c>
      <c r="G13" s="34">
        <f t="shared" si="1"/>
        <v>130</v>
      </c>
      <c r="H13" s="35">
        <v>1.66666666666667</v>
      </c>
      <c r="I13" s="36">
        <v>15.2566371681416</v>
      </c>
      <c r="J13" s="35">
        <v>3.9870086962</v>
      </c>
      <c r="K13" s="35">
        <v>47.124</v>
      </c>
      <c r="L13" s="35">
        <v>66.31428</v>
      </c>
      <c r="M13" s="35">
        <v>3.23136</v>
      </c>
      <c r="N13" s="35">
        <v>8.0458278912</v>
      </c>
      <c r="O13" s="35">
        <v>0</v>
      </c>
      <c r="P13" s="35">
        <v>1.5733407079646</v>
      </c>
      <c r="Q13" s="37" t="s">
        <v>93</v>
      </c>
      <c r="R13" s="35" t="s">
        <v>94</v>
      </c>
      <c r="S13" s="35">
        <v>6.8</v>
      </c>
      <c r="T13" s="38" t="s">
        <v>142</v>
      </c>
      <c r="U13" s="39">
        <v>144.9149</v>
      </c>
      <c r="V13" s="38">
        <v>11.1099999999999</v>
      </c>
      <c r="W13" s="40"/>
      <c r="X13" s="35"/>
      <c r="Y13" s="35"/>
      <c r="Z13" s="35"/>
      <c r="AA13" s="35"/>
      <c r="AB13" s="35">
        <v>22.482</v>
      </c>
      <c r="AC13" s="41">
        <v>0.1</v>
      </c>
      <c r="AD13" s="42">
        <v>17.6769490875712</v>
      </c>
      <c r="AE13" s="43">
        <v>0.0898167779408326</v>
      </c>
      <c r="AF13" s="43">
        <v>0.00926235522514837</v>
      </c>
      <c r="AG13" s="43">
        <v>0.0234717697463853</v>
      </c>
      <c r="AH13" s="43">
        <v>0.27742193755004</v>
      </c>
      <c r="AI13" s="44">
        <v>0.1769</v>
      </c>
      <c r="AJ13" s="44">
        <v>0.0336</v>
      </c>
      <c r="AK13" s="45">
        <v>0.0006</v>
      </c>
      <c r="AL13" s="45">
        <v>0</v>
      </c>
      <c r="AM13" s="45">
        <v>0.1125</v>
      </c>
      <c r="AN13" s="43">
        <v>0.0190232185748599</v>
      </c>
      <c r="AO13" s="50">
        <v>0.273103940962734</v>
      </c>
      <c r="AP13" s="46"/>
      <c r="AQ13" s="29"/>
      <c r="AR13" s="29"/>
      <c r="AS13" s="29"/>
      <c r="AT13" s="29"/>
      <c r="AU13" s="29"/>
      <c r="AV13" s="29"/>
      <c r="AW13" s="29"/>
      <c r="AX13" s="29"/>
      <c r="AY13" s="29"/>
      <c r="AZ13" s="29"/>
      <c r="BA13" s="29"/>
      <c r="BB13" s="29"/>
      <c r="BC13" s="29"/>
      <c r="BD13" s="29"/>
      <c r="BE13" s="29"/>
      <c r="BF13" s="47">
        <v>0.15</v>
      </c>
      <c r="BG13" s="48">
        <v>10.1105677785877</v>
      </c>
      <c r="BH13" s="48">
        <v>22.482</v>
      </c>
      <c r="BI13" s="48">
        <f t="shared" si="2"/>
        <v>0.44971834261132</v>
      </c>
      <c r="BJ13" s="45">
        <v>0.2652</v>
      </c>
      <c r="BK13" s="45">
        <v>0.211</v>
      </c>
      <c r="BL13" s="45"/>
      <c r="BM13" s="37"/>
      <c r="BN13" s="37"/>
      <c r="BO13" s="49"/>
      <c r="BP13" s="37"/>
      <c r="BQ13" s="37"/>
      <c r="BR13" s="49"/>
      <c r="BS13" s="29"/>
      <c r="BT13" s="29"/>
      <c r="BU13" s="29"/>
      <c r="BV13" s="29"/>
      <c r="BW13" s="29"/>
      <c r="BX13" s="29"/>
      <c r="BY13" s="29"/>
      <c r="BZ13" s="29"/>
      <c r="CA13" s="29"/>
      <c r="CB13" s="29"/>
      <c r="CC13" s="29"/>
      <c r="CD13" s="29"/>
      <c r="CE13" s="29"/>
      <c r="CF13" s="29"/>
      <c r="CG13" s="29"/>
      <c r="CH13" s="29"/>
      <c r="CI13" s="29"/>
      <c r="CJ13" s="29"/>
      <c r="CK13" s="29"/>
    </row>
    <row r="14" ht="33" spans="1:89">
      <c r="A14" s="29" t="s">
        <v>143</v>
      </c>
      <c r="B14" s="30" t="s">
        <v>144</v>
      </c>
      <c r="C14" s="29" t="s">
        <v>145</v>
      </c>
      <c r="D14" s="31"/>
      <c r="E14" s="32">
        <v>46007</v>
      </c>
      <c r="F14" s="33">
        <v>35</v>
      </c>
      <c r="G14" s="34">
        <f t="shared" si="1"/>
        <v>125</v>
      </c>
      <c r="H14" s="35">
        <v>2.5</v>
      </c>
      <c r="I14" s="36">
        <v>19.9026548672566</v>
      </c>
      <c r="J14" s="35">
        <v>4.0201417324</v>
      </c>
      <c r="K14" s="35">
        <v>47.124</v>
      </c>
      <c r="L14" s="35">
        <v>66.31428</v>
      </c>
      <c r="M14" s="35">
        <v>3.258288</v>
      </c>
      <c r="N14" s="35">
        <v>8.11287645696</v>
      </c>
      <c r="O14" s="35">
        <v>0</v>
      </c>
      <c r="P14" s="35">
        <v>2.05246128318584</v>
      </c>
      <c r="Q14" s="37" t="s">
        <v>93</v>
      </c>
      <c r="R14" s="35" t="s">
        <v>94</v>
      </c>
      <c r="S14" s="35">
        <v>6.8</v>
      </c>
      <c r="T14" s="38" t="s">
        <v>146</v>
      </c>
      <c r="U14" s="39">
        <v>134.497191</v>
      </c>
      <c r="V14" s="38">
        <v>12.9300000000001</v>
      </c>
      <c r="W14" s="40"/>
      <c r="X14" s="35"/>
      <c r="Y14" s="35"/>
      <c r="Z14" s="35"/>
      <c r="AA14" s="35"/>
      <c r="AB14" s="35">
        <v>24.282</v>
      </c>
      <c r="AC14" s="41">
        <v>0.1</v>
      </c>
      <c r="AD14" s="42">
        <v>18.9647878147676</v>
      </c>
      <c r="AE14" s="43">
        <v>0.108482617119744</v>
      </c>
      <c r="AF14" s="43">
        <v>0.0111872698904736</v>
      </c>
      <c r="AG14" s="43">
        <v>0.0219124282278812</v>
      </c>
      <c r="AH14" s="43">
        <v>0.256856931060044</v>
      </c>
      <c r="AI14" s="44">
        <v>0.1769</v>
      </c>
      <c r="AJ14" s="44">
        <v>0.0336</v>
      </c>
      <c r="AK14" s="45">
        <v>0.0006</v>
      </c>
      <c r="AL14" s="45">
        <v>0</v>
      </c>
      <c r="AM14" s="45">
        <v>0.1125</v>
      </c>
      <c r="AN14" s="43">
        <v>0.0177598220904374</v>
      </c>
      <c r="AO14" s="43">
        <v>0.27590093161142</v>
      </c>
      <c r="AP14" s="46"/>
      <c r="AQ14" s="29"/>
      <c r="AR14" s="29"/>
      <c r="AS14" s="29"/>
      <c r="AT14" s="29"/>
      <c r="AU14" s="29"/>
      <c r="AV14" s="29"/>
      <c r="AW14" s="29"/>
      <c r="AX14" s="29"/>
      <c r="AY14" s="29"/>
      <c r="AZ14" s="29"/>
      <c r="BA14" s="29"/>
      <c r="BB14" s="29"/>
      <c r="BC14" s="29"/>
      <c r="BD14" s="29"/>
      <c r="BE14" s="29"/>
      <c r="BF14" s="47">
        <v>0.15</v>
      </c>
      <c r="BG14" s="48">
        <v>12.5689829349015</v>
      </c>
      <c r="BH14" s="48">
        <v>24.282</v>
      </c>
      <c r="BI14" s="48">
        <f t="shared" si="2"/>
        <v>0.51762552239937</v>
      </c>
      <c r="BJ14" s="45">
        <v>0.2652</v>
      </c>
      <c r="BK14" s="45">
        <v>0.211</v>
      </c>
      <c r="BL14" s="45"/>
      <c r="BM14" s="37"/>
      <c r="BN14" s="37"/>
      <c r="BO14" s="49"/>
      <c r="BP14" s="37"/>
      <c r="BQ14" s="37"/>
      <c r="BR14" s="49"/>
      <c r="BS14" s="29"/>
      <c r="BT14" s="29"/>
      <c r="BU14" s="29"/>
      <c r="BV14" s="29"/>
      <c r="BW14" s="29"/>
      <c r="BX14" s="29"/>
      <c r="BY14" s="29"/>
      <c r="BZ14" s="29"/>
      <c r="CA14" s="29"/>
      <c r="CB14" s="29"/>
      <c r="CC14" s="29"/>
      <c r="CD14" s="29"/>
      <c r="CE14" s="29"/>
      <c r="CF14" s="29"/>
      <c r="CG14" s="29"/>
      <c r="CH14" s="29"/>
      <c r="CI14" s="29"/>
      <c r="CJ14" s="29"/>
      <c r="CK14" s="29"/>
    </row>
    <row r="15" ht="33" spans="1:89">
      <c r="A15" s="29" t="s">
        <v>147</v>
      </c>
      <c r="B15" s="30" t="s">
        <v>148</v>
      </c>
      <c r="C15" s="29" t="s">
        <v>149</v>
      </c>
      <c r="D15" s="31"/>
      <c r="E15" s="32">
        <v>46007</v>
      </c>
      <c r="F15" s="33">
        <v>40</v>
      </c>
      <c r="G15" s="34">
        <f t="shared" si="1"/>
        <v>130</v>
      </c>
      <c r="H15" s="35">
        <v>0.833333333333333</v>
      </c>
      <c r="I15" s="36">
        <v>21.1858407079646</v>
      </c>
      <c r="J15" s="35">
        <v>6.1553435666</v>
      </c>
      <c r="K15" s="35">
        <v>51.34</v>
      </c>
      <c r="L15" s="35">
        <v>68.23868</v>
      </c>
      <c r="M15" s="35">
        <v>4.988412</v>
      </c>
      <c r="N15" s="35">
        <v>12.42074680704</v>
      </c>
      <c r="O15" s="35">
        <v>0</v>
      </c>
      <c r="P15" s="35">
        <v>2.18478982300885</v>
      </c>
      <c r="Q15" s="37" t="s">
        <v>93</v>
      </c>
      <c r="R15" s="35" t="s">
        <v>94</v>
      </c>
      <c r="S15" s="35">
        <v>6.8</v>
      </c>
      <c r="T15" s="38" t="s">
        <v>150</v>
      </c>
      <c r="U15" s="39">
        <v>134.491014</v>
      </c>
      <c r="V15" s="38">
        <v>11.03</v>
      </c>
      <c r="W15" s="40"/>
      <c r="X15" s="35"/>
      <c r="Y15" s="35"/>
      <c r="Z15" s="35"/>
      <c r="AA15" s="35"/>
      <c r="AB15" s="35">
        <v>22.482</v>
      </c>
      <c r="AC15" s="41">
        <v>0.1</v>
      </c>
      <c r="AD15" s="42">
        <v>21.3235011220217</v>
      </c>
      <c r="AE15" s="43">
        <v>0.124722370296029</v>
      </c>
      <c r="AF15" s="43">
        <v>0.012861994436778</v>
      </c>
      <c r="AG15" s="43">
        <v>0.0362368928472189</v>
      </c>
      <c r="AH15" s="43">
        <v>0.302241793434748</v>
      </c>
      <c r="AI15" s="44">
        <v>0.1769</v>
      </c>
      <c r="AJ15" s="44">
        <v>0.0336</v>
      </c>
      <c r="AK15" s="45">
        <v>0.0006</v>
      </c>
      <c r="AL15" s="45">
        <v>0</v>
      </c>
      <c r="AM15" s="45">
        <v>0.1125</v>
      </c>
      <c r="AN15" s="43">
        <v>0.02936709367494</v>
      </c>
      <c r="AO15" s="43">
        <v>0.186669855310287</v>
      </c>
      <c r="AP15" s="46"/>
      <c r="AQ15" s="29"/>
      <c r="AR15" s="29"/>
      <c r="AS15" s="29"/>
      <c r="AT15" s="29"/>
      <c r="AU15" s="29"/>
      <c r="AV15" s="29"/>
      <c r="AW15" s="29"/>
      <c r="AX15" s="29"/>
      <c r="AY15" s="29"/>
      <c r="AZ15" s="29"/>
      <c r="BA15" s="29"/>
      <c r="BB15" s="29"/>
      <c r="BC15" s="29"/>
      <c r="BD15" s="29"/>
      <c r="BE15" s="29"/>
      <c r="BF15" s="47">
        <v>0.15</v>
      </c>
      <c r="BG15" s="48">
        <v>14.3649960461534</v>
      </c>
      <c r="BH15" s="48">
        <v>22.482</v>
      </c>
      <c r="BI15" s="48">
        <f t="shared" si="2"/>
        <v>0.63895543306438</v>
      </c>
      <c r="BJ15" s="45">
        <v>0.2652</v>
      </c>
      <c r="BK15" s="45">
        <v>0.211</v>
      </c>
      <c r="BL15" s="45"/>
      <c r="BM15" s="37"/>
      <c r="BN15" s="37"/>
      <c r="BO15" s="49"/>
      <c r="BP15" s="37"/>
      <c r="BQ15" s="37"/>
      <c r="BR15" s="49"/>
      <c r="BS15" s="29"/>
      <c r="BT15" s="29"/>
      <c r="BU15" s="29"/>
      <c r="BV15" s="29"/>
      <c r="BW15" s="29"/>
      <c r="BX15" s="29"/>
      <c r="BY15" s="29"/>
      <c r="BZ15" s="29"/>
      <c r="CA15" s="29"/>
      <c r="CB15" s="29"/>
      <c r="CC15" s="29"/>
      <c r="CD15" s="29"/>
      <c r="CE15" s="29"/>
      <c r="CF15" s="29"/>
      <c r="CG15" s="29"/>
      <c r="CH15" s="29"/>
      <c r="CI15" s="29"/>
      <c r="CJ15" s="29"/>
      <c r="CK15" s="29"/>
    </row>
    <row r="16" ht="33" spans="1:89">
      <c r="A16" s="29" t="s">
        <v>151</v>
      </c>
      <c r="B16" s="30" t="s">
        <v>152</v>
      </c>
      <c r="C16" s="29" t="s">
        <v>153</v>
      </c>
      <c r="D16" s="31"/>
      <c r="E16" s="32">
        <v>46007</v>
      </c>
      <c r="F16" s="33">
        <v>40</v>
      </c>
      <c r="G16" s="34">
        <f t="shared" si="1"/>
        <v>130</v>
      </c>
      <c r="H16" s="35">
        <v>3.33333333333333</v>
      </c>
      <c r="I16" s="36">
        <v>15.646017699115</v>
      </c>
      <c r="J16" s="35">
        <v>5.0944860297</v>
      </c>
      <c r="K16" s="35">
        <v>51.34</v>
      </c>
      <c r="L16" s="35">
        <v>68.23868</v>
      </c>
      <c r="M16" s="35">
        <v>4.12896</v>
      </c>
      <c r="N16" s="35">
        <v>10.2807800832</v>
      </c>
      <c r="O16" s="35">
        <v>0</v>
      </c>
      <c r="P16" s="35">
        <v>1.61349557522124</v>
      </c>
      <c r="Q16" s="37" t="s">
        <v>93</v>
      </c>
      <c r="R16" s="35" t="s">
        <v>94</v>
      </c>
      <c r="S16" s="35">
        <v>6.8</v>
      </c>
      <c r="T16" s="38" t="s">
        <v>154</v>
      </c>
      <c r="U16" s="39">
        <v>133.8898</v>
      </c>
      <c r="V16" s="38">
        <v>9.31999999999994</v>
      </c>
      <c r="W16" s="40"/>
      <c r="X16" s="35"/>
      <c r="Y16" s="35"/>
      <c r="Z16" s="35"/>
      <c r="AA16" s="35"/>
      <c r="AB16" s="35">
        <v>21.582</v>
      </c>
      <c r="AC16" s="41">
        <v>0.1</v>
      </c>
      <c r="AD16" s="42">
        <v>19.3287499389104</v>
      </c>
      <c r="AE16" s="43">
        <v>0.0959501649604759</v>
      </c>
      <c r="AF16" s="43">
        <v>0.00989486076154908</v>
      </c>
      <c r="AG16" s="43">
        <v>0.0312422486244665</v>
      </c>
      <c r="AH16" s="43">
        <v>0.314845704753962</v>
      </c>
      <c r="AI16" s="44">
        <v>0.1769</v>
      </c>
      <c r="AJ16" s="44">
        <v>0.0336</v>
      </c>
      <c r="AK16" s="45">
        <v>0.0006</v>
      </c>
      <c r="AL16" s="45">
        <v>0</v>
      </c>
      <c r="AM16" s="45">
        <v>0.1125</v>
      </c>
      <c r="AN16" s="43">
        <v>0.0253211009174312</v>
      </c>
      <c r="AO16" s="50">
        <v>0.214845919982115</v>
      </c>
      <c r="AP16" s="46"/>
      <c r="AQ16" s="29"/>
      <c r="AR16" s="29"/>
      <c r="AS16" s="29"/>
      <c r="AT16" s="29"/>
      <c r="AU16" s="29"/>
      <c r="AV16" s="29"/>
      <c r="AW16" s="29"/>
      <c r="AX16" s="29"/>
      <c r="AY16" s="29"/>
      <c r="AZ16" s="29"/>
      <c r="BA16" s="29"/>
      <c r="BB16" s="29"/>
      <c r="BC16" s="29"/>
      <c r="BD16" s="29"/>
      <c r="BE16" s="29"/>
      <c r="BF16" s="47">
        <v>0.15</v>
      </c>
      <c r="BG16" s="48">
        <v>10.897013496845</v>
      </c>
      <c r="BH16" s="48">
        <v>21.582</v>
      </c>
      <c r="BI16" s="48">
        <f t="shared" si="2"/>
        <v>0.504912125699425</v>
      </c>
      <c r="BJ16" s="45">
        <v>0.2652</v>
      </c>
      <c r="BK16" s="45">
        <v>0.211</v>
      </c>
      <c r="BL16" s="45"/>
      <c r="BM16" s="37"/>
      <c r="BN16" s="37"/>
      <c r="BO16" s="49"/>
      <c r="BP16" s="37"/>
      <c r="BQ16" s="37"/>
      <c r="BR16" s="49"/>
      <c r="BS16" s="29"/>
      <c r="BT16" s="29"/>
      <c r="BU16" s="29"/>
      <c r="BV16" s="29"/>
      <c r="BW16" s="29"/>
      <c r="BX16" s="29"/>
      <c r="BY16" s="29"/>
      <c r="BZ16" s="29"/>
      <c r="CA16" s="29"/>
      <c r="CB16" s="29"/>
      <c r="CC16" s="29"/>
      <c r="CD16" s="29"/>
      <c r="CE16" s="29"/>
      <c r="CF16" s="29"/>
      <c r="CG16" s="29"/>
      <c r="CH16" s="29"/>
      <c r="CI16" s="29"/>
      <c r="CJ16" s="29"/>
      <c r="CK16" s="29"/>
    </row>
    <row r="17" ht="33" spans="1:89">
      <c r="A17" s="29" t="s">
        <v>155</v>
      </c>
      <c r="B17" s="30" t="s">
        <v>156</v>
      </c>
      <c r="C17" s="29" t="s">
        <v>157</v>
      </c>
      <c r="D17" s="31"/>
      <c r="E17" s="32">
        <v>46007</v>
      </c>
      <c r="F17" s="33">
        <v>35</v>
      </c>
      <c r="G17" s="34">
        <f t="shared" si="1"/>
        <v>125</v>
      </c>
      <c r="H17" s="35">
        <v>2.5</v>
      </c>
      <c r="I17" s="36">
        <v>23.5663716814159</v>
      </c>
      <c r="J17" s="35">
        <v>5.9391955285</v>
      </c>
      <c r="K17" s="35">
        <v>51.34</v>
      </c>
      <c r="L17" s="35">
        <v>68.23868</v>
      </c>
      <c r="M17" s="35">
        <v>4.81338</v>
      </c>
      <c r="N17" s="35">
        <v>11.9849311296</v>
      </c>
      <c r="O17" s="35">
        <v>0</v>
      </c>
      <c r="P17" s="35">
        <v>2.43028207964602</v>
      </c>
      <c r="Q17" s="37" t="s">
        <v>93</v>
      </c>
      <c r="R17" s="35" t="s">
        <v>94</v>
      </c>
      <c r="S17" s="35">
        <v>6.8</v>
      </c>
      <c r="T17" s="38" t="s">
        <v>158</v>
      </c>
      <c r="U17" s="39">
        <v>129.512101</v>
      </c>
      <c r="V17" s="38">
        <v>12.25</v>
      </c>
      <c r="W17" s="40"/>
      <c r="X17" s="35"/>
      <c r="Y17" s="35"/>
      <c r="Z17" s="35"/>
      <c r="AA17" s="35"/>
      <c r="AB17" s="35">
        <v>25.182</v>
      </c>
      <c r="AC17" s="41">
        <v>0.1</v>
      </c>
      <c r="AD17" s="42">
        <v>21.8785651493592</v>
      </c>
      <c r="AE17" s="43">
        <v>0.123861432963755</v>
      </c>
      <c r="AF17" s="43">
        <v>0.0127732102743873</v>
      </c>
      <c r="AG17" s="43">
        <v>0.0312155506480469</v>
      </c>
      <c r="AH17" s="43">
        <v>0.269835596854896</v>
      </c>
      <c r="AI17" s="44">
        <v>0.1769</v>
      </c>
      <c r="AJ17" s="44">
        <v>0.0336</v>
      </c>
      <c r="AK17" s="45">
        <v>0.0006</v>
      </c>
      <c r="AL17" s="45">
        <v>0</v>
      </c>
      <c r="AM17" s="45">
        <v>0.1125</v>
      </c>
      <c r="AN17" s="43">
        <v>0.0252984274481773</v>
      </c>
      <c r="AO17" s="43">
        <v>0.229115781810737</v>
      </c>
      <c r="AP17" s="46"/>
      <c r="AQ17" s="29"/>
      <c r="AR17" s="29"/>
      <c r="AS17" s="29"/>
      <c r="AT17" s="29"/>
      <c r="AU17" s="29"/>
      <c r="AV17" s="29"/>
      <c r="AW17" s="29"/>
      <c r="AX17" s="29"/>
      <c r="AY17" s="29"/>
      <c r="AZ17" s="29"/>
      <c r="BA17" s="29"/>
      <c r="BB17" s="29"/>
      <c r="BC17" s="29"/>
      <c r="BD17" s="29"/>
      <c r="BE17" s="29"/>
      <c r="BF17" s="47">
        <v>0.15</v>
      </c>
      <c r="BG17" s="48">
        <v>15.5021579187504</v>
      </c>
      <c r="BH17" s="48">
        <v>25.182</v>
      </c>
      <c r="BI17" s="48">
        <f t="shared" si="2"/>
        <v>0.615604714428973</v>
      </c>
      <c r="BJ17" s="45">
        <v>0.2652</v>
      </c>
      <c r="BK17" s="45">
        <v>0.211</v>
      </c>
      <c r="BL17" s="45"/>
      <c r="BM17" s="37"/>
      <c r="BN17" s="37"/>
      <c r="BO17" s="49"/>
      <c r="BP17" s="37"/>
      <c r="BQ17" s="37"/>
      <c r="BR17" s="49"/>
      <c r="BS17" s="29"/>
      <c r="BT17" s="29"/>
      <c r="BU17" s="29"/>
      <c r="BV17" s="29"/>
      <c r="BW17" s="29"/>
      <c r="BX17" s="29"/>
      <c r="BY17" s="29"/>
      <c r="BZ17" s="29"/>
      <c r="CA17" s="29"/>
      <c r="CB17" s="29"/>
      <c r="CC17" s="29"/>
      <c r="CD17" s="29"/>
      <c r="CE17" s="29"/>
      <c r="CF17" s="29"/>
      <c r="CG17" s="29"/>
      <c r="CH17" s="29"/>
      <c r="CI17" s="29"/>
      <c r="CJ17" s="29"/>
      <c r="CK17" s="29"/>
    </row>
    <row r="18" ht="33" spans="1:89">
      <c r="A18" s="29" t="s">
        <v>159</v>
      </c>
      <c r="B18" s="30" t="s">
        <v>160</v>
      </c>
      <c r="C18" s="29" t="s">
        <v>161</v>
      </c>
      <c r="D18" s="31"/>
      <c r="E18" s="32">
        <v>46007</v>
      </c>
      <c r="F18" s="33">
        <v>35</v>
      </c>
      <c r="G18" s="34">
        <f t="shared" si="1"/>
        <v>125</v>
      </c>
      <c r="H18" s="35">
        <v>2.5</v>
      </c>
      <c r="I18" s="36">
        <v>18.0576991150443</v>
      </c>
      <c r="J18" s="35">
        <v>3.776496779</v>
      </c>
      <c r="K18" s="35">
        <v>47.124</v>
      </c>
      <c r="L18" s="35">
        <v>66.31428</v>
      </c>
      <c r="M18" s="35">
        <v>3.060816</v>
      </c>
      <c r="N18" s="35">
        <v>7.62118697472</v>
      </c>
      <c r="O18" s="35">
        <v>0</v>
      </c>
      <c r="P18" s="35">
        <v>1.86220022123894</v>
      </c>
      <c r="Q18" s="37" t="s">
        <v>93</v>
      </c>
      <c r="R18" s="35" t="s">
        <v>94</v>
      </c>
      <c r="S18" s="35">
        <v>6.8</v>
      </c>
      <c r="T18" s="38" t="s">
        <v>162</v>
      </c>
      <c r="U18" s="39">
        <v>128.1201</v>
      </c>
      <c r="V18" s="38">
        <v>19.3099999999999</v>
      </c>
      <c r="W18" s="40"/>
      <c r="X18" s="35"/>
      <c r="Y18" s="35"/>
      <c r="Z18" s="35"/>
      <c r="AA18" s="35"/>
      <c r="AB18" s="35">
        <v>23.112</v>
      </c>
      <c r="AC18" s="41">
        <v>0.1</v>
      </c>
      <c r="AD18" s="42">
        <v>18.3497452028382</v>
      </c>
      <c r="AE18" s="43">
        <v>0.103409033781406</v>
      </c>
      <c r="AF18" s="43">
        <v>0.0106640566087075</v>
      </c>
      <c r="AG18" s="43">
        <v>0.0216264475616181</v>
      </c>
      <c r="AH18" s="43">
        <v>0.269859813084112</v>
      </c>
      <c r="AI18" s="44">
        <v>0.1769</v>
      </c>
      <c r="AJ18" s="44">
        <v>0.0336</v>
      </c>
      <c r="AK18" s="45">
        <v>0.0006</v>
      </c>
      <c r="AL18" s="45">
        <v>0</v>
      </c>
      <c r="AM18" s="45">
        <v>0.1125</v>
      </c>
      <c r="AN18" s="43">
        <v>0.0175280373831776</v>
      </c>
      <c r="AO18" s="50">
        <v>0.269012611580979</v>
      </c>
      <c r="AP18" s="46"/>
      <c r="AQ18" s="29"/>
      <c r="AR18" s="29"/>
      <c r="AS18" s="29"/>
      <c r="AT18" s="29"/>
      <c r="AU18" s="29"/>
      <c r="AV18" s="29"/>
      <c r="AW18" s="29"/>
      <c r="AX18" s="29"/>
      <c r="AY18" s="29"/>
      <c r="AZ18" s="29"/>
      <c r="BA18" s="29"/>
      <c r="BB18" s="29"/>
      <c r="BC18" s="29"/>
      <c r="BD18" s="29"/>
      <c r="BE18" s="29"/>
      <c r="BF18" s="47">
        <v>0.15</v>
      </c>
      <c r="BG18" s="48">
        <v>11.4716368734865</v>
      </c>
      <c r="BH18" s="48">
        <v>23.112</v>
      </c>
      <c r="BI18" s="48">
        <f t="shared" si="2"/>
        <v>0.496349812802289</v>
      </c>
      <c r="BJ18" s="45">
        <v>0.2652</v>
      </c>
      <c r="BK18" s="45">
        <v>0.211</v>
      </c>
      <c r="BL18" s="45"/>
      <c r="BM18" s="37"/>
      <c r="BN18" s="37"/>
      <c r="BO18" s="49"/>
      <c r="BP18" s="37"/>
      <c r="BQ18" s="37"/>
      <c r="BR18" s="49"/>
      <c r="BS18" s="29"/>
      <c r="BT18" s="29"/>
      <c r="BU18" s="29"/>
      <c r="BV18" s="29"/>
      <c r="BW18" s="29"/>
      <c r="BX18" s="29"/>
      <c r="BY18" s="29"/>
      <c r="BZ18" s="29"/>
      <c r="CA18" s="29"/>
      <c r="CB18" s="29"/>
      <c r="CC18" s="29"/>
      <c r="CD18" s="29"/>
      <c r="CE18" s="29"/>
      <c r="CF18" s="29"/>
      <c r="CG18" s="29"/>
      <c r="CH18" s="29"/>
      <c r="CI18" s="29"/>
      <c r="CJ18" s="29"/>
      <c r="CK18" s="29"/>
    </row>
    <row r="19" ht="33" spans="1:89">
      <c r="A19" s="29" t="s">
        <v>163</v>
      </c>
      <c r="B19" s="30" t="s">
        <v>164</v>
      </c>
      <c r="C19" s="29" t="s">
        <v>165</v>
      </c>
      <c r="D19" s="31"/>
      <c r="E19" s="32">
        <v>46007</v>
      </c>
      <c r="F19" s="33">
        <v>40</v>
      </c>
      <c r="G19" s="34">
        <f t="shared" si="1"/>
        <v>130</v>
      </c>
      <c r="H19" s="35">
        <v>1</v>
      </c>
      <c r="I19" s="36">
        <v>17.283185840708</v>
      </c>
      <c r="J19" s="35">
        <v>3.9870086962</v>
      </c>
      <c r="K19" s="35">
        <v>47.124</v>
      </c>
      <c r="L19" s="35">
        <v>66.31428</v>
      </c>
      <c r="M19" s="35">
        <v>3.23136</v>
      </c>
      <c r="N19" s="35">
        <v>8.0458278912</v>
      </c>
      <c r="O19" s="35">
        <v>0</v>
      </c>
      <c r="P19" s="35">
        <v>1.78232853982301</v>
      </c>
      <c r="Q19" s="37" t="s">
        <v>93</v>
      </c>
      <c r="R19" s="35" t="s">
        <v>94</v>
      </c>
      <c r="S19" s="35">
        <v>6.8</v>
      </c>
      <c r="T19" s="38" t="s">
        <v>166</v>
      </c>
      <c r="U19" s="39">
        <v>122.2719</v>
      </c>
      <c r="V19" s="38">
        <v>11.0899999999999</v>
      </c>
      <c r="W19" s="40"/>
      <c r="X19" s="35"/>
      <c r="Y19" s="35"/>
      <c r="Z19" s="35"/>
      <c r="AA19" s="35"/>
      <c r="AB19" s="35">
        <v>23.382</v>
      </c>
      <c r="AC19" s="41">
        <v>0.1</v>
      </c>
      <c r="AD19" s="42">
        <v>18.232185311685</v>
      </c>
      <c r="AE19" s="43">
        <v>0.0978308305071094</v>
      </c>
      <c r="AF19" s="43">
        <v>0.0100888043960457</v>
      </c>
      <c r="AG19" s="43">
        <v>0.0225683144058778</v>
      </c>
      <c r="AH19" s="43">
        <v>0.266743648960739</v>
      </c>
      <c r="AI19" s="44">
        <v>0.1769</v>
      </c>
      <c r="AJ19" s="44">
        <v>0.0336</v>
      </c>
      <c r="AK19" s="45">
        <v>0.0006</v>
      </c>
      <c r="AL19" s="45">
        <v>0</v>
      </c>
      <c r="AM19" s="45">
        <v>0.1125</v>
      </c>
      <c r="AN19" s="43">
        <v>0.0182909930715935</v>
      </c>
      <c r="AO19" s="43">
        <v>0.276577408658635</v>
      </c>
      <c r="AP19" s="46"/>
      <c r="AQ19" s="29"/>
      <c r="AR19" s="29"/>
      <c r="AS19" s="29"/>
      <c r="AT19" s="29"/>
      <c r="AU19" s="29"/>
      <c r="AV19" s="29"/>
      <c r="AW19" s="29"/>
      <c r="AX19" s="29"/>
      <c r="AY19" s="29"/>
      <c r="AZ19" s="29"/>
      <c r="BA19" s="29"/>
      <c r="BB19" s="29"/>
      <c r="BC19" s="29"/>
      <c r="BD19" s="29"/>
      <c r="BE19" s="29"/>
      <c r="BF19" s="47">
        <v>0.15</v>
      </c>
      <c r="BG19" s="48">
        <v>11.1753118429418</v>
      </c>
      <c r="BH19" s="48">
        <v>23.382</v>
      </c>
      <c r="BI19" s="48">
        <f t="shared" si="2"/>
        <v>0.477945079246506</v>
      </c>
      <c r="BJ19" s="45">
        <v>0.2652</v>
      </c>
      <c r="BK19" s="45">
        <v>0.211</v>
      </c>
      <c r="BL19" s="45"/>
      <c r="BM19" s="37"/>
      <c r="BN19" s="37"/>
      <c r="BO19" s="49"/>
      <c r="BP19" s="37"/>
      <c r="BQ19" s="37"/>
      <c r="BR19" s="49"/>
      <c r="BS19" s="29"/>
      <c r="BT19" s="29"/>
      <c r="BU19" s="29"/>
      <c r="BV19" s="29"/>
      <c r="BW19" s="29"/>
      <c r="BX19" s="29"/>
      <c r="BY19" s="29"/>
      <c r="BZ19" s="29"/>
      <c r="CA19" s="29"/>
      <c r="CB19" s="29"/>
      <c r="CC19" s="29"/>
      <c r="CD19" s="29"/>
      <c r="CE19" s="29"/>
      <c r="CF19" s="29"/>
      <c r="CG19" s="29"/>
      <c r="CH19" s="29"/>
      <c r="CI19" s="29"/>
      <c r="CJ19" s="29"/>
      <c r="CK19" s="29"/>
    </row>
    <row r="20" ht="33" spans="1:89">
      <c r="A20" s="29" t="s">
        <v>167</v>
      </c>
      <c r="B20" s="30" t="s">
        <v>168</v>
      </c>
      <c r="C20" s="29" t="s">
        <v>169</v>
      </c>
      <c r="D20" s="31"/>
      <c r="E20" s="32">
        <v>46007</v>
      </c>
      <c r="F20" s="33">
        <v>35</v>
      </c>
      <c r="G20" s="34">
        <f t="shared" si="1"/>
        <v>125</v>
      </c>
      <c r="H20" s="35">
        <v>1</v>
      </c>
      <c r="I20" s="36">
        <v>17.3362831858407</v>
      </c>
      <c r="J20" s="35">
        <v>3.3224581735</v>
      </c>
      <c r="K20" s="35">
        <v>47.124</v>
      </c>
      <c r="L20" s="35">
        <v>66.31428</v>
      </c>
      <c r="M20" s="35">
        <v>2.6928</v>
      </c>
      <c r="N20" s="35">
        <v>6.704856576</v>
      </c>
      <c r="O20" s="35">
        <v>0</v>
      </c>
      <c r="P20" s="35">
        <v>1.78780420353982</v>
      </c>
      <c r="Q20" s="37" t="s">
        <v>93</v>
      </c>
      <c r="R20" s="35" t="s">
        <v>94</v>
      </c>
      <c r="S20" s="35">
        <v>6.8</v>
      </c>
      <c r="T20" s="38" t="s">
        <v>170</v>
      </c>
      <c r="U20" s="39">
        <v>119.749005</v>
      </c>
      <c r="V20" s="38">
        <v>8.15000000000009</v>
      </c>
      <c r="W20" s="40"/>
      <c r="X20" s="35"/>
      <c r="Y20" s="35"/>
      <c r="Z20" s="35"/>
      <c r="AA20" s="35"/>
      <c r="AB20" s="35">
        <v>21.582</v>
      </c>
      <c r="AC20" s="41">
        <v>0.1</v>
      </c>
      <c r="AD20" s="42">
        <v>17.9479185657432</v>
      </c>
      <c r="AE20" s="43">
        <v>0.106315821921704</v>
      </c>
      <c r="AF20" s="43">
        <v>0.0109638191356757</v>
      </c>
      <c r="AG20" s="43">
        <v>0.0203751789082814</v>
      </c>
      <c r="AH20" s="43">
        <v>0.288990825688073</v>
      </c>
      <c r="AI20" s="44">
        <v>0.1769</v>
      </c>
      <c r="AJ20" s="44">
        <v>0.0336</v>
      </c>
      <c r="AK20" s="45">
        <v>0.0006</v>
      </c>
      <c r="AL20" s="45">
        <v>0</v>
      </c>
      <c r="AM20" s="45">
        <v>0.1125</v>
      </c>
      <c r="AN20" s="43">
        <v>0.0165137614678899</v>
      </c>
      <c r="AO20" s="43">
        <v>0.248940592878376</v>
      </c>
      <c r="AP20" s="46"/>
      <c r="AQ20" s="29"/>
      <c r="AR20" s="29"/>
      <c r="AS20" s="29"/>
      <c r="AT20" s="29"/>
      <c r="AU20" s="29"/>
      <c r="AV20" s="29"/>
      <c r="AW20" s="29"/>
      <c r="AX20" s="29"/>
      <c r="AY20" s="29"/>
      <c r="AZ20" s="29"/>
      <c r="BA20" s="29"/>
      <c r="BB20" s="29"/>
      <c r="BC20" s="29"/>
      <c r="BD20" s="29"/>
      <c r="BE20" s="29"/>
      <c r="BF20" s="47">
        <v>0.15</v>
      </c>
      <c r="BG20" s="48">
        <v>10.8540557338444</v>
      </c>
      <c r="BH20" s="48">
        <v>21.582</v>
      </c>
      <c r="BI20" s="48">
        <f t="shared" si="2"/>
        <v>0.502921681671967</v>
      </c>
      <c r="BJ20" s="45">
        <v>0.2652</v>
      </c>
      <c r="BK20" s="45">
        <v>0.211</v>
      </c>
      <c r="BL20" s="45"/>
      <c r="BM20" s="37"/>
      <c r="BN20" s="37"/>
      <c r="BO20" s="49"/>
      <c r="BP20" s="37"/>
      <c r="BQ20" s="37"/>
      <c r="BR20" s="49"/>
      <c r="BS20" s="29"/>
      <c r="BT20" s="29"/>
      <c r="BU20" s="29"/>
      <c r="BV20" s="29"/>
      <c r="BW20" s="29"/>
      <c r="BX20" s="29"/>
      <c r="BY20" s="29"/>
      <c r="BZ20" s="29"/>
      <c r="CA20" s="29"/>
      <c r="CB20" s="29"/>
      <c r="CC20" s="29"/>
      <c r="CD20" s="29"/>
      <c r="CE20" s="29"/>
      <c r="CF20" s="29"/>
      <c r="CG20" s="29"/>
      <c r="CH20" s="29"/>
      <c r="CI20" s="29"/>
      <c r="CJ20" s="29"/>
      <c r="CK20" s="29"/>
    </row>
    <row r="21" ht="33" spans="1:89">
      <c r="A21" s="29" t="s">
        <v>171</v>
      </c>
      <c r="B21" s="30" t="s">
        <v>172</v>
      </c>
      <c r="C21" s="29" t="s">
        <v>173</v>
      </c>
      <c r="D21" s="31"/>
      <c r="E21" s="32">
        <v>46007</v>
      </c>
      <c r="F21" s="33">
        <v>40</v>
      </c>
      <c r="G21" s="34">
        <f t="shared" si="1"/>
        <v>130</v>
      </c>
      <c r="H21" s="35">
        <v>1.66666666666667</v>
      </c>
      <c r="I21" s="36">
        <v>18.6991150442478</v>
      </c>
      <c r="J21" s="35">
        <v>4.3192594209</v>
      </c>
      <c r="K21" s="35">
        <v>47.124</v>
      </c>
      <c r="L21" s="35">
        <v>66.31428</v>
      </c>
      <c r="M21" s="35">
        <v>3.50064</v>
      </c>
      <c r="N21" s="35">
        <v>8.7163135488</v>
      </c>
      <c r="O21" s="35">
        <v>0</v>
      </c>
      <c r="P21" s="35">
        <v>1.92834623893805</v>
      </c>
      <c r="Q21" s="37" t="s">
        <v>93</v>
      </c>
      <c r="R21" s="35" t="s">
        <v>94</v>
      </c>
      <c r="S21" s="35">
        <v>6.8</v>
      </c>
      <c r="T21" s="38" t="s">
        <v>174</v>
      </c>
      <c r="U21" s="39">
        <v>116.71673</v>
      </c>
      <c r="V21" s="38">
        <v>5.47000000000003</v>
      </c>
      <c r="W21" s="40"/>
      <c r="X21" s="35"/>
      <c r="Y21" s="35"/>
      <c r="Z21" s="35"/>
      <c r="AA21" s="35"/>
      <c r="AB21" s="35">
        <v>26.082</v>
      </c>
      <c r="AC21" s="41">
        <v>0.1</v>
      </c>
      <c r="AD21" s="42">
        <v>18.7695244007088</v>
      </c>
      <c r="AE21" s="43">
        <v>0.094888538973368</v>
      </c>
      <c r="AF21" s="43">
        <v>0.00978538058162857</v>
      </c>
      <c r="AG21" s="43">
        <v>0.0219180541392644</v>
      </c>
      <c r="AH21" s="43">
        <v>0.239130434782609</v>
      </c>
      <c r="AI21" s="44">
        <v>0.1769</v>
      </c>
      <c r="AJ21" s="44">
        <v>0.0336</v>
      </c>
      <c r="AK21" s="45">
        <v>0.0006</v>
      </c>
      <c r="AL21" s="45">
        <v>0</v>
      </c>
      <c r="AM21" s="45">
        <v>0.1125</v>
      </c>
      <c r="AN21" s="43">
        <v>0.0177639751552795</v>
      </c>
      <c r="AO21" s="50">
        <v>0.308613616367851</v>
      </c>
      <c r="AP21" s="46"/>
      <c r="AQ21" s="29"/>
      <c r="AR21" s="29"/>
      <c r="AS21" s="29"/>
      <c r="AT21" s="29"/>
      <c r="AU21" s="29"/>
      <c r="AV21" s="29"/>
      <c r="AW21" s="29"/>
      <c r="AX21" s="29"/>
      <c r="AY21" s="29"/>
      <c r="AZ21" s="29"/>
      <c r="BA21" s="29"/>
      <c r="BB21" s="29"/>
      <c r="BC21" s="29"/>
      <c r="BD21" s="29"/>
      <c r="BE21" s="29"/>
      <c r="BF21" s="47">
        <v>0.15</v>
      </c>
      <c r="BG21" s="48">
        <v>12.0938016020153</v>
      </c>
      <c r="BH21" s="48">
        <v>26.082</v>
      </c>
      <c r="BI21" s="48">
        <f t="shared" si="2"/>
        <v>0.463683828004574</v>
      </c>
      <c r="BJ21" s="45">
        <v>0.2652</v>
      </c>
      <c r="BK21" s="45">
        <v>0.211</v>
      </c>
      <c r="BL21" s="45"/>
      <c r="BM21" s="37"/>
      <c r="BN21" s="37"/>
      <c r="BO21" s="49"/>
      <c r="BP21" s="37"/>
      <c r="BQ21" s="37"/>
      <c r="BR21" s="49"/>
      <c r="BS21" s="29"/>
      <c r="BT21" s="29"/>
      <c r="BU21" s="29"/>
      <c r="BV21" s="29"/>
      <c r="BW21" s="29"/>
      <c r="BX21" s="29"/>
      <c r="BY21" s="29"/>
      <c r="BZ21" s="29"/>
      <c r="CA21" s="29"/>
      <c r="CB21" s="29"/>
      <c r="CC21" s="29"/>
      <c r="CD21" s="29"/>
      <c r="CE21" s="29"/>
      <c r="CF21" s="29"/>
      <c r="CG21" s="29"/>
      <c r="CH21" s="29"/>
      <c r="CI21" s="29"/>
      <c r="CJ21" s="29"/>
      <c r="CK21" s="29"/>
    </row>
    <row r="22" ht="33" spans="1:89">
      <c r="A22" s="29" t="s">
        <v>175</v>
      </c>
      <c r="B22" s="30" t="s">
        <v>176</v>
      </c>
      <c r="C22" s="29" t="s">
        <v>177</v>
      </c>
      <c r="D22" s="31"/>
      <c r="E22" s="32">
        <v>46007</v>
      </c>
      <c r="F22" s="33">
        <v>35</v>
      </c>
      <c r="G22" s="34">
        <f t="shared" si="1"/>
        <v>125</v>
      </c>
      <c r="H22" s="35">
        <v>1</v>
      </c>
      <c r="I22" s="36">
        <v>23.4513274336283</v>
      </c>
      <c r="J22" s="35">
        <v>4.8779579452</v>
      </c>
      <c r="K22" s="35">
        <v>51.34</v>
      </c>
      <c r="L22" s="35">
        <v>66.31428</v>
      </c>
      <c r="M22" s="35">
        <v>3.953367</v>
      </c>
      <c r="N22" s="35">
        <v>9.84356756064</v>
      </c>
      <c r="O22" s="35">
        <v>0</v>
      </c>
      <c r="P22" s="35">
        <v>2.41841814159292</v>
      </c>
      <c r="Q22" s="37" t="s">
        <v>93</v>
      </c>
      <c r="R22" s="35" t="s">
        <v>94</v>
      </c>
      <c r="S22" s="35">
        <v>6.8</v>
      </c>
      <c r="T22" s="38" t="s">
        <v>178</v>
      </c>
      <c r="U22" s="39">
        <v>114.8387</v>
      </c>
      <c r="V22" s="38">
        <v>5.40000000000009</v>
      </c>
      <c r="W22" s="40"/>
      <c r="X22" s="35"/>
      <c r="Y22" s="35"/>
      <c r="Z22" s="35"/>
      <c r="AA22" s="35"/>
      <c r="AB22" s="35">
        <v>24.282</v>
      </c>
      <c r="AC22" s="41">
        <v>0.1</v>
      </c>
      <c r="AD22" s="42">
        <v>21.3698675999735</v>
      </c>
      <c r="AE22" s="43">
        <v>0.127825226930778</v>
      </c>
      <c r="AF22" s="43">
        <v>0.0131819765272365</v>
      </c>
      <c r="AG22" s="43">
        <v>0.0265880932782453</v>
      </c>
      <c r="AH22" s="43">
        <v>0.279836916234248</v>
      </c>
      <c r="AI22" s="44">
        <v>0.1769</v>
      </c>
      <c r="AJ22" s="44">
        <v>0.0336</v>
      </c>
      <c r="AK22" s="45">
        <v>0.0006</v>
      </c>
      <c r="AL22" s="45">
        <v>0</v>
      </c>
      <c r="AM22" s="45">
        <v>0.1125</v>
      </c>
      <c r="AN22" s="43">
        <v>0.021548461823573</v>
      </c>
      <c r="AO22" s="43">
        <v>0.223119325205919</v>
      </c>
      <c r="AP22" s="46"/>
      <c r="AQ22" s="29"/>
      <c r="AR22" s="29"/>
      <c r="AS22" s="29"/>
      <c r="AT22" s="29"/>
      <c r="AU22" s="29"/>
      <c r="AV22" s="29"/>
      <c r="AW22" s="29"/>
      <c r="AX22" s="29"/>
      <c r="AY22" s="29"/>
      <c r="AZ22" s="29"/>
      <c r="BA22" s="29"/>
      <c r="BB22" s="29"/>
      <c r="BC22" s="29"/>
      <c r="BD22" s="29"/>
      <c r="BE22" s="29"/>
      <c r="BF22" s="47">
        <v>0.15</v>
      </c>
      <c r="BG22" s="48">
        <v>14.8841421194693</v>
      </c>
      <c r="BH22" s="48">
        <v>24.282</v>
      </c>
      <c r="BI22" s="48">
        <f t="shared" si="2"/>
        <v>0.612970188595227</v>
      </c>
      <c r="BJ22" s="45">
        <v>0.2652</v>
      </c>
      <c r="BK22" s="45">
        <v>0.211</v>
      </c>
      <c r="BL22" s="45"/>
      <c r="BM22" s="37"/>
      <c r="BN22" s="37"/>
      <c r="BO22" s="49"/>
      <c r="BP22" s="37"/>
      <c r="BQ22" s="37"/>
      <c r="BR22" s="49"/>
      <c r="BS22" s="29"/>
      <c r="BT22" s="29"/>
      <c r="BU22" s="29"/>
      <c r="BV22" s="29"/>
      <c r="BW22" s="29"/>
      <c r="BX22" s="29"/>
      <c r="BY22" s="29"/>
      <c r="BZ22" s="29"/>
      <c r="CA22" s="29"/>
      <c r="CB22" s="29"/>
      <c r="CC22" s="29"/>
      <c r="CD22" s="29"/>
      <c r="CE22" s="29"/>
      <c r="CF22" s="29"/>
      <c r="CG22" s="29"/>
      <c r="CH22" s="29"/>
      <c r="CI22" s="29"/>
      <c r="CJ22" s="29"/>
      <c r="CK22" s="29"/>
    </row>
    <row r="23" ht="33" spans="1:89">
      <c r="A23" s="29" t="s">
        <v>179</v>
      </c>
      <c r="B23" s="30" t="s">
        <v>180</v>
      </c>
      <c r="C23" s="29" t="s">
        <v>181</v>
      </c>
      <c r="D23" s="31"/>
      <c r="E23" s="32">
        <v>46007</v>
      </c>
      <c r="F23" s="33">
        <v>40</v>
      </c>
      <c r="G23" s="34">
        <f t="shared" si="1"/>
        <v>130</v>
      </c>
      <c r="H23" s="35">
        <v>2.5</v>
      </c>
      <c r="I23" s="36">
        <v>18.7256637168142</v>
      </c>
      <c r="J23" s="35">
        <v>5.634239966</v>
      </c>
      <c r="K23" s="35">
        <v>51.34</v>
      </c>
      <c r="L23" s="35">
        <v>68.23868</v>
      </c>
      <c r="M23" s="35">
        <v>4.56654</v>
      </c>
      <c r="N23" s="35">
        <v>11.3703192768</v>
      </c>
      <c r="O23" s="35">
        <v>0</v>
      </c>
      <c r="P23" s="35">
        <v>1.93108407079646</v>
      </c>
      <c r="Q23" s="37" t="s">
        <v>93</v>
      </c>
      <c r="R23" s="35" t="s">
        <v>94</v>
      </c>
      <c r="S23" s="35">
        <v>6.8</v>
      </c>
      <c r="T23" s="38" t="s">
        <v>182</v>
      </c>
      <c r="U23" s="39">
        <v>105.4492</v>
      </c>
      <c r="V23" s="38">
        <v>13.7000000000001</v>
      </c>
      <c r="W23" s="40"/>
      <c r="X23" s="35"/>
      <c r="Y23" s="35"/>
      <c r="Z23" s="35"/>
      <c r="AA23" s="35"/>
      <c r="AB23" s="35">
        <v>20.682</v>
      </c>
      <c r="AC23" s="41">
        <v>0.1</v>
      </c>
      <c r="AD23" s="42">
        <v>20.4152537214527</v>
      </c>
      <c r="AE23" s="43">
        <v>0.119833510705051</v>
      </c>
      <c r="AF23" s="43">
        <v>0.0123578307914584</v>
      </c>
      <c r="AG23" s="43">
        <v>0.0360559051732965</v>
      </c>
      <c r="AH23" s="43">
        <v>0.328546562228024</v>
      </c>
      <c r="AI23" s="44">
        <v>0.1769</v>
      </c>
      <c r="AJ23" s="44">
        <v>0.0336</v>
      </c>
      <c r="AK23" s="45">
        <v>0.0006</v>
      </c>
      <c r="AL23" s="45">
        <v>0</v>
      </c>
      <c r="AM23" s="45">
        <v>0.1125</v>
      </c>
      <c r="AN23" s="43">
        <v>0.0292232375979112</v>
      </c>
      <c r="AO23" s="43">
        <v>0.166082953504258</v>
      </c>
      <c r="AP23" s="46"/>
      <c r="AQ23" s="29"/>
      <c r="AR23" s="29"/>
      <c r="AS23" s="29"/>
      <c r="AT23" s="29"/>
      <c r="AU23" s="29"/>
      <c r="AV23" s="29"/>
      <c r="AW23" s="29"/>
      <c r="AX23" s="29"/>
      <c r="AY23" s="29"/>
      <c r="AZ23" s="29"/>
      <c r="BA23" s="29"/>
      <c r="BB23" s="29"/>
      <c r="BC23" s="29"/>
      <c r="BD23" s="29"/>
      <c r="BE23" s="29"/>
      <c r="BF23" s="47">
        <v>0.15</v>
      </c>
      <c r="BG23" s="48">
        <v>12.7986380024453</v>
      </c>
      <c r="BH23" s="48">
        <v>20.682</v>
      </c>
      <c r="BI23" s="48">
        <f t="shared" si="2"/>
        <v>0.618829803812267</v>
      </c>
      <c r="BJ23" s="45">
        <v>0.2652</v>
      </c>
      <c r="BK23" s="45">
        <v>0.211</v>
      </c>
      <c r="BL23" s="45"/>
      <c r="BM23" s="37"/>
      <c r="BN23" s="37"/>
      <c r="BO23" s="49"/>
      <c r="BP23" s="37"/>
      <c r="BQ23" s="37"/>
      <c r="BR23" s="49"/>
      <c r="BS23" s="29"/>
      <c r="BT23" s="29"/>
      <c r="BU23" s="29"/>
      <c r="BV23" s="29"/>
      <c r="BW23" s="29"/>
      <c r="BX23" s="29"/>
      <c r="BY23" s="29"/>
      <c r="BZ23" s="29"/>
      <c r="CA23" s="29"/>
      <c r="CB23" s="29"/>
      <c r="CC23" s="29"/>
      <c r="CD23" s="29"/>
      <c r="CE23" s="29"/>
      <c r="CF23" s="29"/>
      <c r="CG23" s="29"/>
      <c r="CH23" s="29"/>
      <c r="CI23" s="29"/>
      <c r="CJ23" s="29"/>
      <c r="CK23" s="29"/>
    </row>
    <row r="24" ht="33" spans="1:89">
      <c r="A24" s="29" t="s">
        <v>183</v>
      </c>
      <c r="B24" s="30" t="s">
        <v>184</v>
      </c>
      <c r="C24" s="29" t="s">
        <v>185</v>
      </c>
      <c r="D24" s="31"/>
      <c r="E24" s="32">
        <v>46007</v>
      </c>
      <c r="F24" s="33">
        <v>35</v>
      </c>
      <c r="G24" s="34">
        <f t="shared" si="1"/>
        <v>125</v>
      </c>
      <c r="H24" s="35">
        <v>1.66666666666667</v>
      </c>
      <c r="I24" s="36">
        <v>17.7699115044248</v>
      </c>
      <c r="J24" s="35">
        <v>5.6068552004</v>
      </c>
      <c r="K24" s="35">
        <v>51.34</v>
      </c>
      <c r="L24" s="35">
        <v>68.23868</v>
      </c>
      <c r="M24" s="35">
        <v>4.5441</v>
      </c>
      <c r="N24" s="35">
        <v>11.314445472</v>
      </c>
      <c r="O24" s="35">
        <v>0</v>
      </c>
      <c r="P24" s="35">
        <v>1.83252212389381</v>
      </c>
      <c r="Q24" s="37" t="s">
        <v>93</v>
      </c>
      <c r="R24" s="35" t="s">
        <v>94</v>
      </c>
      <c r="S24" s="35">
        <v>6.8</v>
      </c>
      <c r="T24" s="38" t="s">
        <v>186</v>
      </c>
      <c r="U24" s="39">
        <v>95.047598</v>
      </c>
      <c r="V24" s="38">
        <v>18.75</v>
      </c>
      <c r="W24" s="40"/>
      <c r="X24" s="35"/>
      <c r="Y24" s="35"/>
      <c r="Z24" s="35"/>
      <c r="AA24" s="35"/>
      <c r="AB24" s="35">
        <v>20.682</v>
      </c>
      <c r="AC24" s="41">
        <v>0.1</v>
      </c>
      <c r="AD24" s="42">
        <v>20.141020701173</v>
      </c>
      <c r="AE24" s="43">
        <v>0.113717244563206</v>
      </c>
      <c r="AF24" s="43">
        <v>0.0117270908455806</v>
      </c>
      <c r="AG24" s="43">
        <v>0.0358806583755696</v>
      </c>
      <c r="AH24" s="43">
        <v>0.328546562228024</v>
      </c>
      <c r="AI24" s="44">
        <v>0.1769</v>
      </c>
      <c r="AJ24" s="44">
        <v>0.0336</v>
      </c>
      <c r="AK24" s="45">
        <v>0.0006</v>
      </c>
      <c r="AL24" s="45">
        <v>0</v>
      </c>
      <c r="AM24" s="45">
        <v>0.1125</v>
      </c>
      <c r="AN24" s="43">
        <v>0.029079634464752</v>
      </c>
      <c r="AO24" s="43">
        <v>0.173148809522868</v>
      </c>
      <c r="AP24" s="46"/>
      <c r="AQ24" s="29"/>
      <c r="AR24" s="29"/>
      <c r="AS24" s="29"/>
      <c r="AT24" s="29"/>
      <c r="AU24" s="29"/>
      <c r="AV24" s="29"/>
      <c r="AW24" s="29"/>
      <c r="AX24" s="29"/>
      <c r="AY24" s="29"/>
      <c r="AZ24" s="29"/>
      <c r="BA24" s="29"/>
      <c r="BB24" s="29"/>
      <c r="BC24" s="29"/>
      <c r="BD24" s="29"/>
      <c r="BE24" s="29"/>
      <c r="BF24" s="47">
        <v>0.15</v>
      </c>
      <c r="BG24" s="48">
        <v>12.2821000697858</v>
      </c>
      <c r="BH24" s="48">
        <v>20.682</v>
      </c>
      <c r="BI24" s="48">
        <f t="shared" si="2"/>
        <v>0.593854562894585</v>
      </c>
      <c r="BJ24" s="45">
        <v>0.2652</v>
      </c>
      <c r="BK24" s="45">
        <v>0.211</v>
      </c>
      <c r="BL24" s="45"/>
      <c r="BM24" s="37"/>
      <c r="BN24" s="37"/>
      <c r="BO24" s="49"/>
      <c r="BP24" s="37"/>
      <c r="BQ24" s="37"/>
      <c r="BR24" s="49"/>
      <c r="BS24" s="29"/>
      <c r="BT24" s="29"/>
      <c r="BU24" s="29"/>
      <c r="BV24" s="29"/>
      <c r="BW24" s="29"/>
      <c r="BX24" s="29"/>
      <c r="BY24" s="29"/>
      <c r="BZ24" s="29"/>
      <c r="CA24" s="29"/>
      <c r="CB24" s="29"/>
      <c r="CC24" s="29"/>
      <c r="CD24" s="29"/>
      <c r="CE24" s="29"/>
      <c r="CF24" s="29"/>
      <c r="CG24" s="29"/>
      <c r="CH24" s="29"/>
      <c r="CI24" s="29"/>
      <c r="CJ24" s="29"/>
      <c r="CK24" s="29"/>
    </row>
    <row r="25" ht="33" spans="1:89">
      <c r="A25" s="29" t="s">
        <v>187</v>
      </c>
      <c r="B25" s="30" t="s">
        <v>188</v>
      </c>
      <c r="C25" s="29" t="s">
        <v>189</v>
      </c>
      <c r="D25" s="31"/>
      <c r="E25" s="32">
        <v>46007</v>
      </c>
      <c r="F25" s="33">
        <v>35</v>
      </c>
      <c r="G25" s="34">
        <f t="shared" si="1"/>
        <v>125</v>
      </c>
      <c r="H25" s="35">
        <v>0.833333333333333</v>
      </c>
      <c r="I25" s="36">
        <v>20.3973805309735</v>
      </c>
      <c r="J25" s="35">
        <v>4.5683799887</v>
      </c>
      <c r="K25" s="35">
        <v>47.124</v>
      </c>
      <c r="L25" s="35">
        <v>66.31428</v>
      </c>
      <c r="M25" s="35">
        <v>3.7026</v>
      </c>
      <c r="N25" s="35">
        <v>9.219177792</v>
      </c>
      <c r="O25" s="35">
        <v>0</v>
      </c>
      <c r="P25" s="35">
        <v>2.10347986725664</v>
      </c>
      <c r="Q25" s="37" t="s">
        <v>93</v>
      </c>
      <c r="R25" s="35" t="s">
        <v>94</v>
      </c>
      <c r="S25" s="35">
        <v>6.8</v>
      </c>
      <c r="T25" s="38" t="s">
        <v>190</v>
      </c>
      <c r="U25" s="39">
        <v>92.0739</v>
      </c>
      <c r="V25" s="38">
        <v>19.4400000000001</v>
      </c>
      <c r="W25" s="40"/>
      <c r="X25" s="35"/>
      <c r="Y25" s="35"/>
      <c r="Z25" s="35"/>
      <c r="AA25" s="35"/>
      <c r="AB25" s="35">
        <v>19.782</v>
      </c>
      <c r="AC25" s="41">
        <v>0.1</v>
      </c>
      <c r="AD25" s="42">
        <v>19.346851283798</v>
      </c>
      <c r="AE25" s="43">
        <v>0.136470190353352</v>
      </c>
      <c r="AF25" s="43">
        <v>0.0140734883801895</v>
      </c>
      <c r="AG25" s="43">
        <v>0.0305650858313708</v>
      </c>
      <c r="AH25" s="43">
        <v>0.315286624203822</v>
      </c>
      <c r="AI25" s="44">
        <v>0.1769</v>
      </c>
      <c r="AJ25" s="44">
        <v>0.0336</v>
      </c>
      <c r="AK25" s="45">
        <v>0.0006</v>
      </c>
      <c r="AL25" s="45">
        <v>0</v>
      </c>
      <c r="AM25" s="45">
        <v>0.1125</v>
      </c>
      <c r="AN25" s="43">
        <v>0.0247725204731574</v>
      </c>
      <c r="AO25" s="43">
        <v>0.170932090758108</v>
      </c>
      <c r="AP25" s="46"/>
      <c r="AQ25" s="29"/>
      <c r="AR25" s="29"/>
      <c r="AS25" s="29"/>
      <c r="AT25" s="29"/>
      <c r="AU25" s="29"/>
      <c r="AV25" s="29"/>
      <c r="AW25" s="29"/>
      <c r="AX25" s="29"/>
      <c r="AY25" s="29"/>
      <c r="AZ25" s="29"/>
      <c r="BA25" s="29"/>
      <c r="BB25" s="29"/>
      <c r="BC25" s="29"/>
      <c r="BD25" s="29"/>
      <c r="BE25" s="29"/>
      <c r="BF25" s="47">
        <v>0.15</v>
      </c>
      <c r="BG25" s="48">
        <v>13.1169538068604</v>
      </c>
      <c r="BH25" s="48">
        <v>19.782</v>
      </c>
      <c r="BI25" s="48">
        <f t="shared" si="2"/>
        <v>0.663075210133475</v>
      </c>
      <c r="BJ25" s="45">
        <v>0.2652</v>
      </c>
      <c r="BK25" s="45">
        <v>0.211</v>
      </c>
      <c r="BL25" s="45"/>
      <c r="BM25" s="37"/>
      <c r="BN25" s="37"/>
      <c r="BO25" s="49"/>
      <c r="BP25" s="37"/>
      <c r="BQ25" s="37"/>
      <c r="BR25" s="49"/>
      <c r="BS25" s="29"/>
      <c r="BT25" s="29"/>
      <c r="BU25" s="29"/>
      <c r="BV25" s="29"/>
      <c r="BW25" s="29"/>
      <c r="BX25" s="29"/>
      <c r="BY25" s="29"/>
      <c r="BZ25" s="29"/>
      <c r="CA25" s="29"/>
      <c r="CB25" s="29"/>
      <c r="CC25" s="29"/>
      <c r="CD25" s="29"/>
      <c r="CE25" s="29"/>
      <c r="CF25" s="29"/>
      <c r="CG25" s="29"/>
      <c r="CH25" s="29"/>
      <c r="CI25" s="29"/>
      <c r="CJ25" s="29"/>
      <c r="CK25" s="29"/>
    </row>
    <row r="26" ht="33" spans="1:89">
      <c r="A26" s="29" t="s">
        <v>191</v>
      </c>
      <c r="B26" s="30" t="s">
        <v>192</v>
      </c>
      <c r="C26" s="29" t="s">
        <v>193</v>
      </c>
      <c r="D26" s="31"/>
      <c r="E26" s="32">
        <v>46007</v>
      </c>
      <c r="F26" s="33">
        <v>35</v>
      </c>
      <c r="G26" s="34">
        <f t="shared" si="1"/>
        <v>125</v>
      </c>
      <c r="H26" s="35">
        <v>0.833333333333333</v>
      </c>
      <c r="I26" s="36">
        <v>21.1681415929204</v>
      </c>
      <c r="J26" s="35">
        <v>3.8541425621</v>
      </c>
      <c r="K26" s="35">
        <v>47.124</v>
      </c>
      <c r="L26" s="35">
        <v>66.31428</v>
      </c>
      <c r="M26" s="35">
        <v>3.123648</v>
      </c>
      <c r="N26" s="35">
        <v>7.77763362816</v>
      </c>
      <c r="O26" s="35">
        <v>0</v>
      </c>
      <c r="P26" s="35">
        <v>2.18296460176991</v>
      </c>
      <c r="Q26" s="37" t="s">
        <v>93</v>
      </c>
      <c r="R26" s="35" t="s">
        <v>94</v>
      </c>
      <c r="S26" s="35">
        <v>6.8</v>
      </c>
      <c r="T26" s="38" t="s">
        <v>194</v>
      </c>
      <c r="U26" s="39">
        <v>90.108798</v>
      </c>
      <c r="V26" s="38">
        <v>8.19000000000005</v>
      </c>
      <c r="W26" s="40"/>
      <c r="X26" s="35"/>
      <c r="Y26" s="35"/>
      <c r="Z26" s="35"/>
      <c r="AA26" s="35"/>
      <c r="AB26" s="35">
        <v>26.982</v>
      </c>
      <c r="AC26" s="41">
        <v>0.1</v>
      </c>
      <c r="AD26" s="42">
        <v>19.2368381624701</v>
      </c>
      <c r="AE26" s="43">
        <v>0.103834623047327</v>
      </c>
      <c r="AF26" s="43">
        <v>0.0107079455017556</v>
      </c>
      <c r="AG26" s="43">
        <v>0.018905459336126</v>
      </c>
      <c r="AH26" s="43">
        <v>0.231154102735157</v>
      </c>
      <c r="AI26" s="44">
        <v>0.1769</v>
      </c>
      <c r="AJ26" s="44">
        <v>0.0336</v>
      </c>
      <c r="AK26" s="45">
        <v>0.0006</v>
      </c>
      <c r="AL26" s="45">
        <v>0</v>
      </c>
      <c r="AM26" s="45">
        <v>0.1125</v>
      </c>
      <c r="AN26" s="43">
        <v>0.0153222148098733</v>
      </c>
      <c r="AO26" s="43">
        <v>0.312175654569761</v>
      </c>
      <c r="AP26" s="46"/>
      <c r="AQ26" s="29"/>
      <c r="AR26" s="29"/>
      <c r="AS26" s="29"/>
      <c r="AT26" s="29"/>
      <c r="AU26" s="29"/>
      <c r="AV26" s="29"/>
      <c r="AW26" s="29"/>
      <c r="AX26" s="29"/>
      <c r="AY26" s="29"/>
      <c r="AZ26" s="29"/>
      <c r="BA26" s="29"/>
      <c r="BB26" s="29"/>
      <c r="BC26" s="29"/>
      <c r="BD26" s="29"/>
      <c r="BE26" s="29"/>
      <c r="BF26" s="47">
        <v>0.15</v>
      </c>
      <c r="BG26" s="48">
        <v>13.1466511963413</v>
      </c>
      <c r="BH26" s="48">
        <v>26.982</v>
      </c>
      <c r="BI26" s="48">
        <f t="shared" si="2"/>
        <v>0.487237832493562</v>
      </c>
      <c r="BJ26" s="45">
        <v>0.2652</v>
      </c>
      <c r="BK26" s="45">
        <v>0.211</v>
      </c>
      <c r="BL26" s="45"/>
      <c r="BM26" s="37"/>
      <c r="BN26" s="37"/>
      <c r="BO26" s="49"/>
      <c r="BP26" s="37"/>
      <c r="BQ26" s="37"/>
      <c r="BR26" s="49"/>
      <c r="BS26" s="29"/>
      <c r="BT26" s="29"/>
      <c r="BU26" s="29"/>
      <c r="BV26" s="29"/>
      <c r="BW26" s="29"/>
      <c r="BX26" s="29"/>
      <c r="BY26" s="29"/>
      <c r="BZ26" s="29"/>
      <c r="CA26" s="29"/>
      <c r="CB26" s="29"/>
      <c r="CC26" s="29"/>
      <c r="CD26" s="29"/>
      <c r="CE26" s="29"/>
      <c r="CF26" s="29"/>
      <c r="CG26" s="29"/>
      <c r="CH26" s="29"/>
      <c r="CI26" s="29"/>
      <c r="CJ26" s="29"/>
      <c r="CK26" s="29"/>
    </row>
    <row r="27" ht="33" spans="1:89">
      <c r="A27" s="29" t="s">
        <v>195</v>
      </c>
      <c r="B27" s="30" t="s">
        <v>196</v>
      </c>
      <c r="C27" s="29" t="s">
        <v>197</v>
      </c>
      <c r="D27" s="31"/>
      <c r="E27" s="32">
        <v>46007</v>
      </c>
      <c r="F27" s="33">
        <v>35</v>
      </c>
      <c r="G27" s="34">
        <f t="shared" si="1"/>
        <v>125</v>
      </c>
      <c r="H27" s="35">
        <v>1.16666666666667</v>
      </c>
      <c r="I27" s="36">
        <v>17.7522123893805</v>
      </c>
      <c r="J27" s="35">
        <v>3.4111309522</v>
      </c>
      <c r="K27" s="35">
        <v>47.124</v>
      </c>
      <c r="L27" s="35">
        <v>66.31428</v>
      </c>
      <c r="M27" s="35">
        <v>2.764608</v>
      </c>
      <c r="N27" s="35">
        <v>6.88365275136</v>
      </c>
      <c r="O27" s="35">
        <v>0</v>
      </c>
      <c r="P27" s="35">
        <v>1.83069690265487</v>
      </c>
      <c r="Q27" s="37" t="s">
        <v>93</v>
      </c>
      <c r="R27" s="35" t="s">
        <v>94</v>
      </c>
      <c r="S27" s="35">
        <v>6.8</v>
      </c>
      <c r="T27" s="38" t="s">
        <v>198</v>
      </c>
      <c r="U27" s="39">
        <v>79.4006</v>
      </c>
      <c r="V27" s="38">
        <v>9.47000000000003</v>
      </c>
      <c r="W27" s="40"/>
      <c r="X27" s="35"/>
      <c r="Y27" s="35"/>
      <c r="Z27" s="35"/>
      <c r="AA27" s="35"/>
      <c r="AB27" s="35">
        <v>21.582</v>
      </c>
      <c r="AC27" s="41">
        <v>0.1</v>
      </c>
      <c r="AD27" s="42">
        <v>18.1017336708414</v>
      </c>
      <c r="AE27" s="43">
        <v>0.10886653332054</v>
      </c>
      <c r="AF27" s="43">
        <v>0.0112268612486807</v>
      </c>
      <c r="AG27" s="43">
        <v>0.0209189701724476</v>
      </c>
      <c r="AH27" s="43">
        <v>0.288990825688073</v>
      </c>
      <c r="AI27" s="44">
        <v>0.1769</v>
      </c>
      <c r="AJ27" s="44">
        <v>0.0336</v>
      </c>
      <c r="AK27" s="45">
        <v>0.0006</v>
      </c>
      <c r="AL27" s="45">
        <v>0</v>
      </c>
      <c r="AM27" s="45">
        <v>0.1125</v>
      </c>
      <c r="AN27" s="43">
        <v>0.016954128440367</v>
      </c>
      <c r="AO27" s="43">
        <v>0.245142681129892</v>
      </c>
      <c r="AP27" s="46"/>
      <c r="AQ27" s="29"/>
      <c r="AR27" s="29"/>
      <c r="AS27" s="29"/>
      <c r="AT27" s="29"/>
      <c r="AU27" s="29"/>
      <c r="AV27" s="29"/>
      <c r="AW27" s="29"/>
      <c r="AX27" s="29"/>
      <c r="AY27" s="29"/>
      <c r="AZ27" s="29"/>
      <c r="BA27" s="29"/>
      <c r="BB27" s="29"/>
      <c r="BC27" s="29"/>
      <c r="BD27" s="29"/>
      <c r="BE27" s="29"/>
      <c r="BF27" s="47">
        <v>0.15</v>
      </c>
      <c r="BG27" s="48">
        <v>11.119172467888</v>
      </c>
      <c r="BH27" s="48">
        <v>21.582</v>
      </c>
      <c r="BI27" s="48">
        <f t="shared" si="2"/>
        <v>0.515205841344083</v>
      </c>
      <c r="BJ27" s="45">
        <v>0.2652</v>
      </c>
      <c r="BK27" s="45">
        <v>0.211</v>
      </c>
      <c r="BL27" s="45"/>
      <c r="BM27" s="37"/>
      <c r="BN27" s="37"/>
      <c r="BO27" s="49"/>
      <c r="BP27" s="37"/>
      <c r="BQ27" s="37"/>
      <c r="BR27" s="49"/>
      <c r="BS27" s="29"/>
      <c r="BT27" s="29"/>
      <c r="BU27" s="29"/>
      <c r="BV27" s="29"/>
      <c r="BW27" s="29"/>
      <c r="BX27" s="29"/>
      <c r="BY27" s="29"/>
      <c r="BZ27" s="29"/>
      <c r="CA27" s="29"/>
      <c r="CB27" s="29"/>
      <c r="CC27" s="29"/>
      <c r="CD27" s="29"/>
      <c r="CE27" s="29"/>
      <c r="CF27" s="29"/>
      <c r="CG27" s="29"/>
      <c r="CH27" s="29"/>
      <c r="CI27" s="29"/>
      <c r="CJ27" s="29"/>
      <c r="CK27" s="29"/>
    </row>
    <row r="28" ht="33" spans="1:89">
      <c r="A28" s="29" t="s">
        <v>199</v>
      </c>
      <c r="B28" s="30" t="s">
        <v>200</v>
      </c>
      <c r="C28" s="29" t="s">
        <v>201</v>
      </c>
      <c r="D28" s="31"/>
      <c r="E28" s="32">
        <v>46007</v>
      </c>
      <c r="F28" s="33">
        <v>35</v>
      </c>
      <c r="G28" s="34">
        <f t="shared" si="1"/>
        <v>125</v>
      </c>
      <c r="H28" s="35">
        <v>1.33333333333333</v>
      </c>
      <c r="I28" s="36">
        <v>17.4955752212389</v>
      </c>
      <c r="J28" s="35">
        <v>4.8173686827</v>
      </c>
      <c r="K28" s="35">
        <v>51.34</v>
      </c>
      <c r="L28" s="35">
        <v>66.31428</v>
      </c>
      <c r="M28" s="35">
        <v>3.90456</v>
      </c>
      <c r="N28" s="35">
        <v>9.7220420352</v>
      </c>
      <c r="O28" s="35">
        <v>0</v>
      </c>
      <c r="P28" s="35">
        <v>1.80423119469027</v>
      </c>
      <c r="Q28" s="37" t="s">
        <v>93</v>
      </c>
      <c r="R28" s="35" t="s">
        <v>94</v>
      </c>
      <c r="S28" s="35">
        <v>6.8</v>
      </c>
      <c r="T28" s="38" t="s">
        <v>202</v>
      </c>
      <c r="U28" s="39">
        <v>78.684399</v>
      </c>
      <c r="V28" s="38">
        <v>12.6500000000001</v>
      </c>
      <c r="W28" s="40"/>
      <c r="X28" s="35"/>
      <c r="Y28" s="35"/>
      <c r="Z28" s="35"/>
      <c r="AA28" s="35"/>
      <c r="AB28" s="35">
        <v>21.627</v>
      </c>
      <c r="AC28" s="41">
        <v>0.1</v>
      </c>
      <c r="AD28" s="42">
        <v>19.7109329452073</v>
      </c>
      <c r="AE28" s="43">
        <v>0.107069442738482</v>
      </c>
      <c r="AF28" s="43">
        <v>0.011041536282406</v>
      </c>
      <c r="AG28" s="43">
        <v>0.0294813387842403</v>
      </c>
      <c r="AH28" s="43">
        <v>0.314190595089472</v>
      </c>
      <c r="AI28" s="44">
        <v>0.1769</v>
      </c>
      <c r="AJ28" s="44">
        <v>0.0336</v>
      </c>
      <c r="AK28" s="45">
        <v>0.0006</v>
      </c>
      <c r="AL28" s="45">
        <v>0</v>
      </c>
      <c r="AM28" s="45">
        <v>0.1125</v>
      </c>
      <c r="AN28" s="43">
        <v>0.0238951310861423</v>
      </c>
      <c r="AO28" s="43">
        <v>0.206421956019257</v>
      </c>
      <c r="AP28" s="46"/>
      <c r="AQ28" s="29"/>
      <c r="AR28" s="29"/>
      <c r="AS28" s="29"/>
      <c r="AT28" s="29"/>
      <c r="AU28" s="29"/>
      <c r="AV28" s="29"/>
      <c r="AW28" s="29"/>
      <c r="AX28" s="29"/>
      <c r="AY28" s="29"/>
      <c r="AZ28" s="29"/>
      <c r="BA28" s="29"/>
      <c r="BB28" s="29"/>
      <c r="BC28" s="29"/>
      <c r="BD28" s="29"/>
      <c r="BE28" s="29"/>
      <c r="BF28" s="47">
        <v>0.15</v>
      </c>
      <c r="BG28" s="48">
        <v>11.7231699892498</v>
      </c>
      <c r="BH28" s="48">
        <v>21.627</v>
      </c>
      <c r="BI28" s="48">
        <f t="shared" si="2"/>
        <v>0.542061774136487</v>
      </c>
      <c r="BJ28" s="45">
        <v>0.2652</v>
      </c>
      <c r="BK28" s="45">
        <v>0.211</v>
      </c>
      <c r="BL28" s="45"/>
      <c r="BM28" s="37"/>
      <c r="BN28" s="37"/>
      <c r="BO28" s="49"/>
      <c r="BP28" s="37"/>
      <c r="BQ28" s="37"/>
      <c r="BR28" s="49"/>
      <c r="BS28" s="29"/>
      <c r="BT28" s="29"/>
      <c r="BU28" s="29"/>
      <c r="BV28" s="29"/>
      <c r="BW28" s="29"/>
      <c r="BX28" s="29"/>
      <c r="BY28" s="29"/>
      <c r="BZ28" s="29"/>
      <c r="CA28" s="29"/>
      <c r="CB28" s="29"/>
      <c r="CC28" s="29"/>
      <c r="CD28" s="29"/>
      <c r="CE28" s="29"/>
      <c r="CF28" s="29"/>
      <c r="CG28" s="29"/>
      <c r="CH28" s="29"/>
      <c r="CI28" s="29"/>
      <c r="CJ28" s="29"/>
      <c r="CK28" s="29"/>
    </row>
    <row r="29" ht="33" spans="1:89">
      <c r="A29" s="29" t="s">
        <v>203</v>
      </c>
      <c r="B29" s="30" t="s">
        <v>204</v>
      </c>
      <c r="C29" s="29" t="s">
        <v>205</v>
      </c>
      <c r="D29" s="31"/>
      <c r="E29" s="32">
        <v>46007</v>
      </c>
      <c r="F29" s="33">
        <v>35</v>
      </c>
      <c r="G29" s="34">
        <f t="shared" si="1"/>
        <v>125</v>
      </c>
      <c r="H29" s="35">
        <v>1.66666666666667</v>
      </c>
      <c r="I29" s="36">
        <v>15.646017699115</v>
      </c>
      <c r="J29" s="35">
        <v>2.4418913443</v>
      </c>
      <c r="K29" s="35">
        <v>41.344</v>
      </c>
      <c r="L29" s="35">
        <v>66.31428</v>
      </c>
      <c r="M29" s="35">
        <v>1.979208</v>
      </c>
      <c r="N29" s="35">
        <v>4.92806958336</v>
      </c>
      <c r="O29" s="35">
        <v>0</v>
      </c>
      <c r="P29" s="35">
        <v>1.61349557522124</v>
      </c>
      <c r="Q29" s="37" t="s">
        <v>93</v>
      </c>
      <c r="R29" s="35" t="s">
        <v>94</v>
      </c>
      <c r="S29" s="35">
        <v>6.8</v>
      </c>
      <c r="T29" s="38" t="s">
        <v>206</v>
      </c>
      <c r="U29" s="39">
        <v>76.825198</v>
      </c>
      <c r="V29" s="38">
        <v>12.3699999999999</v>
      </c>
      <c r="W29" s="40"/>
      <c r="X29" s="35"/>
      <c r="Y29" s="35"/>
      <c r="Z29" s="35"/>
      <c r="AA29" s="35"/>
      <c r="AB29" s="35">
        <v>21.582</v>
      </c>
      <c r="AC29" s="41">
        <v>0.1</v>
      </c>
      <c r="AD29" s="42">
        <v>15.6533109020327</v>
      </c>
      <c r="AE29" s="43">
        <v>0.0959501649604759</v>
      </c>
      <c r="AF29" s="43">
        <v>0.00989486076154908</v>
      </c>
      <c r="AG29" s="43">
        <v>0.0149750487189079</v>
      </c>
      <c r="AH29" s="43">
        <v>0.253544620517098</v>
      </c>
      <c r="AI29" s="44">
        <v>0.1769</v>
      </c>
      <c r="AJ29" s="44">
        <v>0.0336</v>
      </c>
      <c r="AK29" s="45">
        <v>0.0006</v>
      </c>
      <c r="AL29" s="45">
        <v>0</v>
      </c>
      <c r="AM29" s="45">
        <v>0.1125</v>
      </c>
      <c r="AN29" s="43">
        <v>0.0121376146788991</v>
      </c>
      <c r="AO29" s="43">
        <v>0.30559769036307</v>
      </c>
      <c r="AP29" s="46"/>
      <c r="AQ29" s="29"/>
      <c r="AR29" s="29"/>
      <c r="AS29" s="29"/>
      <c r="AT29" s="29"/>
      <c r="AU29" s="29"/>
      <c r="AV29" s="29"/>
      <c r="AW29" s="29"/>
      <c r="AX29" s="29"/>
      <c r="AY29" s="29"/>
      <c r="AZ29" s="29"/>
      <c r="BA29" s="29"/>
      <c r="BB29" s="29"/>
      <c r="BC29" s="29"/>
      <c r="BD29" s="29"/>
      <c r="BE29" s="29"/>
      <c r="BF29" s="47">
        <v>0.15</v>
      </c>
      <c r="BG29" s="48">
        <v>9.50334628092756</v>
      </c>
      <c r="BH29" s="48">
        <v>21.582</v>
      </c>
      <c r="BI29" s="48">
        <f t="shared" si="2"/>
        <v>0.440336682463514</v>
      </c>
      <c r="BJ29" s="45">
        <v>0.2652</v>
      </c>
      <c r="BK29" s="45">
        <v>0.211</v>
      </c>
      <c r="BL29" s="45"/>
      <c r="BM29" s="37"/>
      <c r="BN29" s="37"/>
      <c r="BO29" s="49"/>
      <c r="BP29" s="37"/>
      <c r="BQ29" s="37"/>
      <c r="BR29" s="49"/>
      <c r="BS29" s="29"/>
      <c r="BT29" s="29"/>
      <c r="BU29" s="29"/>
      <c r="BV29" s="29"/>
      <c r="BW29" s="29"/>
      <c r="BX29" s="29"/>
      <c r="BY29" s="29"/>
      <c r="BZ29" s="29"/>
      <c r="CA29" s="29"/>
      <c r="CB29" s="29"/>
      <c r="CC29" s="29"/>
      <c r="CD29" s="29"/>
      <c r="CE29" s="29"/>
      <c r="CF29" s="29"/>
      <c r="CG29" s="29"/>
      <c r="CH29" s="29"/>
      <c r="CI29" s="29"/>
      <c r="CJ29" s="29"/>
      <c r="CK29" s="29"/>
    </row>
    <row r="30" ht="33" spans="1:89">
      <c r="A30" s="29" t="s">
        <v>207</v>
      </c>
      <c r="B30" s="30" t="s">
        <v>208</v>
      </c>
      <c r="C30" s="29" t="s">
        <v>209</v>
      </c>
      <c r="D30" s="31"/>
      <c r="E30" s="32">
        <v>46007</v>
      </c>
      <c r="F30" s="33">
        <v>35</v>
      </c>
      <c r="G30" s="34">
        <f t="shared" si="1"/>
        <v>125</v>
      </c>
      <c r="H30" s="35">
        <v>1</v>
      </c>
      <c r="I30" s="36">
        <v>32.3451327433628</v>
      </c>
      <c r="J30" s="35">
        <v>10.9650027122</v>
      </c>
      <c r="K30" s="35">
        <v>57.868</v>
      </c>
      <c r="L30" s="35">
        <v>69.90468</v>
      </c>
      <c r="M30" s="35">
        <v>8.88624</v>
      </c>
      <c r="N30" s="35">
        <v>22.1260267008</v>
      </c>
      <c r="O30" s="35">
        <v>0</v>
      </c>
      <c r="P30" s="35">
        <v>3.33559181415929</v>
      </c>
      <c r="Q30" s="37" t="s">
        <v>93</v>
      </c>
      <c r="R30" s="35" t="s">
        <v>94</v>
      </c>
      <c r="S30" s="35">
        <v>6.8</v>
      </c>
      <c r="T30" s="38" t="s">
        <v>210</v>
      </c>
      <c r="U30" s="39">
        <v>76.457703</v>
      </c>
      <c r="V30" s="38">
        <v>4</v>
      </c>
      <c r="W30" s="40"/>
      <c r="X30" s="35"/>
      <c r="Y30" s="35"/>
      <c r="Z30" s="35"/>
      <c r="AA30" s="35"/>
      <c r="AB30" s="35">
        <v>35.982</v>
      </c>
      <c r="AC30" s="41">
        <v>0.1</v>
      </c>
      <c r="AD30" s="42">
        <v>28.1649481083586</v>
      </c>
      <c r="AE30" s="43">
        <v>0.118975416911996</v>
      </c>
      <c r="AF30" s="43">
        <v>0.0122693398690496</v>
      </c>
      <c r="AG30" s="43">
        <v>0.0403326763094783</v>
      </c>
      <c r="AH30" s="43">
        <v>0.212856428214107</v>
      </c>
      <c r="AI30" s="44">
        <v>0.1769</v>
      </c>
      <c r="AJ30" s="44">
        <v>0.0336</v>
      </c>
      <c r="AK30" s="45">
        <v>0.0006</v>
      </c>
      <c r="AL30" s="45">
        <v>0</v>
      </c>
      <c r="AM30" s="45">
        <v>0.1125</v>
      </c>
      <c r="AN30" s="43">
        <v>0.0326863431715858</v>
      </c>
      <c r="AO30" s="43">
        <v>0.274979795523783</v>
      </c>
      <c r="AP30" s="46"/>
      <c r="AQ30" s="29"/>
      <c r="AR30" s="29"/>
      <c r="AS30" s="29"/>
      <c r="AT30" s="29"/>
      <c r="AU30" s="29"/>
      <c r="AV30" s="29"/>
      <c r="AW30" s="29"/>
      <c r="AX30" s="29"/>
      <c r="AY30" s="29"/>
      <c r="AZ30" s="29"/>
      <c r="BA30" s="29"/>
      <c r="BB30" s="29"/>
      <c r="BC30" s="29"/>
      <c r="BD30" s="29"/>
      <c r="BE30" s="29"/>
      <c r="BF30" s="47">
        <v>0.15</v>
      </c>
      <c r="BG30" s="48">
        <v>22.7550466845107</v>
      </c>
      <c r="BH30" s="48">
        <v>35.982</v>
      </c>
      <c r="BI30" s="48">
        <f t="shared" si="2"/>
        <v>0.632400830540568</v>
      </c>
      <c r="BJ30" s="45">
        <v>0.2652</v>
      </c>
      <c r="BK30" s="45">
        <v>0.211</v>
      </c>
      <c r="BL30" s="45"/>
      <c r="BM30" s="37"/>
      <c r="BN30" s="37"/>
      <c r="BO30" s="49"/>
      <c r="BP30" s="37"/>
      <c r="BQ30" s="37"/>
      <c r="BR30" s="49"/>
      <c r="BS30" s="29"/>
      <c r="BT30" s="29"/>
      <c r="BU30" s="29"/>
      <c r="BV30" s="29"/>
      <c r="BW30" s="29"/>
      <c r="BX30" s="29"/>
      <c r="BY30" s="29"/>
      <c r="BZ30" s="29"/>
      <c r="CA30" s="29"/>
      <c r="CB30" s="29"/>
      <c r="CC30" s="29"/>
      <c r="CD30" s="29"/>
      <c r="CE30" s="29"/>
      <c r="CF30" s="29"/>
      <c r="CG30" s="29"/>
      <c r="CH30" s="29"/>
      <c r="CI30" s="29"/>
      <c r="CJ30" s="29"/>
      <c r="CK30" s="29"/>
    </row>
    <row r="31" ht="33" spans="1:89">
      <c r="A31" s="29" t="s">
        <v>211</v>
      </c>
      <c r="B31" s="30" t="s">
        <v>212</v>
      </c>
      <c r="C31" s="29" t="s">
        <v>213</v>
      </c>
      <c r="D31" s="31"/>
      <c r="E31" s="32">
        <v>46007</v>
      </c>
      <c r="F31" s="33">
        <v>40</v>
      </c>
      <c r="G31" s="34">
        <f t="shared" si="1"/>
        <v>130</v>
      </c>
      <c r="H31" s="35">
        <v>2.5</v>
      </c>
      <c r="I31" s="36">
        <v>16.0530973451327</v>
      </c>
      <c r="J31" s="35">
        <v>4.0201417324</v>
      </c>
      <c r="K31" s="35">
        <v>47.124</v>
      </c>
      <c r="L31" s="35">
        <v>66.31428</v>
      </c>
      <c r="M31" s="35">
        <v>3.258288</v>
      </c>
      <c r="N31" s="35">
        <v>8.11287645696</v>
      </c>
      <c r="O31" s="35">
        <v>0</v>
      </c>
      <c r="P31" s="35">
        <v>1.65547566371681</v>
      </c>
      <c r="Q31" s="37" t="s">
        <v>93</v>
      </c>
      <c r="R31" s="35" t="s">
        <v>94</v>
      </c>
      <c r="S31" s="35">
        <v>6.8</v>
      </c>
      <c r="T31" s="38" t="s">
        <v>214</v>
      </c>
      <c r="U31" s="39">
        <v>68.5138</v>
      </c>
      <c r="V31" s="38">
        <v>13.54</v>
      </c>
      <c r="W31" s="40"/>
      <c r="X31" s="35"/>
      <c r="Y31" s="35"/>
      <c r="Z31" s="35"/>
      <c r="AA31" s="35"/>
      <c r="AB31" s="35">
        <v>21.582</v>
      </c>
      <c r="AC31" s="41">
        <v>0.1</v>
      </c>
      <c r="AD31" s="42">
        <v>17.9100814501847</v>
      </c>
      <c r="AE31" s="43">
        <v>0.0984466059040177</v>
      </c>
      <c r="AF31" s="43">
        <v>0.0101523062338518</v>
      </c>
      <c r="AG31" s="43">
        <v>0.0246537662046804</v>
      </c>
      <c r="AH31" s="43">
        <v>0.288990825688073</v>
      </c>
      <c r="AI31" s="44">
        <v>0.1769</v>
      </c>
      <c r="AJ31" s="44">
        <v>0.0336</v>
      </c>
      <c r="AK31" s="45">
        <v>0.0006</v>
      </c>
      <c r="AL31" s="45">
        <v>0</v>
      </c>
      <c r="AM31" s="45">
        <v>0.1125</v>
      </c>
      <c r="AN31" s="43">
        <v>0.0199816513761468</v>
      </c>
      <c r="AO31" s="43">
        <v>0.24987484459323</v>
      </c>
      <c r="AP31" s="46"/>
      <c r="AQ31" s="29"/>
      <c r="AR31" s="29"/>
      <c r="AS31" s="29"/>
      <c r="AT31" s="29"/>
      <c r="AU31" s="29"/>
      <c r="AV31" s="29"/>
      <c r="AW31" s="29"/>
      <c r="AX31" s="29"/>
      <c r="AY31" s="29"/>
      <c r="AZ31" s="29"/>
      <c r="BA31" s="29"/>
      <c r="BB31" s="29"/>
      <c r="BC31" s="29"/>
      <c r="BD31" s="29"/>
      <c r="BE31" s="29"/>
      <c r="BF31" s="47">
        <v>0.15</v>
      </c>
      <c r="BG31" s="48">
        <v>10.5464341663686</v>
      </c>
      <c r="BH31" s="48">
        <v>21.582</v>
      </c>
      <c r="BI31" s="48">
        <f t="shared" si="2"/>
        <v>0.488668064422602</v>
      </c>
      <c r="BJ31" s="45">
        <v>0.2652</v>
      </c>
      <c r="BK31" s="45">
        <v>0.211</v>
      </c>
      <c r="BL31" s="45"/>
      <c r="BM31" s="37"/>
      <c r="BN31" s="37"/>
      <c r="BO31" s="49"/>
      <c r="BP31" s="37"/>
      <c r="BQ31" s="37"/>
      <c r="BR31" s="49"/>
      <c r="BS31" s="29"/>
      <c r="BT31" s="29"/>
      <c r="BU31" s="29"/>
      <c r="BV31" s="29"/>
      <c r="BW31" s="29"/>
      <c r="BX31" s="29"/>
      <c r="BY31" s="29"/>
      <c r="BZ31" s="29"/>
      <c r="CA31" s="29"/>
      <c r="CB31" s="29"/>
      <c r="CC31" s="29"/>
      <c r="CD31" s="29"/>
      <c r="CE31" s="29"/>
      <c r="CF31" s="29"/>
      <c r="CG31" s="29"/>
      <c r="CH31" s="29"/>
      <c r="CI31" s="29"/>
      <c r="CJ31" s="29"/>
      <c r="CK31" s="29"/>
    </row>
    <row r="32" ht="33" spans="1:89">
      <c r="A32" s="29" t="s">
        <v>215</v>
      </c>
      <c r="B32" s="30" t="s">
        <v>216</v>
      </c>
      <c r="C32" s="29" t="s">
        <v>217</v>
      </c>
      <c r="D32" s="31"/>
      <c r="E32" s="32">
        <v>46007</v>
      </c>
      <c r="F32" s="33">
        <v>35</v>
      </c>
      <c r="G32" s="34">
        <f t="shared" si="1"/>
        <v>125</v>
      </c>
      <c r="H32" s="35">
        <v>2.5</v>
      </c>
      <c r="I32" s="36">
        <v>19.646017699115</v>
      </c>
      <c r="J32" s="35">
        <v>4.4989406128</v>
      </c>
      <c r="K32" s="35">
        <v>47.124</v>
      </c>
      <c r="L32" s="35">
        <v>66.31428</v>
      </c>
      <c r="M32" s="35">
        <v>3.6465</v>
      </c>
      <c r="N32" s="35">
        <v>9.07949328</v>
      </c>
      <c r="O32" s="35">
        <v>0</v>
      </c>
      <c r="P32" s="35">
        <v>2.02599557522124</v>
      </c>
      <c r="Q32" s="37" t="s">
        <v>93</v>
      </c>
      <c r="R32" s="35" t="s">
        <v>94</v>
      </c>
      <c r="S32" s="35">
        <v>6.8</v>
      </c>
      <c r="T32" s="38" t="s">
        <v>218</v>
      </c>
      <c r="U32" s="39">
        <v>67.917</v>
      </c>
      <c r="V32" s="38">
        <v>4.99000000000001</v>
      </c>
      <c r="W32" s="40"/>
      <c r="X32" s="35"/>
      <c r="Y32" s="35"/>
      <c r="Z32" s="35"/>
      <c r="AA32" s="35"/>
      <c r="AB32" s="35">
        <v>19.782</v>
      </c>
      <c r="AC32" s="41">
        <v>0.1</v>
      </c>
      <c r="AD32" s="42">
        <v>19.1098120068987</v>
      </c>
      <c r="AE32" s="43">
        <v>0.131443141486345</v>
      </c>
      <c r="AF32" s="43">
        <v>0.0135550739657793</v>
      </c>
      <c r="AG32" s="43">
        <v>0.0301004965262538</v>
      </c>
      <c r="AH32" s="43">
        <v>0.315286624203822</v>
      </c>
      <c r="AI32" s="44">
        <v>0.1769</v>
      </c>
      <c r="AJ32" s="44">
        <v>0.0336</v>
      </c>
      <c r="AK32" s="45">
        <v>0.0006</v>
      </c>
      <c r="AL32" s="45">
        <v>0</v>
      </c>
      <c r="AM32" s="45">
        <v>0.1125</v>
      </c>
      <c r="AN32" s="43">
        <v>0.0243971792538672</v>
      </c>
      <c r="AO32" s="43">
        <v>0.177317484563933</v>
      </c>
      <c r="AP32" s="46"/>
      <c r="AQ32" s="29"/>
      <c r="AR32" s="29"/>
      <c r="AS32" s="29"/>
      <c r="AT32" s="29"/>
      <c r="AU32" s="29"/>
      <c r="AV32" s="29"/>
      <c r="AW32" s="29"/>
      <c r="AX32" s="29"/>
      <c r="AY32" s="29"/>
      <c r="AZ32" s="29"/>
      <c r="BA32" s="29"/>
      <c r="BB32" s="29"/>
      <c r="BC32" s="29"/>
      <c r="BD32" s="29"/>
      <c r="BE32" s="29"/>
      <c r="BF32" s="47">
        <v>0.15</v>
      </c>
      <c r="BG32" s="48">
        <v>12.6857061933438</v>
      </c>
      <c r="BH32" s="48">
        <v>19.782</v>
      </c>
      <c r="BI32" s="48">
        <f t="shared" si="2"/>
        <v>0.641275209450197</v>
      </c>
      <c r="BJ32" s="45">
        <v>0.2652</v>
      </c>
      <c r="BK32" s="45">
        <v>0.211</v>
      </c>
      <c r="BL32" s="45"/>
      <c r="BM32" s="37"/>
      <c r="BN32" s="37"/>
      <c r="BO32" s="49"/>
      <c r="BP32" s="37"/>
      <c r="BQ32" s="37"/>
      <c r="BR32" s="49"/>
      <c r="BS32" s="29"/>
      <c r="BT32" s="29"/>
      <c r="BU32" s="29"/>
      <c r="BV32" s="29"/>
      <c r="BW32" s="29"/>
      <c r="BX32" s="29"/>
      <c r="BY32" s="29"/>
      <c r="BZ32" s="29"/>
      <c r="CA32" s="29"/>
      <c r="CB32" s="29"/>
      <c r="CC32" s="29"/>
      <c r="CD32" s="29"/>
      <c r="CE32" s="29"/>
      <c r="CF32" s="29"/>
      <c r="CG32" s="29"/>
      <c r="CH32" s="29"/>
      <c r="CI32" s="29"/>
      <c r="CJ32" s="29"/>
      <c r="CK32" s="29"/>
    </row>
    <row r="33" ht="33" spans="1:89">
      <c r="A33" s="29" t="s">
        <v>219</v>
      </c>
      <c r="B33" s="30" t="s">
        <v>220</v>
      </c>
      <c r="C33" s="29" t="s">
        <v>221</v>
      </c>
      <c r="D33" s="31"/>
      <c r="E33" s="32">
        <v>46007</v>
      </c>
      <c r="F33" s="33">
        <v>40</v>
      </c>
      <c r="G33" s="34">
        <f t="shared" si="1"/>
        <v>130</v>
      </c>
      <c r="H33" s="35">
        <v>1</v>
      </c>
      <c r="I33" s="36">
        <v>19.4867256637168</v>
      </c>
      <c r="J33" s="35">
        <v>3.3224581735</v>
      </c>
      <c r="K33" s="35">
        <v>47.124</v>
      </c>
      <c r="L33" s="35">
        <v>66.31428</v>
      </c>
      <c r="M33" s="35">
        <v>2.6928</v>
      </c>
      <c r="N33" s="35">
        <v>6.704856576</v>
      </c>
      <c r="O33" s="35">
        <v>0</v>
      </c>
      <c r="P33" s="35">
        <v>2.0095685840708</v>
      </c>
      <c r="Q33" s="37" t="s">
        <v>93</v>
      </c>
      <c r="R33" s="35" t="s">
        <v>94</v>
      </c>
      <c r="S33" s="35">
        <v>6.8</v>
      </c>
      <c r="T33" s="38" t="s">
        <v>222</v>
      </c>
      <c r="U33" s="39">
        <v>66.507901</v>
      </c>
      <c r="V33" s="38">
        <v>9.66000000000008</v>
      </c>
      <c r="W33" s="40"/>
      <c r="X33" s="35"/>
      <c r="Y33" s="35"/>
      <c r="Z33" s="35"/>
      <c r="AA33" s="35"/>
      <c r="AB33" s="35">
        <v>21.582</v>
      </c>
      <c r="AC33" s="41">
        <v>0.1</v>
      </c>
      <c r="AD33" s="42">
        <v>18.5370993625102</v>
      </c>
      <c r="AE33" s="43">
        <v>0.11950354255824</v>
      </c>
      <c r="AF33" s="43">
        <v>0.0123238028263185</v>
      </c>
      <c r="AG33" s="43">
        <v>0.0203751789082814</v>
      </c>
      <c r="AH33" s="43">
        <v>0.288990825688073</v>
      </c>
      <c r="AI33" s="44">
        <v>0.1769</v>
      </c>
      <c r="AJ33" s="44">
        <v>0.0336</v>
      </c>
      <c r="AK33" s="45">
        <v>0.0006</v>
      </c>
      <c r="AL33" s="45">
        <v>0</v>
      </c>
      <c r="AM33" s="45">
        <v>0.1125</v>
      </c>
      <c r="AN33" s="43">
        <v>0.0165137614678899</v>
      </c>
      <c r="AO33" s="43">
        <v>0.234392888551197</v>
      </c>
      <c r="AP33" s="46"/>
      <c r="AQ33" s="29"/>
      <c r="AR33" s="29"/>
      <c r="AS33" s="29"/>
      <c r="AT33" s="29"/>
      <c r="AU33" s="29"/>
      <c r="AV33" s="29"/>
      <c r="AW33" s="29"/>
      <c r="AX33" s="29"/>
      <c r="AY33" s="29"/>
      <c r="AZ33" s="29"/>
      <c r="BA33" s="29"/>
      <c r="BB33" s="29"/>
      <c r="BC33" s="29"/>
      <c r="BD33" s="29"/>
      <c r="BE33" s="29"/>
      <c r="BF33" s="47">
        <v>0.15</v>
      </c>
      <c r="BG33" s="48">
        <v>11.9838933217834</v>
      </c>
      <c r="BH33" s="48">
        <v>21.582</v>
      </c>
      <c r="BI33" s="48">
        <f t="shared" si="2"/>
        <v>0.555272603177806</v>
      </c>
      <c r="BJ33" s="45">
        <v>0.2652</v>
      </c>
      <c r="BK33" s="45">
        <v>0.211</v>
      </c>
      <c r="BL33" s="45"/>
      <c r="BM33" s="37"/>
      <c r="BN33" s="37"/>
      <c r="BO33" s="49"/>
      <c r="BP33" s="37"/>
      <c r="BQ33" s="37"/>
      <c r="BR33" s="49"/>
      <c r="BS33" s="29"/>
      <c r="BT33" s="29"/>
      <c r="BU33" s="29"/>
      <c r="BV33" s="29"/>
      <c r="BW33" s="29"/>
      <c r="BX33" s="29"/>
      <c r="BY33" s="29"/>
      <c r="BZ33" s="29"/>
      <c r="CA33" s="29"/>
      <c r="CB33" s="29"/>
      <c r="CC33" s="29"/>
      <c r="CD33" s="29"/>
      <c r="CE33" s="29"/>
      <c r="CF33" s="29"/>
      <c r="CG33" s="29"/>
      <c r="CH33" s="29"/>
      <c r="CI33" s="29"/>
      <c r="CJ33" s="29"/>
      <c r="CK33" s="29"/>
    </row>
    <row r="34" ht="33" spans="1:89">
      <c r="A34" s="29" t="s">
        <v>223</v>
      </c>
      <c r="B34" s="30" t="s">
        <v>224</v>
      </c>
      <c r="C34" s="29" t="s">
        <v>225</v>
      </c>
      <c r="D34" s="31"/>
      <c r="E34" s="32">
        <v>46007</v>
      </c>
      <c r="F34" s="33">
        <v>35</v>
      </c>
      <c r="G34" s="34">
        <f t="shared" si="1"/>
        <v>125</v>
      </c>
      <c r="H34" s="35">
        <v>1.25</v>
      </c>
      <c r="I34" s="36">
        <v>18.1150442477876</v>
      </c>
      <c r="J34" s="35">
        <v>6.1193425093</v>
      </c>
      <c r="K34" s="35">
        <v>51.34</v>
      </c>
      <c r="L34" s="35">
        <v>68.23868</v>
      </c>
      <c r="M34" s="35">
        <v>4.95924</v>
      </c>
      <c r="N34" s="35">
        <v>12.3481108608</v>
      </c>
      <c r="O34" s="35">
        <v>0</v>
      </c>
      <c r="P34" s="35">
        <v>1.8681139380531</v>
      </c>
      <c r="Q34" s="37" t="s">
        <v>93</v>
      </c>
      <c r="R34" s="35" t="s">
        <v>94</v>
      </c>
      <c r="S34" s="35">
        <v>6.8</v>
      </c>
      <c r="T34" s="38" t="s">
        <v>226</v>
      </c>
      <c r="U34" s="39">
        <v>66.1197</v>
      </c>
      <c r="V34" s="38">
        <v>10.1600000000001</v>
      </c>
      <c r="W34" s="40"/>
      <c r="X34" s="35"/>
      <c r="Y34" s="35"/>
      <c r="Z34" s="35"/>
      <c r="AA34" s="35"/>
      <c r="AB34" s="35">
        <v>23.382</v>
      </c>
      <c r="AC34" s="41">
        <v>0.1</v>
      </c>
      <c r="AD34" s="42">
        <v>20.4659737264027</v>
      </c>
      <c r="AE34" s="43">
        <v>0.102539534074784</v>
      </c>
      <c r="AF34" s="43">
        <v>0.0105743894514621</v>
      </c>
      <c r="AG34" s="43">
        <v>0.0346383106309152</v>
      </c>
      <c r="AH34" s="43">
        <v>0.290608160123172</v>
      </c>
      <c r="AI34" s="44">
        <v>0.1769</v>
      </c>
      <c r="AJ34" s="44">
        <v>0.0336</v>
      </c>
      <c r="AK34" s="45">
        <v>0.0006</v>
      </c>
      <c r="AL34" s="45">
        <v>0</v>
      </c>
      <c r="AM34" s="45">
        <v>0.1125</v>
      </c>
      <c r="AN34" s="43">
        <v>0.0280715935334873</v>
      </c>
      <c r="AO34" s="43">
        <v>0.22566801218618</v>
      </c>
      <c r="AP34" s="46"/>
      <c r="AQ34" s="29"/>
      <c r="AR34" s="29"/>
      <c r="AS34" s="29"/>
      <c r="AT34" s="29"/>
      <c r="AU34" s="29"/>
      <c r="AV34" s="29"/>
      <c r="AW34" s="29"/>
      <c r="AX34" s="29"/>
      <c r="AY34" s="29"/>
      <c r="AZ34" s="29"/>
      <c r="BA34" s="29"/>
      <c r="BB34" s="29"/>
      <c r="BC34" s="29"/>
      <c r="BD34" s="29"/>
      <c r="BE34" s="29"/>
      <c r="BF34" s="47">
        <v>0.15</v>
      </c>
      <c r="BG34" s="48">
        <v>12.7326916950842</v>
      </c>
      <c r="BH34" s="48">
        <v>23.382</v>
      </c>
      <c r="BI34" s="48">
        <f t="shared" si="2"/>
        <v>0.544551009113173</v>
      </c>
      <c r="BJ34" s="45">
        <v>0.2652</v>
      </c>
      <c r="BK34" s="45">
        <v>0.211</v>
      </c>
      <c r="BL34" s="45"/>
      <c r="BM34" s="37"/>
      <c r="BN34" s="37"/>
      <c r="BO34" s="49"/>
      <c r="BP34" s="37"/>
      <c r="BQ34" s="37"/>
      <c r="BR34" s="49"/>
      <c r="BS34" s="29"/>
      <c r="BT34" s="29"/>
      <c r="BU34" s="29"/>
      <c r="BV34" s="29"/>
      <c r="BW34" s="29"/>
      <c r="BX34" s="29"/>
      <c r="BY34" s="29"/>
      <c r="BZ34" s="29"/>
      <c r="CA34" s="29"/>
      <c r="CB34" s="29"/>
      <c r="CC34" s="29"/>
      <c r="CD34" s="29"/>
      <c r="CE34" s="29"/>
      <c r="CF34" s="29"/>
      <c r="CG34" s="29"/>
      <c r="CH34" s="29"/>
      <c r="CI34" s="29"/>
      <c r="CJ34" s="29"/>
      <c r="CK34" s="29"/>
    </row>
    <row r="35" ht="33" spans="1:89">
      <c r="A35" s="29" t="s">
        <v>227</v>
      </c>
      <c r="B35" s="30" t="s">
        <v>228</v>
      </c>
      <c r="C35" s="29" t="s">
        <v>229</v>
      </c>
      <c r="D35" s="31"/>
      <c r="E35" s="32">
        <v>46007</v>
      </c>
      <c r="F35" s="33">
        <v>35</v>
      </c>
      <c r="G35" s="34">
        <f t="shared" si="1"/>
        <v>125</v>
      </c>
      <c r="H35" s="35">
        <v>2.5</v>
      </c>
      <c r="I35" s="36">
        <v>16.9646017699115</v>
      </c>
      <c r="J35" s="35">
        <v>2.6578487699</v>
      </c>
      <c r="K35" s="35">
        <v>41.344</v>
      </c>
      <c r="L35" s="35">
        <v>66.31428</v>
      </c>
      <c r="M35" s="35">
        <v>2.15424</v>
      </c>
      <c r="N35" s="35">
        <v>5.3638852608</v>
      </c>
      <c r="O35" s="35">
        <v>0</v>
      </c>
      <c r="P35" s="35">
        <v>1.74947455752212</v>
      </c>
      <c r="Q35" s="37" t="s">
        <v>93</v>
      </c>
      <c r="R35" s="35" t="s">
        <v>94</v>
      </c>
      <c r="S35" s="35">
        <v>6.8</v>
      </c>
      <c r="T35" s="38" t="s">
        <v>230</v>
      </c>
      <c r="U35" s="39">
        <v>65.6676</v>
      </c>
      <c r="V35" s="38">
        <v>4.56999999999994</v>
      </c>
      <c r="W35" s="40"/>
      <c r="X35" s="35"/>
      <c r="Y35" s="35"/>
      <c r="Z35" s="35"/>
      <c r="AA35" s="35"/>
      <c r="AB35" s="35">
        <v>19.782</v>
      </c>
      <c r="AC35" s="41">
        <v>0.1</v>
      </c>
      <c r="AD35" s="42">
        <v>16.1116874875403</v>
      </c>
      <c r="AE35" s="43">
        <v>0.113502928932128</v>
      </c>
      <c r="AF35" s="43">
        <v>0.0117049895461257</v>
      </c>
      <c r="AG35" s="43">
        <v>0.0177825347234117</v>
      </c>
      <c r="AH35" s="43">
        <v>0.276615104640582</v>
      </c>
      <c r="AI35" s="44">
        <v>0.1769</v>
      </c>
      <c r="AJ35" s="44">
        <v>0.0336</v>
      </c>
      <c r="AK35" s="45">
        <v>0.0006</v>
      </c>
      <c r="AL35" s="45">
        <v>0</v>
      </c>
      <c r="AM35" s="45">
        <v>0.1125</v>
      </c>
      <c r="AN35" s="43">
        <v>0.0144131028207461</v>
      </c>
      <c r="AO35" s="43">
        <v>0.258081339337007</v>
      </c>
      <c r="AP35" s="46"/>
      <c r="AQ35" s="29"/>
      <c r="AR35" s="29"/>
      <c r="AS35" s="29"/>
      <c r="AT35" s="29"/>
      <c r="AU35" s="29"/>
      <c r="AV35" s="29"/>
      <c r="AW35" s="29"/>
      <c r="AX35" s="29"/>
      <c r="AY35" s="29"/>
      <c r="AZ35" s="29"/>
      <c r="BA35" s="29"/>
      <c r="BB35" s="29"/>
      <c r="BC35" s="29"/>
      <c r="BD35" s="29"/>
      <c r="BE35" s="29"/>
      <c r="BF35" s="47">
        <v>0.15</v>
      </c>
      <c r="BG35" s="48">
        <v>10.3095908937076</v>
      </c>
      <c r="BH35" s="48">
        <v>19.782</v>
      </c>
      <c r="BI35" s="48">
        <f t="shared" si="2"/>
        <v>0.521160190764715</v>
      </c>
      <c r="BJ35" s="45">
        <v>0.2652</v>
      </c>
      <c r="BK35" s="45">
        <v>0.211</v>
      </c>
      <c r="BL35" s="45"/>
      <c r="BM35" s="37"/>
      <c r="BN35" s="37"/>
      <c r="BO35" s="49"/>
      <c r="BP35" s="37"/>
      <c r="BQ35" s="37"/>
      <c r="BR35" s="49"/>
      <c r="BS35" s="29"/>
      <c r="BT35" s="29"/>
      <c r="BU35" s="29"/>
      <c r="BV35" s="29"/>
      <c r="BW35" s="29"/>
      <c r="BX35" s="29"/>
      <c r="BY35" s="29"/>
      <c r="BZ35" s="29"/>
      <c r="CA35" s="29"/>
      <c r="CB35" s="29"/>
      <c r="CC35" s="29"/>
      <c r="CD35" s="29"/>
      <c r="CE35" s="29"/>
      <c r="CF35" s="29"/>
      <c r="CG35" s="29"/>
      <c r="CH35" s="29"/>
      <c r="CI35" s="29"/>
      <c r="CJ35" s="29"/>
      <c r="CK35" s="29"/>
    </row>
    <row r="36" ht="33" spans="1:89">
      <c r="A36" s="29" t="s">
        <v>231</v>
      </c>
      <c r="B36" s="30" t="s">
        <v>232</v>
      </c>
      <c r="C36" s="29" t="s">
        <v>233</v>
      </c>
      <c r="D36" s="31"/>
      <c r="E36" s="32">
        <v>46007</v>
      </c>
      <c r="F36" s="33">
        <v>40</v>
      </c>
      <c r="G36" s="34">
        <f t="shared" si="1"/>
        <v>130</v>
      </c>
      <c r="H36" s="35">
        <v>2.5</v>
      </c>
      <c r="I36" s="36">
        <v>18.283185840708</v>
      </c>
      <c r="J36" s="35">
        <v>5.9391955285</v>
      </c>
      <c r="K36" s="35">
        <v>51.34</v>
      </c>
      <c r="L36" s="35">
        <v>68.23868</v>
      </c>
      <c r="M36" s="35">
        <v>4.81338</v>
      </c>
      <c r="N36" s="35">
        <v>11.9849311296</v>
      </c>
      <c r="O36" s="35">
        <v>0</v>
      </c>
      <c r="P36" s="35">
        <v>1.88545353982301</v>
      </c>
      <c r="Q36" s="37" t="s">
        <v>93</v>
      </c>
      <c r="R36" s="35" t="s">
        <v>94</v>
      </c>
      <c r="S36" s="35">
        <v>6.8</v>
      </c>
      <c r="T36" s="38" t="s">
        <v>234</v>
      </c>
      <c r="U36" s="39">
        <v>63.7671</v>
      </c>
      <c r="V36" s="38">
        <v>15.48</v>
      </c>
      <c r="W36" s="40"/>
      <c r="X36" s="35"/>
      <c r="Y36" s="35"/>
      <c r="Z36" s="35"/>
      <c r="AA36" s="35"/>
      <c r="AB36" s="35">
        <v>22.482</v>
      </c>
      <c r="AC36" s="41">
        <v>0.1</v>
      </c>
      <c r="AD36" s="42">
        <v>20.4310715869316</v>
      </c>
      <c r="AE36" s="43">
        <v>0.107634259411694</v>
      </c>
      <c r="AF36" s="43">
        <v>0.0110997830018309</v>
      </c>
      <c r="AG36" s="43">
        <v>0.0349644158179485</v>
      </c>
      <c r="AH36" s="43">
        <v>0.302241793434748</v>
      </c>
      <c r="AI36" s="44">
        <v>0.1769</v>
      </c>
      <c r="AJ36" s="44">
        <v>0.0336</v>
      </c>
      <c r="AK36" s="45">
        <v>0.0006</v>
      </c>
      <c r="AL36" s="45">
        <v>0</v>
      </c>
      <c r="AM36" s="45">
        <v>0.1125</v>
      </c>
      <c r="AN36" s="43">
        <v>0.0283366693354684</v>
      </c>
      <c r="AO36" s="43">
        <v>0.20782307899831</v>
      </c>
      <c r="AP36" s="46"/>
      <c r="AQ36" s="29"/>
      <c r="AR36" s="29"/>
      <c r="AS36" s="29"/>
      <c r="AT36" s="29"/>
      <c r="AU36" s="29"/>
      <c r="AV36" s="29"/>
      <c r="AW36" s="29"/>
      <c r="AX36" s="29"/>
      <c r="AY36" s="29"/>
      <c r="AZ36" s="29"/>
      <c r="BA36" s="29"/>
      <c r="BB36" s="29"/>
      <c r="BC36" s="29"/>
      <c r="BD36" s="29"/>
      <c r="BE36" s="29"/>
      <c r="BF36" s="47">
        <v>0.15</v>
      </c>
      <c r="BG36" s="48">
        <v>12.7263840915915</v>
      </c>
      <c r="BH36" s="48">
        <v>22.482</v>
      </c>
      <c r="BI36" s="48">
        <f t="shared" si="2"/>
        <v>0.566069926678743</v>
      </c>
      <c r="BJ36" s="45">
        <v>0.2652</v>
      </c>
      <c r="BK36" s="45">
        <v>0.211</v>
      </c>
      <c r="BL36" s="45"/>
      <c r="BM36" s="37"/>
      <c r="BN36" s="37"/>
      <c r="BO36" s="49"/>
      <c r="BP36" s="37"/>
      <c r="BQ36" s="37"/>
      <c r="BR36" s="49"/>
      <c r="BS36" s="29"/>
      <c r="BT36" s="29"/>
      <c r="BU36" s="29"/>
      <c r="BV36" s="29"/>
      <c r="BW36" s="29"/>
      <c r="BX36" s="29"/>
      <c r="BY36" s="29"/>
      <c r="BZ36" s="29"/>
      <c r="CA36" s="29"/>
      <c r="CB36" s="29"/>
      <c r="CC36" s="29"/>
      <c r="CD36" s="29"/>
      <c r="CE36" s="29"/>
      <c r="CF36" s="29"/>
      <c r="CG36" s="29"/>
      <c r="CH36" s="29"/>
      <c r="CI36" s="29"/>
      <c r="CJ36" s="29"/>
      <c r="CK36" s="29"/>
    </row>
    <row r="37" ht="33" spans="1:89">
      <c r="A37" s="29" t="s">
        <v>235</v>
      </c>
      <c r="B37" s="30" t="s">
        <v>236</v>
      </c>
      <c r="C37" s="29" t="s">
        <v>237</v>
      </c>
      <c r="D37" s="31"/>
      <c r="E37" s="32">
        <v>46007</v>
      </c>
      <c r="F37" s="33">
        <v>35</v>
      </c>
      <c r="G37" s="34">
        <f t="shared" si="1"/>
        <v>125</v>
      </c>
      <c r="H37" s="35">
        <v>1</v>
      </c>
      <c r="I37" s="36">
        <v>22.8141592920354</v>
      </c>
      <c r="J37" s="35">
        <v>6.9772652183</v>
      </c>
      <c r="K37" s="35">
        <v>53.516</v>
      </c>
      <c r="L37" s="35">
        <v>68.23868</v>
      </c>
      <c r="M37" s="35">
        <v>5.65488</v>
      </c>
      <c r="N37" s="35">
        <v>14.0801988096</v>
      </c>
      <c r="O37" s="35">
        <v>0</v>
      </c>
      <c r="P37" s="35">
        <v>2.35271017699115</v>
      </c>
      <c r="Q37" s="37" t="s">
        <v>93</v>
      </c>
      <c r="R37" s="35" t="s">
        <v>94</v>
      </c>
      <c r="S37" s="35">
        <v>6.8</v>
      </c>
      <c r="T37" s="38" t="s">
        <v>238</v>
      </c>
      <c r="U37" s="39">
        <v>62.726801</v>
      </c>
      <c r="V37" s="38">
        <v>5.81999999999994</v>
      </c>
      <c r="W37" s="40"/>
      <c r="X37" s="35"/>
      <c r="Y37" s="35"/>
      <c r="Z37" s="35"/>
      <c r="AA37" s="35"/>
      <c r="AB37" s="35">
        <v>25.182</v>
      </c>
      <c r="AC37" s="41">
        <v>0.1</v>
      </c>
      <c r="AD37" s="42">
        <v>22.6797477292505</v>
      </c>
      <c r="AE37" s="43">
        <v>0.119907913699047</v>
      </c>
      <c r="AF37" s="43">
        <v>0.0123655036002142</v>
      </c>
      <c r="AG37" s="43">
        <v>0.0366714944408821</v>
      </c>
      <c r="AH37" s="43">
        <v>0.281272337383846</v>
      </c>
      <c r="AI37" s="44">
        <v>0.1769</v>
      </c>
      <c r="AJ37" s="44">
        <v>0.0336</v>
      </c>
      <c r="AK37" s="45">
        <v>0.0006</v>
      </c>
      <c r="AL37" s="45">
        <v>0</v>
      </c>
      <c r="AM37" s="45">
        <v>0.1125</v>
      </c>
      <c r="AN37" s="43">
        <v>0.0297212294496069</v>
      </c>
      <c r="AO37" s="43">
        <v>0.212161521426404</v>
      </c>
      <c r="AP37" s="46"/>
      <c r="AQ37" s="29"/>
      <c r="AR37" s="29"/>
      <c r="AS37" s="29"/>
      <c r="AT37" s="29"/>
      <c r="AU37" s="29"/>
      <c r="AV37" s="29"/>
      <c r="AW37" s="29"/>
      <c r="AX37" s="29"/>
      <c r="AY37" s="29"/>
      <c r="AZ37" s="29"/>
      <c r="BA37" s="29"/>
      <c r="BB37" s="29"/>
      <c r="BC37" s="29"/>
      <c r="BD37" s="29"/>
      <c r="BE37" s="29"/>
      <c r="BF37" s="47">
        <v>0.15</v>
      </c>
      <c r="BG37" s="48">
        <v>15.6523466943737</v>
      </c>
      <c r="BH37" s="48">
        <v>25.182</v>
      </c>
      <c r="BI37" s="48">
        <f t="shared" si="2"/>
        <v>0.621568846571905</v>
      </c>
      <c r="BJ37" s="45">
        <v>0.2652</v>
      </c>
      <c r="BK37" s="45">
        <v>0.211</v>
      </c>
      <c r="BL37" s="45"/>
      <c r="BM37" s="37"/>
      <c r="BN37" s="37"/>
      <c r="BO37" s="49"/>
      <c r="BP37" s="37"/>
      <c r="BQ37" s="37"/>
      <c r="BR37" s="49"/>
      <c r="BS37" s="29"/>
      <c r="BT37" s="29"/>
      <c r="BU37" s="29"/>
      <c r="BV37" s="29"/>
      <c r="BW37" s="29"/>
      <c r="BX37" s="29"/>
      <c r="BY37" s="29"/>
      <c r="BZ37" s="29"/>
      <c r="CA37" s="29"/>
      <c r="CB37" s="29"/>
      <c r="CC37" s="29"/>
      <c r="CD37" s="29"/>
      <c r="CE37" s="29"/>
      <c r="CF37" s="29"/>
      <c r="CG37" s="29"/>
      <c r="CH37" s="29"/>
      <c r="CI37" s="29"/>
      <c r="CJ37" s="29"/>
      <c r="CK37" s="29"/>
    </row>
    <row r="38" ht="33" spans="1:89">
      <c r="A38" s="29" t="s">
        <v>239</v>
      </c>
      <c r="B38" s="30" t="s">
        <v>240</v>
      </c>
      <c r="C38" s="29" t="s">
        <v>241</v>
      </c>
      <c r="D38" s="31"/>
      <c r="E38" s="32">
        <v>46007</v>
      </c>
      <c r="F38" s="33">
        <v>35</v>
      </c>
      <c r="G38" s="34">
        <f t="shared" si="1"/>
        <v>125</v>
      </c>
      <c r="H38" s="35">
        <v>1</v>
      </c>
      <c r="I38" s="36">
        <v>20.1812743362832</v>
      </c>
      <c r="J38" s="35">
        <v>3.5819590867</v>
      </c>
      <c r="K38" s="35">
        <v>47.124</v>
      </c>
      <c r="L38" s="35">
        <v>66.31428</v>
      </c>
      <c r="M38" s="35">
        <v>2.903175</v>
      </c>
      <c r="N38" s="35">
        <v>7.228673496</v>
      </c>
      <c r="O38" s="35">
        <v>0</v>
      </c>
      <c r="P38" s="35">
        <v>2.0811939159292</v>
      </c>
      <c r="Q38" s="37" t="s">
        <v>93</v>
      </c>
      <c r="R38" s="35" t="s">
        <v>94</v>
      </c>
      <c r="S38" s="35">
        <v>6.8</v>
      </c>
      <c r="T38" s="38" t="s">
        <v>242</v>
      </c>
      <c r="U38" s="39">
        <v>61.802499</v>
      </c>
      <c r="V38" s="38">
        <v>14.8800000000001</v>
      </c>
      <c r="W38" s="40"/>
      <c r="X38" s="35"/>
      <c r="Y38" s="35"/>
      <c r="Z38" s="35"/>
      <c r="AA38" s="35"/>
      <c r="AB38" s="35">
        <v>19.782</v>
      </c>
      <c r="AC38" s="41">
        <v>0.1</v>
      </c>
      <c r="AD38" s="42">
        <v>18.8440948813576</v>
      </c>
      <c r="AE38" s="43">
        <v>0.135024315797003</v>
      </c>
      <c r="AF38" s="43">
        <v>0.0139243825665659</v>
      </c>
      <c r="AG38" s="43">
        <v>0.0239653634768238</v>
      </c>
      <c r="AH38" s="43">
        <v>0.315286624203822</v>
      </c>
      <c r="AI38" s="44">
        <v>0.1769</v>
      </c>
      <c r="AJ38" s="44">
        <v>0.0336</v>
      </c>
      <c r="AK38" s="45">
        <v>0.0006</v>
      </c>
      <c r="AL38" s="45">
        <v>0</v>
      </c>
      <c r="AM38" s="45">
        <v>0.1125</v>
      </c>
      <c r="AN38" s="43">
        <v>0.0194239080982712</v>
      </c>
      <c r="AO38" s="43">
        <v>0.184475405857515</v>
      </c>
      <c r="AP38" s="46"/>
      <c r="AQ38" s="29"/>
      <c r="AR38" s="29"/>
      <c r="AS38" s="29"/>
      <c r="AT38" s="29"/>
      <c r="AU38" s="29"/>
      <c r="AV38" s="29"/>
      <c r="AW38" s="29"/>
      <c r="AX38" s="29"/>
      <c r="AY38" s="29"/>
      <c r="AZ38" s="29"/>
      <c r="BA38" s="29"/>
      <c r="BB38" s="29"/>
      <c r="BC38" s="29"/>
      <c r="BD38" s="29"/>
      <c r="BE38" s="29"/>
      <c r="BF38" s="47">
        <v>0.15</v>
      </c>
      <c r="BG38" s="48">
        <v>12.4851488047113</v>
      </c>
      <c r="BH38" s="48">
        <v>19.782</v>
      </c>
      <c r="BI38" s="48">
        <f t="shared" si="2"/>
        <v>0.631136831701107</v>
      </c>
      <c r="BJ38" s="45">
        <v>0.2652</v>
      </c>
      <c r="BK38" s="45">
        <v>0.211</v>
      </c>
      <c r="BL38" s="45"/>
      <c r="BM38" s="37"/>
      <c r="BN38" s="37"/>
      <c r="BO38" s="49"/>
      <c r="BP38" s="37"/>
      <c r="BQ38" s="37"/>
      <c r="BR38" s="49"/>
      <c r="BS38" s="29"/>
      <c r="BT38" s="29"/>
      <c r="BU38" s="29"/>
      <c r="BV38" s="29"/>
      <c r="BW38" s="29"/>
      <c r="BX38" s="29"/>
      <c r="BY38" s="29"/>
      <c r="BZ38" s="29"/>
      <c r="CA38" s="29"/>
      <c r="CB38" s="29"/>
      <c r="CC38" s="29"/>
      <c r="CD38" s="29"/>
      <c r="CE38" s="29"/>
      <c r="CF38" s="29"/>
      <c r="CG38" s="29"/>
      <c r="CH38" s="29"/>
      <c r="CI38" s="29"/>
      <c r="CJ38" s="29"/>
      <c r="CK38" s="29"/>
    </row>
    <row r="39" ht="33" spans="1:89">
      <c r="A39" s="29" t="s">
        <v>243</v>
      </c>
      <c r="B39" s="30" t="s">
        <v>244</v>
      </c>
      <c r="C39" s="29" t="s">
        <v>245</v>
      </c>
      <c r="D39" s="31"/>
      <c r="E39" s="32">
        <v>46007</v>
      </c>
      <c r="F39" s="33">
        <v>35</v>
      </c>
      <c r="G39" s="34">
        <f t="shared" si="1"/>
        <v>125</v>
      </c>
      <c r="H39" s="35">
        <v>1.25</v>
      </c>
      <c r="I39" s="36">
        <v>19.5663716814159</v>
      </c>
      <c r="J39" s="35">
        <v>4.0201417324</v>
      </c>
      <c r="K39" s="35">
        <v>47.124</v>
      </c>
      <c r="L39" s="35">
        <v>66.31428</v>
      </c>
      <c r="M39" s="35">
        <v>3.258288</v>
      </c>
      <c r="N39" s="35">
        <v>8.11287645696</v>
      </c>
      <c r="O39" s="35">
        <v>0</v>
      </c>
      <c r="P39" s="35">
        <v>2.01778207964602</v>
      </c>
      <c r="Q39" s="37" t="s">
        <v>93</v>
      </c>
      <c r="R39" s="35" t="s">
        <v>94</v>
      </c>
      <c r="S39" s="35">
        <v>6.8</v>
      </c>
      <c r="T39" s="38" t="s">
        <v>246</v>
      </c>
      <c r="U39" s="39">
        <v>61.6736</v>
      </c>
      <c r="V39" s="38">
        <v>2.00999999999999</v>
      </c>
      <c r="W39" s="40"/>
      <c r="X39" s="35"/>
      <c r="Y39" s="35"/>
      <c r="Z39" s="35"/>
      <c r="AA39" s="35"/>
      <c r="AB39" s="35">
        <v>30.582</v>
      </c>
      <c r="AC39" s="41">
        <v>0.1</v>
      </c>
      <c r="AD39" s="42">
        <v>18.8726525461374</v>
      </c>
      <c r="AE39" s="43">
        <v>0.0846794467395005</v>
      </c>
      <c r="AF39" s="43">
        <v>0.00873256794501098</v>
      </c>
      <c r="AG39" s="43">
        <v>0.017398390629436</v>
      </c>
      <c r="AH39" s="43">
        <v>0.20394349617422</v>
      </c>
      <c r="AI39" s="44">
        <v>0.1769</v>
      </c>
      <c r="AJ39" s="44">
        <v>0.0336</v>
      </c>
      <c r="AK39" s="45">
        <v>0.0006</v>
      </c>
      <c r="AL39" s="45">
        <v>0</v>
      </c>
      <c r="AM39" s="45">
        <v>0.1125</v>
      </c>
      <c r="AN39" s="43">
        <v>0.0141012360211889</v>
      </c>
      <c r="AO39" s="43">
        <v>0.363244862490644</v>
      </c>
      <c r="AP39" s="46"/>
      <c r="AQ39" s="29"/>
      <c r="AR39" s="29"/>
      <c r="AS39" s="29"/>
      <c r="AT39" s="29"/>
      <c r="AU39" s="29"/>
      <c r="AV39" s="29"/>
      <c r="AW39" s="29"/>
      <c r="AX39" s="29"/>
      <c r="AY39" s="29"/>
      <c r="AZ39" s="29"/>
      <c r="BA39" s="29"/>
      <c r="BB39" s="29"/>
      <c r="BC39" s="29"/>
      <c r="BD39" s="29"/>
      <c r="BE39" s="29"/>
      <c r="BF39" s="47">
        <v>0.15</v>
      </c>
      <c r="BG39" s="48">
        <v>12.3923005137422</v>
      </c>
      <c r="BH39" s="48">
        <v>30.582</v>
      </c>
      <c r="BI39" s="48">
        <f t="shared" ref="BI39:BI70" si="3">BG39/BH39</f>
        <v>0.405215503032575</v>
      </c>
      <c r="BJ39" s="45">
        <v>0.2652</v>
      </c>
      <c r="BK39" s="45">
        <v>0.211</v>
      </c>
      <c r="BL39" s="45"/>
      <c r="BM39" s="37"/>
      <c r="BN39" s="37"/>
      <c r="BO39" s="49"/>
      <c r="BP39" s="37"/>
      <c r="BQ39" s="37"/>
      <c r="BR39" s="49"/>
      <c r="BS39" s="29"/>
      <c r="BT39" s="29"/>
      <c r="BU39" s="29"/>
      <c r="BV39" s="29"/>
      <c r="BW39" s="29"/>
      <c r="BX39" s="29"/>
      <c r="BY39" s="29"/>
      <c r="BZ39" s="29"/>
      <c r="CA39" s="29"/>
      <c r="CB39" s="29"/>
      <c r="CC39" s="29"/>
      <c r="CD39" s="29"/>
      <c r="CE39" s="29"/>
      <c r="CF39" s="29"/>
      <c r="CG39" s="29"/>
      <c r="CH39" s="29"/>
      <c r="CI39" s="29"/>
      <c r="CJ39" s="29"/>
      <c r="CK39" s="29"/>
    </row>
    <row r="40" ht="33" spans="1:89">
      <c r="A40" s="29" t="s">
        <v>247</v>
      </c>
      <c r="B40" s="30" t="s">
        <v>248</v>
      </c>
      <c r="C40" s="29" t="s">
        <v>249</v>
      </c>
      <c r="D40" s="31"/>
      <c r="E40" s="32">
        <v>46007</v>
      </c>
      <c r="F40" s="33">
        <v>40</v>
      </c>
      <c r="G40" s="34">
        <f t="shared" si="1"/>
        <v>130</v>
      </c>
      <c r="H40" s="35">
        <v>0.833333333333333</v>
      </c>
      <c r="I40" s="36">
        <v>17.1150442477876</v>
      </c>
      <c r="J40" s="35">
        <v>3.3224581735</v>
      </c>
      <c r="K40" s="35">
        <v>47.124</v>
      </c>
      <c r="L40" s="35">
        <v>66.31428</v>
      </c>
      <c r="M40" s="35">
        <v>2.6928</v>
      </c>
      <c r="N40" s="35">
        <v>6.704856576</v>
      </c>
      <c r="O40" s="35">
        <v>0</v>
      </c>
      <c r="P40" s="35">
        <v>1.7649889380531</v>
      </c>
      <c r="Q40" s="37" t="s">
        <v>93</v>
      </c>
      <c r="R40" s="35" t="s">
        <v>94</v>
      </c>
      <c r="S40" s="35">
        <v>6.8</v>
      </c>
      <c r="T40" s="38" t="s">
        <v>250</v>
      </c>
      <c r="U40" s="39">
        <v>60.8343</v>
      </c>
      <c r="V40" s="38">
        <v>13.0799999999999</v>
      </c>
      <c r="W40" s="40"/>
      <c r="X40" s="35"/>
      <c r="Y40" s="35"/>
      <c r="Z40" s="35"/>
      <c r="AA40" s="35"/>
      <c r="AB40" s="35">
        <v>17.982</v>
      </c>
      <c r="AC40" s="41">
        <v>0.1</v>
      </c>
      <c r="AD40" s="42">
        <v>17.8873032574338</v>
      </c>
      <c r="AE40" s="43">
        <v>0.125971885472146</v>
      </c>
      <c r="AF40" s="43">
        <v>0.012990850689315</v>
      </c>
      <c r="AG40" s="43">
        <v>0.0244542938048342</v>
      </c>
      <c r="AH40" s="43">
        <v>0.346846846846847</v>
      </c>
      <c r="AI40" s="44">
        <v>0.1769</v>
      </c>
      <c r="AJ40" s="44">
        <v>0.0336</v>
      </c>
      <c r="AK40" s="45">
        <v>0.0006</v>
      </c>
      <c r="AL40" s="45">
        <v>0</v>
      </c>
      <c r="AM40" s="45">
        <v>0.1125</v>
      </c>
      <c r="AN40" s="43">
        <v>0.0198198198198198</v>
      </c>
      <c r="AO40" s="43">
        <v>0.162016303367038</v>
      </c>
      <c r="AP40" s="46"/>
      <c r="AQ40" s="29"/>
      <c r="AR40" s="29"/>
      <c r="AS40" s="29"/>
      <c r="AT40" s="29"/>
      <c r="AU40" s="29"/>
      <c r="AV40" s="29"/>
      <c r="AW40" s="29"/>
      <c r="AX40" s="29"/>
      <c r="AY40" s="29"/>
      <c r="AZ40" s="29"/>
      <c r="BA40" s="29"/>
      <c r="BB40" s="29"/>
      <c r="BC40" s="29"/>
      <c r="BD40" s="29"/>
      <c r="BE40" s="29"/>
      <c r="BF40" s="47">
        <v>0.15</v>
      </c>
      <c r="BG40" s="48">
        <v>10.7378172988712</v>
      </c>
      <c r="BH40" s="48">
        <v>17.982</v>
      </c>
      <c r="BI40" s="48">
        <f t="shared" si="3"/>
        <v>0.597142548040885</v>
      </c>
      <c r="BJ40" s="45">
        <v>0.2652</v>
      </c>
      <c r="BK40" s="45">
        <v>0.211</v>
      </c>
      <c r="BL40" s="45"/>
      <c r="BM40" s="37"/>
      <c r="BN40" s="37"/>
      <c r="BO40" s="49"/>
      <c r="BP40" s="37"/>
      <c r="BQ40" s="37"/>
      <c r="BR40" s="49"/>
      <c r="BS40" s="29"/>
      <c r="BT40" s="29"/>
      <c r="BU40" s="29"/>
      <c r="BV40" s="29"/>
      <c r="BW40" s="29"/>
      <c r="BX40" s="29"/>
      <c r="BY40" s="29"/>
      <c r="BZ40" s="29"/>
      <c r="CA40" s="29"/>
      <c r="CB40" s="29"/>
      <c r="CC40" s="29"/>
      <c r="CD40" s="29"/>
      <c r="CE40" s="29"/>
      <c r="CF40" s="29"/>
      <c r="CG40" s="29"/>
      <c r="CH40" s="29"/>
      <c r="CI40" s="29"/>
      <c r="CJ40" s="29"/>
      <c r="CK40" s="29"/>
    </row>
    <row r="41" ht="33" spans="1:89">
      <c r="A41" s="29" t="s">
        <v>251</v>
      </c>
      <c r="B41" s="30" t="s">
        <v>252</v>
      </c>
      <c r="C41" s="29" t="s">
        <v>253</v>
      </c>
      <c r="D41" s="31"/>
      <c r="E41" s="32">
        <v>46007</v>
      </c>
      <c r="F41" s="33">
        <v>35</v>
      </c>
      <c r="G41" s="34">
        <f t="shared" si="1"/>
        <v>125</v>
      </c>
      <c r="H41" s="35">
        <v>1</v>
      </c>
      <c r="I41" s="36">
        <v>22.3716814159292</v>
      </c>
      <c r="J41" s="35">
        <v>4.6515101456</v>
      </c>
      <c r="K41" s="35">
        <v>47.124</v>
      </c>
      <c r="L41" s="35">
        <v>66.31428</v>
      </c>
      <c r="M41" s="35">
        <v>3.76992</v>
      </c>
      <c r="N41" s="35">
        <v>9.3867992064</v>
      </c>
      <c r="O41" s="35">
        <v>0</v>
      </c>
      <c r="P41" s="35">
        <v>2.3070796460177</v>
      </c>
      <c r="Q41" s="37" t="s">
        <v>93</v>
      </c>
      <c r="R41" s="35" t="s">
        <v>94</v>
      </c>
      <c r="S41" s="35">
        <v>6.8</v>
      </c>
      <c r="T41" s="38" t="s">
        <v>254</v>
      </c>
      <c r="U41" s="39">
        <v>59.6477</v>
      </c>
      <c r="V41" s="38">
        <v>7.86999999999989</v>
      </c>
      <c r="W41" s="40"/>
      <c r="X41" s="35"/>
      <c r="Y41" s="35"/>
      <c r="Z41" s="35"/>
      <c r="AA41" s="35"/>
      <c r="AB41" s="35">
        <v>26.082</v>
      </c>
      <c r="AC41" s="41">
        <v>0.1</v>
      </c>
      <c r="AD41" s="42">
        <v>19.9251396344881</v>
      </c>
      <c r="AE41" s="43">
        <v>0.113524953395492</v>
      </c>
      <c r="AF41" s="43">
        <v>0.0117072608189101</v>
      </c>
      <c r="AG41" s="43">
        <v>0.0236040583039013</v>
      </c>
      <c r="AH41" s="43">
        <v>0.239130434782609</v>
      </c>
      <c r="AI41" s="44">
        <v>0.1769</v>
      </c>
      <c r="AJ41" s="44">
        <v>0.0336</v>
      </c>
      <c r="AK41" s="45">
        <v>0.0006</v>
      </c>
      <c r="AL41" s="45">
        <v>0</v>
      </c>
      <c r="AM41" s="45">
        <v>0.1125</v>
      </c>
      <c r="AN41" s="43">
        <v>0.0191304347826087</v>
      </c>
      <c r="AO41" s="43">
        <v>0.285002857916479</v>
      </c>
      <c r="AP41" s="46"/>
      <c r="AQ41" s="29"/>
      <c r="AR41" s="29"/>
      <c r="AS41" s="29"/>
      <c r="AT41" s="29"/>
      <c r="AU41" s="29"/>
      <c r="AV41" s="29"/>
      <c r="AW41" s="29"/>
      <c r="AX41" s="29"/>
      <c r="AY41" s="29"/>
      <c r="AZ41" s="29"/>
      <c r="BA41" s="29"/>
      <c r="BB41" s="29"/>
      <c r="BC41" s="29"/>
      <c r="BD41" s="29"/>
      <c r="BE41" s="29"/>
      <c r="BF41" s="47">
        <v>0.15</v>
      </c>
      <c r="BG41" s="48">
        <v>14.197923397815</v>
      </c>
      <c r="BH41" s="48">
        <v>26.082</v>
      </c>
      <c r="BI41" s="48">
        <f t="shared" si="3"/>
        <v>0.544357158109616</v>
      </c>
      <c r="BJ41" s="45">
        <v>0.2652</v>
      </c>
      <c r="BK41" s="45">
        <v>0.211</v>
      </c>
      <c r="BL41" s="45"/>
      <c r="BM41" s="37"/>
      <c r="BN41" s="37"/>
      <c r="BO41" s="49"/>
      <c r="BP41" s="37"/>
      <c r="BQ41" s="37"/>
      <c r="BR41" s="49"/>
      <c r="BS41" s="29"/>
      <c r="BT41" s="29"/>
      <c r="BU41" s="29"/>
      <c r="BV41" s="29"/>
      <c r="BW41" s="29"/>
      <c r="BX41" s="29"/>
      <c r="BY41" s="29"/>
      <c r="BZ41" s="29"/>
      <c r="CA41" s="29"/>
      <c r="CB41" s="29"/>
      <c r="CC41" s="29"/>
      <c r="CD41" s="29"/>
      <c r="CE41" s="29"/>
      <c r="CF41" s="29"/>
      <c r="CG41" s="29"/>
      <c r="CH41" s="29"/>
      <c r="CI41" s="29"/>
      <c r="CJ41" s="29"/>
      <c r="CK41" s="29"/>
    </row>
    <row r="42" ht="33" spans="1:89">
      <c r="A42" s="29" t="s">
        <v>255</v>
      </c>
      <c r="B42" s="30" t="s">
        <v>256</v>
      </c>
      <c r="C42" s="29" t="s">
        <v>257</v>
      </c>
      <c r="D42" s="31"/>
      <c r="E42" s="32">
        <v>46007</v>
      </c>
      <c r="F42" s="33">
        <v>35</v>
      </c>
      <c r="G42" s="34">
        <f t="shared" si="1"/>
        <v>125</v>
      </c>
      <c r="H42" s="35">
        <v>1</v>
      </c>
      <c r="I42" s="36">
        <v>21.9840707964602</v>
      </c>
      <c r="J42" s="35">
        <v>5.2143493426</v>
      </c>
      <c r="K42" s="35">
        <v>51.34</v>
      </c>
      <c r="L42" s="35">
        <v>68.23868</v>
      </c>
      <c r="M42" s="35">
        <v>4.226013</v>
      </c>
      <c r="N42" s="35">
        <v>10.52243428896</v>
      </c>
      <c r="O42" s="35">
        <v>0</v>
      </c>
      <c r="P42" s="35">
        <v>2.26710730088496</v>
      </c>
      <c r="Q42" s="37" t="s">
        <v>93</v>
      </c>
      <c r="R42" s="35" t="s">
        <v>94</v>
      </c>
      <c r="S42" s="35">
        <v>6.8</v>
      </c>
      <c r="T42" s="38" t="s">
        <v>258</v>
      </c>
      <c r="U42" s="39">
        <v>59.5217</v>
      </c>
      <c r="V42" s="38">
        <v>9.52999999999997</v>
      </c>
      <c r="W42" s="40"/>
      <c r="X42" s="35"/>
      <c r="Y42" s="35"/>
      <c r="Z42" s="35"/>
      <c r="AA42" s="35"/>
      <c r="AB42" s="35">
        <v>26.082</v>
      </c>
      <c r="AC42" s="41">
        <v>0.1</v>
      </c>
      <c r="AD42" s="42">
        <v>21.1191324100522</v>
      </c>
      <c r="AE42" s="43">
        <v>0.11155802580106</v>
      </c>
      <c r="AF42" s="43">
        <v>0.0115044214107344</v>
      </c>
      <c r="AG42" s="43">
        <v>0.0264601821875127</v>
      </c>
      <c r="AH42" s="43">
        <v>0.260524499654935</v>
      </c>
      <c r="AI42" s="44">
        <v>0.1769</v>
      </c>
      <c r="AJ42" s="44">
        <v>0.0336</v>
      </c>
      <c r="AK42" s="45">
        <v>0.0006</v>
      </c>
      <c r="AL42" s="45">
        <v>0</v>
      </c>
      <c r="AM42" s="45">
        <v>0.1125</v>
      </c>
      <c r="AN42" s="43">
        <v>0.0214448757763975</v>
      </c>
      <c r="AO42" s="43">
        <v>0.26060799516936</v>
      </c>
      <c r="AP42" s="46"/>
      <c r="AQ42" s="29"/>
      <c r="AR42" s="29"/>
      <c r="AS42" s="29"/>
      <c r="AT42" s="29"/>
      <c r="AU42" s="29"/>
      <c r="AV42" s="29"/>
      <c r="AW42" s="29"/>
      <c r="AX42" s="29"/>
      <c r="AY42" s="29"/>
      <c r="AZ42" s="29"/>
      <c r="BA42" s="29"/>
      <c r="BB42" s="29"/>
      <c r="BC42" s="29"/>
      <c r="BD42" s="29"/>
      <c r="BE42" s="29"/>
      <c r="BF42" s="47">
        <v>0.15</v>
      </c>
      <c r="BG42" s="48">
        <v>14.2899880939938</v>
      </c>
      <c r="BH42" s="48">
        <v>26.082</v>
      </c>
      <c r="BI42" s="48">
        <f t="shared" si="3"/>
        <v>0.547886975461767</v>
      </c>
      <c r="BJ42" s="45">
        <v>0.2652</v>
      </c>
      <c r="BK42" s="45">
        <v>0.211</v>
      </c>
      <c r="BL42" s="45"/>
      <c r="BM42" s="37"/>
      <c r="BN42" s="37"/>
      <c r="BO42" s="49"/>
      <c r="BP42" s="37"/>
      <c r="BQ42" s="37"/>
      <c r="BR42" s="49"/>
      <c r="BS42" s="29"/>
      <c r="BT42" s="29"/>
      <c r="BU42" s="29"/>
      <c r="BV42" s="29"/>
      <c r="BW42" s="29"/>
      <c r="BX42" s="29"/>
      <c r="BY42" s="29"/>
      <c r="BZ42" s="29"/>
      <c r="CA42" s="29"/>
      <c r="CB42" s="29"/>
      <c r="CC42" s="29"/>
      <c r="CD42" s="29"/>
      <c r="CE42" s="29"/>
      <c r="CF42" s="29"/>
      <c r="CG42" s="29"/>
      <c r="CH42" s="29"/>
      <c r="CI42" s="29"/>
      <c r="CJ42" s="29"/>
      <c r="CK42" s="29"/>
    </row>
    <row r="43" ht="33" spans="1:89">
      <c r="A43" s="29" t="s">
        <v>259</v>
      </c>
      <c r="B43" s="30" t="s">
        <v>260</v>
      </c>
      <c r="C43" s="29" t="s">
        <v>261</v>
      </c>
      <c r="D43" s="31"/>
      <c r="E43" s="32">
        <v>46007</v>
      </c>
      <c r="F43" s="33">
        <v>35</v>
      </c>
      <c r="G43" s="34">
        <f t="shared" si="1"/>
        <v>125</v>
      </c>
      <c r="H43" s="35">
        <v>1</v>
      </c>
      <c r="I43" s="36">
        <v>20.6814159292035</v>
      </c>
      <c r="J43" s="35">
        <v>4.8779579452</v>
      </c>
      <c r="K43" s="35">
        <v>51.34</v>
      </c>
      <c r="L43" s="35">
        <v>66.31428</v>
      </c>
      <c r="M43" s="35">
        <v>3.953367</v>
      </c>
      <c r="N43" s="35">
        <v>9.84356756064</v>
      </c>
      <c r="O43" s="35">
        <v>0</v>
      </c>
      <c r="P43" s="35">
        <v>2.13277101769912</v>
      </c>
      <c r="Q43" s="37" t="s">
        <v>93</v>
      </c>
      <c r="R43" s="35" t="s">
        <v>94</v>
      </c>
      <c r="S43" s="35">
        <v>6.8</v>
      </c>
      <c r="T43" s="38" t="s">
        <v>262</v>
      </c>
      <c r="U43" s="39">
        <v>57.650204</v>
      </c>
      <c r="V43" s="38">
        <v>3.31999999999994</v>
      </c>
      <c r="W43" s="40"/>
      <c r="X43" s="35"/>
      <c r="Y43" s="35"/>
      <c r="Z43" s="35"/>
      <c r="AA43" s="35"/>
      <c r="AB43" s="35">
        <v>23.292</v>
      </c>
      <c r="AC43" s="41">
        <v>0.1</v>
      </c>
      <c r="AD43" s="42">
        <v>20.6109639399402</v>
      </c>
      <c r="AE43" s="43">
        <v>0.117518728573072</v>
      </c>
      <c r="AF43" s="43">
        <v>0.0121191188840981</v>
      </c>
      <c r="AG43" s="43">
        <v>0.0277181899786344</v>
      </c>
      <c r="AH43" s="43">
        <v>0.291731066460587</v>
      </c>
      <c r="AI43" s="44">
        <v>0.1769</v>
      </c>
      <c r="AJ43" s="44">
        <v>0.0336</v>
      </c>
      <c r="AK43" s="45">
        <v>0.0006</v>
      </c>
      <c r="AL43" s="45">
        <v>0</v>
      </c>
      <c r="AM43" s="45">
        <v>0.1125</v>
      </c>
      <c r="AN43" s="43">
        <v>0.0224643547140649</v>
      </c>
      <c r="AO43" s="43">
        <v>0.220548541389543</v>
      </c>
      <c r="AP43" s="46"/>
      <c r="AQ43" s="29"/>
      <c r="AR43" s="29"/>
      <c r="AS43" s="29"/>
      <c r="AT43" s="29"/>
      <c r="AU43" s="29"/>
      <c r="AV43" s="29"/>
      <c r="AW43" s="29"/>
      <c r="AX43" s="29"/>
      <c r="AY43" s="29"/>
      <c r="AZ43" s="29"/>
      <c r="BA43" s="29"/>
      <c r="BB43" s="29"/>
      <c r="BC43" s="29"/>
      <c r="BD43" s="29"/>
      <c r="BE43" s="29"/>
      <c r="BF43" s="47">
        <v>0.15</v>
      </c>
      <c r="BG43" s="48">
        <v>13.4288369136054</v>
      </c>
      <c r="BH43" s="48">
        <v>23.292</v>
      </c>
      <c r="BI43" s="48">
        <f t="shared" si="3"/>
        <v>0.576542886553555</v>
      </c>
      <c r="BJ43" s="45">
        <v>0.2652</v>
      </c>
      <c r="BK43" s="45">
        <v>0.211</v>
      </c>
      <c r="BL43" s="45"/>
      <c r="BM43" s="37"/>
      <c r="BN43" s="37"/>
      <c r="BO43" s="49"/>
      <c r="BP43" s="37"/>
      <c r="BQ43" s="37"/>
      <c r="BR43" s="49"/>
      <c r="BS43" s="29"/>
      <c r="BT43" s="29"/>
      <c r="BU43" s="29"/>
      <c r="BV43" s="29"/>
      <c r="BW43" s="29"/>
      <c r="BX43" s="29"/>
      <c r="BY43" s="29"/>
      <c r="BZ43" s="29"/>
      <c r="CA43" s="29"/>
      <c r="CB43" s="29"/>
      <c r="CC43" s="29"/>
      <c r="CD43" s="29"/>
      <c r="CE43" s="29"/>
      <c r="CF43" s="29"/>
      <c r="CG43" s="29"/>
      <c r="CH43" s="29"/>
      <c r="CI43" s="29"/>
      <c r="CJ43" s="29"/>
      <c r="CK43" s="29"/>
    </row>
    <row r="44" ht="33" spans="1:89">
      <c r="A44" s="29" t="s">
        <v>263</v>
      </c>
      <c r="B44" s="30" t="s">
        <v>264</v>
      </c>
      <c r="C44" s="29" t="s">
        <v>265</v>
      </c>
      <c r="D44" s="31"/>
      <c r="E44" s="32">
        <v>46007</v>
      </c>
      <c r="F44" s="33">
        <v>35</v>
      </c>
      <c r="G44" s="34">
        <f t="shared" si="1"/>
        <v>125</v>
      </c>
      <c r="H44" s="35">
        <v>1</v>
      </c>
      <c r="I44" s="36">
        <v>20.3628318584071</v>
      </c>
      <c r="J44" s="35">
        <v>4.4159212925</v>
      </c>
      <c r="K44" s="35">
        <v>47.124</v>
      </c>
      <c r="L44" s="35">
        <v>66.31428</v>
      </c>
      <c r="M44" s="35">
        <v>3.57918</v>
      </c>
      <c r="N44" s="35">
        <v>8.9118718656</v>
      </c>
      <c r="O44" s="35">
        <v>0</v>
      </c>
      <c r="P44" s="35">
        <v>2.09991703539823</v>
      </c>
      <c r="Q44" s="37" t="s">
        <v>93</v>
      </c>
      <c r="R44" s="35" t="s">
        <v>94</v>
      </c>
      <c r="S44" s="35">
        <v>6.8</v>
      </c>
      <c r="T44" s="38" t="s">
        <v>266</v>
      </c>
      <c r="U44" s="39">
        <v>56.975001</v>
      </c>
      <c r="V44" s="38">
        <v>6.75999999999999</v>
      </c>
      <c r="W44" s="40"/>
      <c r="X44" s="35"/>
      <c r="Y44" s="35"/>
      <c r="Z44" s="35"/>
      <c r="AA44" s="35"/>
      <c r="AB44" s="35">
        <v>33.282</v>
      </c>
      <c r="AC44" s="41">
        <v>0.1</v>
      </c>
      <c r="AD44" s="42">
        <v>19.2688660963235</v>
      </c>
      <c r="AE44" s="43">
        <v>0.08097712538736</v>
      </c>
      <c r="AF44" s="43">
        <v>0.0083507660555715</v>
      </c>
      <c r="AG44" s="43">
        <v>0.0175608488391977</v>
      </c>
      <c r="AH44" s="43">
        <v>0.187398593834505</v>
      </c>
      <c r="AI44" s="44">
        <v>0.1769</v>
      </c>
      <c r="AJ44" s="44">
        <v>0.0336</v>
      </c>
      <c r="AK44" s="45">
        <v>0.0006</v>
      </c>
      <c r="AL44" s="45">
        <v>0</v>
      </c>
      <c r="AM44" s="45">
        <v>0.1125</v>
      </c>
      <c r="AN44" s="43">
        <v>0.0142333693888588</v>
      </c>
      <c r="AO44" s="43">
        <v>0.383579296494507</v>
      </c>
      <c r="AP44" s="46"/>
      <c r="AQ44" s="29"/>
      <c r="AR44" s="29"/>
      <c r="AS44" s="29"/>
      <c r="AT44" s="29"/>
      <c r="AU44" s="29"/>
      <c r="AV44" s="29"/>
      <c r="AW44" s="29"/>
      <c r="AX44" s="29"/>
      <c r="AY44" s="29"/>
      <c r="AZ44" s="29"/>
      <c r="BA44" s="29"/>
      <c r="BB44" s="29"/>
      <c r="BC44" s="29"/>
      <c r="BD44" s="29"/>
      <c r="BE44" s="29"/>
      <c r="BF44" s="47">
        <v>0.15</v>
      </c>
      <c r="BG44" s="48">
        <v>13.0187005605506</v>
      </c>
      <c r="BH44" s="48">
        <v>33.282</v>
      </c>
      <c r="BI44" s="48">
        <f t="shared" si="3"/>
        <v>0.391163408465555</v>
      </c>
      <c r="BJ44" s="45">
        <v>0.2652</v>
      </c>
      <c r="BK44" s="45">
        <v>0.211</v>
      </c>
      <c r="BL44" s="45"/>
      <c r="BM44" s="37"/>
      <c r="BN44" s="37"/>
      <c r="BO44" s="49"/>
      <c r="BP44" s="37"/>
      <c r="BQ44" s="37"/>
      <c r="BR44" s="49"/>
      <c r="BS44" s="29"/>
      <c r="BT44" s="29"/>
      <c r="BU44" s="29"/>
      <c r="BV44" s="29"/>
      <c r="BW44" s="29"/>
      <c r="BX44" s="29"/>
      <c r="BY44" s="29"/>
      <c r="BZ44" s="29"/>
      <c r="CA44" s="29"/>
      <c r="CB44" s="29"/>
      <c r="CC44" s="29"/>
      <c r="CD44" s="29"/>
      <c r="CE44" s="29"/>
      <c r="CF44" s="29"/>
      <c r="CG44" s="29"/>
      <c r="CH44" s="29"/>
      <c r="CI44" s="29"/>
      <c r="CJ44" s="29"/>
      <c r="CK44" s="29"/>
    </row>
    <row r="45" ht="33" spans="1:89">
      <c r="A45" s="29" t="s">
        <v>267</v>
      </c>
      <c r="B45" s="30" t="s">
        <v>268</v>
      </c>
      <c r="C45" s="29" t="s">
        <v>269</v>
      </c>
      <c r="D45" s="31"/>
      <c r="E45" s="32">
        <v>46007</v>
      </c>
      <c r="F45" s="33">
        <v>35</v>
      </c>
      <c r="G45" s="34">
        <f t="shared" si="1"/>
        <v>125</v>
      </c>
      <c r="H45" s="35">
        <v>0.833333333333333</v>
      </c>
      <c r="I45" s="36">
        <v>30.3504424778761</v>
      </c>
      <c r="J45" s="35">
        <v>5.3989446932</v>
      </c>
      <c r="K45" s="35">
        <v>51.34</v>
      </c>
      <c r="L45" s="35">
        <v>68.23868</v>
      </c>
      <c r="M45" s="35">
        <v>4.3758</v>
      </c>
      <c r="N45" s="35">
        <v>10.895391936</v>
      </c>
      <c r="O45" s="35">
        <v>0</v>
      </c>
      <c r="P45" s="35">
        <v>3.12988938053097</v>
      </c>
      <c r="Q45" s="37" t="s">
        <v>93</v>
      </c>
      <c r="R45" s="35" t="s">
        <v>94</v>
      </c>
      <c r="S45" s="35">
        <v>6.8</v>
      </c>
      <c r="T45" s="38" t="s">
        <v>266</v>
      </c>
      <c r="U45" s="39">
        <v>56.975001</v>
      </c>
      <c r="V45" s="38">
        <v>6.75999999999999</v>
      </c>
      <c r="W45" s="40"/>
      <c r="X45" s="35"/>
      <c r="Y45" s="35"/>
      <c r="Z45" s="35"/>
      <c r="AA45" s="35"/>
      <c r="AB45" s="35">
        <v>35.982</v>
      </c>
      <c r="AC45" s="41">
        <v>0.1</v>
      </c>
      <c r="AD45" s="42">
        <v>23.494410858561</v>
      </c>
      <c r="AE45" s="43">
        <v>0.111638328273976</v>
      </c>
      <c r="AF45" s="43">
        <v>0.0115127026032537</v>
      </c>
      <c r="AG45" s="43">
        <v>0.0198589908674926</v>
      </c>
      <c r="AH45" s="43">
        <v>0.188844422211106</v>
      </c>
      <c r="AI45" s="44">
        <v>0.1769</v>
      </c>
      <c r="AJ45" s="44">
        <v>0.0336</v>
      </c>
      <c r="AK45" s="45">
        <v>0.0006</v>
      </c>
      <c r="AL45" s="45">
        <v>0</v>
      </c>
      <c r="AM45" s="45">
        <v>0.1125</v>
      </c>
      <c r="AN45" s="43">
        <v>0.0160955477738869</v>
      </c>
      <c r="AO45" s="43">
        <v>0.344150008270285</v>
      </c>
      <c r="AP45" s="46"/>
      <c r="AQ45" s="29"/>
      <c r="AR45" s="29"/>
      <c r="AS45" s="29"/>
      <c r="AT45" s="29"/>
      <c r="AU45" s="29"/>
      <c r="AV45" s="29"/>
      <c r="AW45" s="29"/>
      <c r="AX45" s="29"/>
      <c r="AY45" s="29"/>
      <c r="AZ45" s="29"/>
      <c r="BA45" s="29"/>
      <c r="BB45" s="29"/>
      <c r="BC45" s="29"/>
      <c r="BD45" s="29"/>
      <c r="BE45" s="29"/>
      <c r="BF45" s="47">
        <v>0.15</v>
      </c>
      <c r="BG45" s="48">
        <v>18.7826467283883</v>
      </c>
      <c r="BH45" s="48">
        <v>35.982</v>
      </c>
      <c r="BI45" s="48">
        <f t="shared" si="3"/>
        <v>0.522001187493422</v>
      </c>
      <c r="BJ45" s="45">
        <v>0.2652</v>
      </c>
      <c r="BK45" s="45">
        <v>0.211</v>
      </c>
      <c r="BL45" s="45"/>
      <c r="BM45" s="37"/>
      <c r="BN45" s="37"/>
      <c r="BO45" s="49"/>
      <c r="BP45" s="37"/>
      <c r="BQ45" s="37"/>
      <c r="BR45" s="49"/>
      <c r="BS45" s="29"/>
      <c r="BT45" s="29"/>
      <c r="BU45" s="29"/>
      <c r="BV45" s="29"/>
      <c r="BW45" s="29"/>
      <c r="BX45" s="29"/>
      <c r="BY45" s="29"/>
      <c r="BZ45" s="29"/>
      <c r="CA45" s="29"/>
      <c r="CB45" s="29"/>
      <c r="CC45" s="29"/>
      <c r="CD45" s="29"/>
      <c r="CE45" s="29"/>
      <c r="CF45" s="29"/>
      <c r="CG45" s="29"/>
      <c r="CH45" s="29"/>
      <c r="CI45" s="29"/>
      <c r="CJ45" s="29"/>
      <c r="CK45" s="29"/>
    </row>
    <row r="46" ht="33" spans="1:89">
      <c r="A46" s="29" t="s">
        <v>270</v>
      </c>
      <c r="B46" s="30" t="s">
        <v>271</v>
      </c>
      <c r="C46" s="29" t="s">
        <v>272</v>
      </c>
      <c r="D46" s="31"/>
      <c r="E46" s="32">
        <v>46007</v>
      </c>
      <c r="F46" s="33">
        <v>35</v>
      </c>
      <c r="G46" s="34">
        <f t="shared" si="1"/>
        <v>125</v>
      </c>
      <c r="H46" s="35">
        <v>1.66666666666667</v>
      </c>
      <c r="I46" s="36">
        <v>21.1238938053097</v>
      </c>
      <c r="J46" s="35">
        <v>4.1552975088</v>
      </c>
      <c r="K46" s="35">
        <v>47.124</v>
      </c>
      <c r="L46" s="35">
        <v>66.31428</v>
      </c>
      <c r="M46" s="35">
        <v>3.367683</v>
      </c>
      <c r="N46" s="35">
        <v>8.38526125536</v>
      </c>
      <c r="O46" s="35">
        <v>0</v>
      </c>
      <c r="P46" s="35">
        <v>2.17840154867257</v>
      </c>
      <c r="Q46" s="37" t="s">
        <v>93</v>
      </c>
      <c r="R46" s="35" t="s">
        <v>94</v>
      </c>
      <c r="S46" s="35">
        <v>6.8</v>
      </c>
      <c r="T46" s="38" t="s">
        <v>273</v>
      </c>
      <c r="U46" s="39">
        <v>56.247802</v>
      </c>
      <c r="V46" s="38">
        <v>4.33999999999992</v>
      </c>
      <c r="W46" s="40"/>
      <c r="X46" s="35"/>
      <c r="Y46" s="35"/>
      <c r="Z46" s="35"/>
      <c r="AA46" s="35"/>
      <c r="AB46" s="35">
        <v>24.282</v>
      </c>
      <c r="AC46" s="41">
        <v>0.1</v>
      </c>
      <c r="AD46" s="42">
        <v>19.3601229578624</v>
      </c>
      <c r="AE46" s="43">
        <v>0.115139176107082</v>
      </c>
      <c r="AF46" s="43">
        <v>0.0118737275360429</v>
      </c>
      <c r="AG46" s="43">
        <v>0.0226491164958793</v>
      </c>
      <c r="AH46" s="43">
        <v>0.256856931060044</v>
      </c>
      <c r="AI46" s="44">
        <v>0.1769</v>
      </c>
      <c r="AJ46" s="44">
        <v>0.0336</v>
      </c>
      <c r="AK46" s="45">
        <v>0.0006</v>
      </c>
      <c r="AL46" s="45">
        <v>0</v>
      </c>
      <c r="AM46" s="45">
        <v>0.1125</v>
      </c>
      <c r="AN46" s="43">
        <v>0.0183560971089696</v>
      </c>
      <c r="AO46" s="43">
        <v>0.267224951691982</v>
      </c>
      <c r="AP46" s="46"/>
      <c r="AQ46" s="29"/>
      <c r="AR46" s="29"/>
      <c r="AS46" s="29"/>
      <c r="AT46" s="29"/>
      <c r="AU46" s="29"/>
      <c r="AV46" s="29"/>
      <c r="AW46" s="29"/>
      <c r="AX46" s="29"/>
      <c r="AY46" s="29"/>
      <c r="AZ46" s="29"/>
      <c r="BA46" s="29"/>
      <c r="BB46" s="29"/>
      <c r="BC46" s="29"/>
      <c r="BD46" s="29"/>
      <c r="BE46" s="29"/>
      <c r="BF46" s="47">
        <v>0.15</v>
      </c>
      <c r="BG46" s="48">
        <v>13.2816296335402</v>
      </c>
      <c r="BH46" s="48">
        <v>24.282</v>
      </c>
      <c r="BI46" s="48">
        <f t="shared" si="3"/>
        <v>0.546974286860234</v>
      </c>
      <c r="BJ46" s="45">
        <v>0.2652</v>
      </c>
      <c r="BK46" s="45">
        <v>0.211</v>
      </c>
      <c r="BL46" s="45"/>
      <c r="BM46" s="37"/>
      <c r="BN46" s="37"/>
      <c r="BO46" s="49"/>
      <c r="BP46" s="37"/>
      <c r="BQ46" s="37"/>
      <c r="BR46" s="49"/>
      <c r="BS46" s="29"/>
      <c r="BT46" s="29"/>
      <c r="BU46" s="29"/>
      <c r="BV46" s="29"/>
      <c r="BW46" s="29"/>
      <c r="BX46" s="29"/>
      <c r="BY46" s="29"/>
      <c r="BZ46" s="29"/>
      <c r="CA46" s="29"/>
      <c r="CB46" s="29"/>
      <c r="CC46" s="29"/>
      <c r="CD46" s="29"/>
      <c r="CE46" s="29"/>
      <c r="CF46" s="29"/>
      <c r="CG46" s="29"/>
      <c r="CH46" s="29"/>
      <c r="CI46" s="29"/>
      <c r="CJ46" s="29"/>
      <c r="CK46" s="29"/>
    </row>
    <row r="47" ht="33" spans="1:89">
      <c r="A47" s="29" t="s">
        <v>274</v>
      </c>
      <c r="B47" s="30" t="s">
        <v>275</v>
      </c>
      <c r="C47" s="29" t="s">
        <v>276</v>
      </c>
      <c r="D47" s="31"/>
      <c r="E47" s="32">
        <v>46007</v>
      </c>
      <c r="F47" s="33">
        <v>35</v>
      </c>
      <c r="G47" s="34">
        <f t="shared" si="1"/>
        <v>125</v>
      </c>
      <c r="H47" s="35">
        <v>1</v>
      </c>
      <c r="I47" s="36">
        <v>22.787610619469</v>
      </c>
      <c r="J47" s="35">
        <v>4.4159212925</v>
      </c>
      <c r="K47" s="35">
        <v>47.124</v>
      </c>
      <c r="L47" s="35">
        <v>66.31428</v>
      </c>
      <c r="M47" s="35">
        <v>3.57918</v>
      </c>
      <c r="N47" s="35">
        <v>8.9118718656</v>
      </c>
      <c r="O47" s="35">
        <v>0</v>
      </c>
      <c r="P47" s="35">
        <v>2.34997234513274</v>
      </c>
      <c r="Q47" s="37" t="s">
        <v>93</v>
      </c>
      <c r="R47" s="35" t="s">
        <v>94</v>
      </c>
      <c r="S47" s="35">
        <v>6.8</v>
      </c>
      <c r="T47" s="38" t="s">
        <v>277</v>
      </c>
      <c r="U47" s="39">
        <v>56.1355</v>
      </c>
      <c r="V47" s="38">
        <v>15.8800000000001</v>
      </c>
      <c r="W47" s="40"/>
      <c r="X47" s="35"/>
      <c r="Y47" s="35"/>
      <c r="Z47" s="35"/>
      <c r="AA47" s="35"/>
      <c r="AB47" s="35">
        <v>24.282</v>
      </c>
      <c r="AC47" s="41">
        <v>0.1</v>
      </c>
      <c r="AD47" s="42">
        <v>19.9332098753941</v>
      </c>
      <c r="AE47" s="43">
        <v>0.124207531828964</v>
      </c>
      <c r="AF47" s="43">
        <v>0.0128089017198619</v>
      </c>
      <c r="AG47" s="43">
        <v>0.0240696882903458</v>
      </c>
      <c r="AH47" s="43">
        <v>0.256856931060044</v>
      </c>
      <c r="AI47" s="44">
        <v>0.1769</v>
      </c>
      <c r="AJ47" s="44">
        <v>0.0336</v>
      </c>
      <c r="AK47" s="45">
        <v>0.0006</v>
      </c>
      <c r="AL47" s="45">
        <v>0</v>
      </c>
      <c r="AM47" s="45">
        <v>0.1125</v>
      </c>
      <c r="AN47" s="43">
        <v>0.0195088954781319</v>
      </c>
      <c r="AO47" s="43">
        <v>0.254648051622653</v>
      </c>
      <c r="AP47" s="46"/>
      <c r="AQ47" s="29"/>
      <c r="AR47" s="29"/>
      <c r="AS47" s="29"/>
      <c r="AT47" s="29"/>
      <c r="AU47" s="29"/>
      <c r="AV47" s="29"/>
      <c r="AW47" s="29"/>
      <c r="AX47" s="29"/>
      <c r="AY47" s="29"/>
      <c r="AZ47" s="29"/>
      <c r="BA47" s="29"/>
      <c r="BB47" s="29"/>
      <c r="BC47" s="29"/>
      <c r="BD47" s="29"/>
      <c r="BE47" s="29"/>
      <c r="BF47" s="47">
        <v>0.15</v>
      </c>
      <c r="BG47" s="48">
        <v>14.2926738078563</v>
      </c>
      <c r="BH47" s="48">
        <v>24.282</v>
      </c>
      <c r="BI47" s="48">
        <f t="shared" si="3"/>
        <v>0.588611885670715</v>
      </c>
      <c r="BJ47" s="45">
        <v>0.2652</v>
      </c>
      <c r="BK47" s="45">
        <v>0.211</v>
      </c>
      <c r="BL47" s="45"/>
      <c r="BM47" s="37"/>
      <c r="BN47" s="37"/>
      <c r="BO47" s="49"/>
      <c r="BP47" s="37"/>
      <c r="BQ47" s="37"/>
      <c r="BR47" s="49"/>
      <c r="BS47" s="29"/>
      <c r="BT47" s="29"/>
      <c r="BU47" s="29"/>
      <c r="BV47" s="29"/>
      <c r="BW47" s="29"/>
      <c r="BX47" s="29"/>
      <c r="BY47" s="29"/>
      <c r="BZ47" s="29"/>
      <c r="CA47" s="29"/>
      <c r="CB47" s="29"/>
      <c r="CC47" s="29"/>
      <c r="CD47" s="29"/>
      <c r="CE47" s="29"/>
      <c r="CF47" s="29"/>
      <c r="CG47" s="29"/>
      <c r="CH47" s="29"/>
      <c r="CI47" s="29"/>
      <c r="CJ47" s="29"/>
      <c r="CK47" s="29"/>
    </row>
    <row r="48" ht="33" spans="1:89">
      <c r="A48" s="29" t="s">
        <v>278</v>
      </c>
      <c r="B48" s="30" t="s">
        <v>279</v>
      </c>
      <c r="C48" s="29" t="s">
        <v>280</v>
      </c>
      <c r="D48" s="31"/>
      <c r="E48" s="32">
        <v>46007</v>
      </c>
      <c r="F48" s="33">
        <v>40</v>
      </c>
      <c r="G48" s="34">
        <f t="shared" si="1"/>
        <v>130</v>
      </c>
      <c r="H48" s="35">
        <v>0.833333333333333</v>
      </c>
      <c r="I48" s="36">
        <v>20.0442477876106</v>
      </c>
      <c r="J48" s="35">
        <v>6.8529179174</v>
      </c>
      <c r="K48" s="35">
        <v>53.516</v>
      </c>
      <c r="L48" s="35">
        <v>68.23868</v>
      </c>
      <c r="M48" s="35">
        <v>5.5539</v>
      </c>
      <c r="N48" s="35">
        <v>13.828766688</v>
      </c>
      <c r="O48" s="35">
        <v>0</v>
      </c>
      <c r="P48" s="35">
        <v>2.06706305309735</v>
      </c>
      <c r="Q48" s="37" t="s">
        <v>93</v>
      </c>
      <c r="R48" s="35" t="s">
        <v>94</v>
      </c>
      <c r="S48" s="35">
        <v>6.8</v>
      </c>
      <c r="T48" s="38" t="s">
        <v>281</v>
      </c>
      <c r="U48" s="39">
        <v>55.7635</v>
      </c>
      <c r="V48" s="38">
        <v>17.6300000000001</v>
      </c>
      <c r="W48" s="40"/>
      <c r="X48" s="35"/>
      <c r="Y48" s="35"/>
      <c r="Z48" s="35"/>
      <c r="AA48" s="35"/>
      <c r="AB48" s="35">
        <v>23.382</v>
      </c>
      <c r="AC48" s="41">
        <v>0.1</v>
      </c>
      <c r="AD48" s="42">
        <v>21.8648799283974</v>
      </c>
      <c r="AE48" s="43">
        <v>0.113459718944497</v>
      </c>
      <c r="AF48" s="43">
        <v>0.0117005335161513</v>
      </c>
      <c r="AG48" s="43">
        <v>0.0387906869390481</v>
      </c>
      <c r="AH48" s="43">
        <v>0.30292532717475</v>
      </c>
      <c r="AI48" s="44">
        <v>0.1769</v>
      </c>
      <c r="AJ48" s="44">
        <v>0.0336</v>
      </c>
      <c r="AK48" s="45">
        <v>0.0006</v>
      </c>
      <c r="AL48" s="45">
        <v>0</v>
      </c>
      <c r="AM48" s="45">
        <v>0.1125</v>
      </c>
      <c r="AN48" s="43">
        <v>0.0314376443418014</v>
      </c>
      <c r="AO48" s="43">
        <v>0.193786089083752</v>
      </c>
      <c r="AP48" s="46"/>
      <c r="AQ48" s="29"/>
      <c r="AR48" s="29"/>
      <c r="AS48" s="29"/>
      <c r="AT48" s="29"/>
      <c r="AU48" s="29"/>
      <c r="AV48" s="29"/>
      <c r="AW48" s="29"/>
      <c r="AX48" s="29"/>
      <c r="AY48" s="29"/>
      <c r="AZ48" s="29"/>
      <c r="BA48" s="29"/>
      <c r="BB48" s="29"/>
      <c r="BC48" s="29"/>
      <c r="BD48" s="29"/>
      <c r="BE48" s="29"/>
      <c r="BF48" s="47">
        <v>0.15</v>
      </c>
      <c r="BG48" s="48">
        <v>14.131709699373</v>
      </c>
      <c r="BH48" s="48">
        <v>23.382</v>
      </c>
      <c r="BI48" s="48">
        <f t="shared" si="3"/>
        <v>0.604384128790223</v>
      </c>
      <c r="BJ48" s="45">
        <v>0.2652</v>
      </c>
      <c r="BK48" s="45">
        <v>0.211</v>
      </c>
      <c r="BL48" s="45"/>
      <c r="BM48" s="37"/>
      <c r="BN48" s="37"/>
      <c r="BO48" s="49"/>
      <c r="BP48" s="37"/>
      <c r="BQ48" s="37"/>
      <c r="BR48" s="49"/>
      <c r="BS48" s="29"/>
      <c r="BT48" s="29"/>
      <c r="BU48" s="29"/>
      <c r="BV48" s="29"/>
      <c r="BW48" s="29"/>
      <c r="BX48" s="29"/>
      <c r="BY48" s="29"/>
      <c r="BZ48" s="29"/>
      <c r="CA48" s="29"/>
      <c r="CB48" s="29"/>
      <c r="CC48" s="29"/>
      <c r="CD48" s="29"/>
      <c r="CE48" s="29"/>
      <c r="CF48" s="29"/>
      <c r="CG48" s="29"/>
      <c r="CH48" s="29"/>
      <c r="CI48" s="29"/>
      <c r="CJ48" s="29"/>
      <c r="CK48" s="29"/>
    </row>
    <row r="49" ht="33" spans="1:89">
      <c r="A49" s="29" t="s">
        <v>282</v>
      </c>
      <c r="B49" s="30" t="s">
        <v>283</v>
      </c>
      <c r="C49" s="29" t="s">
        <v>284</v>
      </c>
      <c r="D49" s="31"/>
      <c r="E49" s="32">
        <v>46007</v>
      </c>
      <c r="F49" s="33">
        <v>40</v>
      </c>
      <c r="G49" s="34">
        <f t="shared" si="1"/>
        <v>130</v>
      </c>
      <c r="H49" s="35">
        <v>1.25</v>
      </c>
      <c r="I49" s="36">
        <v>18.6591504424779</v>
      </c>
      <c r="J49" s="35">
        <v>3.5819590867</v>
      </c>
      <c r="K49" s="35">
        <v>47.124</v>
      </c>
      <c r="L49" s="35">
        <v>66.31428</v>
      </c>
      <c r="M49" s="35">
        <v>2.903175</v>
      </c>
      <c r="N49" s="35">
        <v>7.228673496</v>
      </c>
      <c r="O49" s="35">
        <v>0</v>
      </c>
      <c r="P49" s="35">
        <v>1.92422488938053</v>
      </c>
      <c r="Q49" s="37" t="s">
        <v>93</v>
      </c>
      <c r="R49" s="35" t="s">
        <v>94</v>
      </c>
      <c r="S49" s="35">
        <v>6.8</v>
      </c>
      <c r="T49" s="38" t="s">
        <v>285</v>
      </c>
      <c r="U49" s="39">
        <v>55.348999</v>
      </c>
      <c r="V49" s="38">
        <v>9.80999999999995</v>
      </c>
      <c r="W49" s="40"/>
      <c r="X49" s="35"/>
      <c r="Y49" s="35"/>
      <c r="Z49" s="35"/>
      <c r="AA49" s="35"/>
      <c r="AB49" s="35">
        <v>22.482</v>
      </c>
      <c r="AC49" s="41">
        <v>0.1</v>
      </c>
      <c r="AD49" s="42">
        <v>18.4270615601892</v>
      </c>
      <c r="AE49" s="43">
        <v>0.109847586554408</v>
      </c>
      <c r="AF49" s="43">
        <v>0.0113280323634233</v>
      </c>
      <c r="AG49" s="43">
        <v>0.0210872173426977</v>
      </c>
      <c r="AH49" s="43">
        <v>0.27742193755004</v>
      </c>
      <c r="AI49" s="44">
        <v>0.1769</v>
      </c>
      <c r="AJ49" s="44">
        <v>0.0336</v>
      </c>
      <c r="AK49" s="45">
        <v>0.0006</v>
      </c>
      <c r="AL49" s="45">
        <v>0</v>
      </c>
      <c r="AM49" s="45">
        <v>0.1125</v>
      </c>
      <c r="AN49" s="43">
        <v>0.0170911729383507</v>
      </c>
      <c r="AO49" s="43">
        <v>0.255324053251081</v>
      </c>
      <c r="AP49" s="46"/>
      <c r="AQ49" s="29"/>
      <c r="AR49" s="29"/>
      <c r="AS49" s="29"/>
      <c r="AT49" s="29"/>
      <c r="AU49" s="29"/>
      <c r="AV49" s="29"/>
      <c r="AW49" s="29"/>
      <c r="AX49" s="29"/>
      <c r="AY49" s="29"/>
      <c r="AZ49" s="29"/>
      <c r="BA49" s="29"/>
      <c r="BB49" s="29"/>
      <c r="BC49" s="29"/>
      <c r="BD49" s="29"/>
      <c r="BE49" s="29"/>
      <c r="BF49" s="47">
        <v>0.15</v>
      </c>
      <c r="BG49" s="48">
        <v>11.6854283720961</v>
      </c>
      <c r="BH49" s="48">
        <v>22.482</v>
      </c>
      <c r="BI49" s="48">
        <f t="shared" si="3"/>
        <v>0.519768186642474</v>
      </c>
      <c r="BJ49" s="45">
        <v>0.2652</v>
      </c>
      <c r="BK49" s="45">
        <v>0.211</v>
      </c>
      <c r="BL49" s="45"/>
      <c r="BM49" s="37"/>
      <c r="BN49" s="37"/>
      <c r="BO49" s="49"/>
      <c r="BP49" s="37"/>
      <c r="BQ49" s="37"/>
      <c r="BR49" s="49"/>
      <c r="BS49" s="29"/>
      <c r="BT49" s="29"/>
      <c r="BU49" s="29"/>
      <c r="BV49" s="29"/>
      <c r="BW49" s="29"/>
      <c r="BX49" s="29"/>
      <c r="BY49" s="29"/>
      <c r="BZ49" s="29"/>
      <c r="CA49" s="29"/>
      <c r="CB49" s="29"/>
      <c r="CC49" s="29"/>
      <c r="CD49" s="29"/>
      <c r="CE49" s="29"/>
      <c r="CF49" s="29"/>
      <c r="CG49" s="29"/>
      <c r="CH49" s="29"/>
      <c r="CI49" s="29"/>
      <c r="CJ49" s="29"/>
      <c r="CK49" s="29"/>
    </row>
    <row r="50" ht="33" spans="1:89">
      <c r="A50" s="29" t="s">
        <v>286</v>
      </c>
      <c r="B50" s="30" t="s">
        <v>287</v>
      </c>
      <c r="C50" s="29" t="s">
        <v>288</v>
      </c>
      <c r="D50" s="31"/>
      <c r="E50" s="32">
        <v>46007</v>
      </c>
      <c r="F50" s="33">
        <v>40</v>
      </c>
      <c r="G50" s="34">
        <f t="shared" si="1"/>
        <v>130</v>
      </c>
      <c r="H50" s="35">
        <v>2.5</v>
      </c>
      <c r="I50" s="36">
        <v>18</v>
      </c>
      <c r="J50" s="35">
        <v>4.2050103868</v>
      </c>
      <c r="K50" s="35">
        <v>47.124</v>
      </c>
      <c r="L50" s="35">
        <v>66.31428</v>
      </c>
      <c r="M50" s="35">
        <v>3.408075</v>
      </c>
      <c r="N50" s="35">
        <v>8.485834104</v>
      </c>
      <c r="O50" s="35">
        <v>0</v>
      </c>
      <c r="P50" s="35">
        <v>1.85625</v>
      </c>
      <c r="Q50" s="37" t="s">
        <v>93</v>
      </c>
      <c r="R50" s="35" t="s">
        <v>94</v>
      </c>
      <c r="S50" s="35">
        <v>6.8</v>
      </c>
      <c r="T50" s="38" t="s">
        <v>289</v>
      </c>
      <c r="U50" s="39">
        <v>55.0852</v>
      </c>
      <c r="V50" s="38">
        <v>13.51</v>
      </c>
      <c r="W50" s="40"/>
      <c r="X50" s="35"/>
      <c r="Y50" s="35"/>
      <c r="Z50" s="35"/>
      <c r="AA50" s="35"/>
      <c r="AB50" s="35">
        <v>22.122</v>
      </c>
      <c r="AC50" s="41">
        <v>0.1</v>
      </c>
      <c r="AD50" s="42">
        <v>18.5266139927675</v>
      </c>
      <c r="AE50" s="43">
        <v>0.107691571339683</v>
      </c>
      <c r="AF50" s="43">
        <v>0.0111056932944048</v>
      </c>
      <c r="AG50" s="43">
        <v>0.0251580097807878</v>
      </c>
      <c r="AH50" s="43">
        <v>0.28193653376729</v>
      </c>
      <c r="AI50" s="44">
        <v>0.1769</v>
      </c>
      <c r="AJ50" s="44">
        <v>0.0336</v>
      </c>
      <c r="AK50" s="45">
        <v>0.0006</v>
      </c>
      <c r="AL50" s="45">
        <v>0</v>
      </c>
      <c r="AM50" s="45">
        <v>0.1125</v>
      </c>
      <c r="AN50" s="43">
        <v>0.0203900528885273</v>
      </c>
      <c r="AO50" s="43">
        <v>0.245818138929307</v>
      </c>
      <c r="AP50" s="46"/>
      <c r="AQ50" s="29"/>
      <c r="AR50" s="29"/>
      <c r="AS50" s="29"/>
      <c r="AT50" s="29"/>
      <c r="AU50" s="29"/>
      <c r="AV50" s="29"/>
      <c r="AW50" s="29"/>
      <c r="AX50" s="29"/>
      <c r="AY50" s="29"/>
      <c r="AZ50" s="29"/>
      <c r="BA50" s="29"/>
      <c r="BB50" s="29"/>
      <c r="BC50" s="29"/>
      <c r="BD50" s="29"/>
      <c r="BE50" s="29"/>
      <c r="BF50" s="47">
        <v>0.15</v>
      </c>
      <c r="BG50" s="48">
        <v>11.6664619647773</v>
      </c>
      <c r="BH50" s="48">
        <v>22.122</v>
      </c>
      <c r="BI50" s="48">
        <f t="shared" si="3"/>
        <v>0.527369223613475</v>
      </c>
      <c r="BJ50" s="45">
        <v>0.2652</v>
      </c>
      <c r="BK50" s="45">
        <v>0.211</v>
      </c>
      <c r="BL50" s="45"/>
      <c r="BM50" s="37"/>
      <c r="BN50" s="37"/>
      <c r="BO50" s="49"/>
      <c r="BP50" s="37"/>
      <c r="BQ50" s="37"/>
      <c r="BR50" s="49"/>
      <c r="BS50" s="29"/>
      <c r="BT50" s="29"/>
      <c r="BU50" s="29"/>
      <c r="BV50" s="29"/>
      <c r="BW50" s="29"/>
      <c r="BX50" s="29"/>
      <c r="BY50" s="29"/>
      <c r="BZ50" s="29"/>
      <c r="CA50" s="29"/>
      <c r="CB50" s="29"/>
      <c r="CC50" s="29"/>
      <c r="CD50" s="29"/>
      <c r="CE50" s="29"/>
      <c r="CF50" s="29"/>
      <c r="CG50" s="29"/>
      <c r="CH50" s="29"/>
      <c r="CI50" s="29"/>
      <c r="CJ50" s="29"/>
      <c r="CK50" s="29"/>
    </row>
    <row r="51" ht="33" spans="1:89">
      <c r="A51" s="29" t="s">
        <v>290</v>
      </c>
      <c r="B51" s="30" t="s">
        <v>291</v>
      </c>
      <c r="C51" s="29" t="s">
        <v>292</v>
      </c>
      <c r="D51" s="31"/>
      <c r="E51" s="32">
        <v>46007</v>
      </c>
      <c r="F51" s="33">
        <v>35</v>
      </c>
      <c r="G51" s="34">
        <f t="shared" si="1"/>
        <v>125</v>
      </c>
      <c r="H51" s="35">
        <v>1</v>
      </c>
      <c r="I51" s="36">
        <v>19.716814159292</v>
      </c>
      <c r="J51" s="35">
        <v>5.233151812</v>
      </c>
      <c r="K51" s="35">
        <v>51.34</v>
      </c>
      <c r="L51" s="35">
        <v>68.23868</v>
      </c>
      <c r="M51" s="35">
        <v>4.24116</v>
      </c>
      <c r="N51" s="35">
        <v>10.5601491072</v>
      </c>
      <c r="O51" s="35">
        <v>0</v>
      </c>
      <c r="P51" s="35">
        <v>2.03329646017699</v>
      </c>
      <c r="Q51" s="37" t="s">
        <v>93</v>
      </c>
      <c r="R51" s="35" t="s">
        <v>94</v>
      </c>
      <c r="S51" s="35">
        <v>6.8</v>
      </c>
      <c r="T51" s="38" t="s">
        <v>293</v>
      </c>
      <c r="U51" s="39">
        <v>53.7971</v>
      </c>
      <c r="V51" s="38">
        <v>18.8399999999999</v>
      </c>
      <c r="W51" s="40"/>
      <c r="X51" s="35"/>
      <c r="Y51" s="35"/>
      <c r="Z51" s="35"/>
      <c r="AA51" s="35"/>
      <c r="AB51" s="35">
        <v>20.682</v>
      </c>
      <c r="AC51" s="41">
        <v>0.1</v>
      </c>
      <c r="AD51" s="42">
        <v>20.5063786998095</v>
      </c>
      <c r="AE51" s="43">
        <v>0.126176305222521</v>
      </c>
      <c r="AF51" s="43">
        <v>0.0130119314760725</v>
      </c>
      <c r="AG51" s="43">
        <v>0.0334891709670814</v>
      </c>
      <c r="AH51" s="43">
        <v>0.328546562228024</v>
      </c>
      <c r="AI51" s="44">
        <v>0.1769</v>
      </c>
      <c r="AJ51" s="44">
        <v>0.0336</v>
      </c>
      <c r="AK51" s="45">
        <v>0.0006</v>
      </c>
      <c r="AL51" s="45">
        <v>0</v>
      </c>
      <c r="AM51" s="45">
        <v>0.1125</v>
      </c>
      <c r="AN51" s="43">
        <v>0.0271409921671018</v>
      </c>
      <c r="AO51" s="43">
        <v>0.163735037939199</v>
      </c>
      <c r="AP51" s="46"/>
      <c r="AQ51" s="29"/>
      <c r="AR51" s="29"/>
      <c r="AS51" s="29"/>
      <c r="AT51" s="29"/>
      <c r="AU51" s="29"/>
      <c r="AV51" s="29"/>
      <c r="AW51" s="29"/>
      <c r="AX51" s="29"/>
      <c r="AY51" s="29"/>
      <c r="AZ51" s="29"/>
      <c r="BA51" s="29"/>
      <c r="BB51" s="29"/>
      <c r="BC51" s="29"/>
      <c r="BD51" s="29"/>
      <c r="BE51" s="29"/>
      <c r="BF51" s="47">
        <v>0.15</v>
      </c>
      <c r="BG51" s="48">
        <v>13.1086553870563</v>
      </c>
      <c r="BH51" s="48">
        <v>20.682</v>
      </c>
      <c r="BI51" s="48">
        <f t="shared" si="3"/>
        <v>0.633819523598119</v>
      </c>
      <c r="BJ51" s="45">
        <v>0.2652</v>
      </c>
      <c r="BK51" s="45">
        <v>0.211</v>
      </c>
      <c r="BL51" s="45"/>
      <c r="BM51" s="37"/>
      <c r="BN51" s="37"/>
      <c r="BO51" s="49"/>
      <c r="BP51" s="37"/>
      <c r="BQ51" s="37"/>
      <c r="BR51" s="49"/>
      <c r="BS51" s="29"/>
      <c r="BT51" s="29"/>
      <c r="BU51" s="29"/>
      <c r="BV51" s="29"/>
      <c r="BW51" s="29"/>
      <c r="BX51" s="29"/>
      <c r="BY51" s="29"/>
      <c r="BZ51" s="29"/>
      <c r="CA51" s="29"/>
      <c r="CB51" s="29"/>
      <c r="CC51" s="29"/>
      <c r="CD51" s="29"/>
      <c r="CE51" s="29"/>
      <c r="CF51" s="29"/>
      <c r="CG51" s="29"/>
      <c r="CH51" s="29"/>
      <c r="CI51" s="29"/>
      <c r="CJ51" s="29"/>
      <c r="CK51" s="29"/>
    </row>
    <row r="52" ht="33" spans="1:89">
      <c r="A52" s="29" t="s">
        <v>294</v>
      </c>
      <c r="B52" s="30" t="s">
        <v>295</v>
      </c>
      <c r="C52" s="29" t="s">
        <v>296</v>
      </c>
      <c r="D52" s="31"/>
      <c r="E52" s="32">
        <v>46007</v>
      </c>
      <c r="F52" s="33">
        <v>35</v>
      </c>
      <c r="G52" s="34">
        <f t="shared" si="1"/>
        <v>125</v>
      </c>
      <c r="H52" s="35">
        <v>1.66666666666667</v>
      </c>
      <c r="I52" s="36">
        <v>17.646017699115</v>
      </c>
      <c r="J52" s="35">
        <v>3.2891801527</v>
      </c>
      <c r="K52" s="35">
        <v>47.124</v>
      </c>
      <c r="L52" s="35">
        <v>66.31428</v>
      </c>
      <c r="M52" s="35">
        <v>2.665872</v>
      </c>
      <c r="N52" s="35">
        <v>6.63780801024</v>
      </c>
      <c r="O52" s="35">
        <v>0</v>
      </c>
      <c r="P52" s="35">
        <v>1.81974557522124</v>
      </c>
      <c r="Q52" s="37" t="s">
        <v>93</v>
      </c>
      <c r="R52" s="35" t="s">
        <v>94</v>
      </c>
      <c r="S52" s="35">
        <v>6.8</v>
      </c>
      <c r="T52" s="38" t="s">
        <v>297</v>
      </c>
      <c r="U52" s="39">
        <v>50.9519</v>
      </c>
      <c r="V52" s="38">
        <v>10.8199999999999</v>
      </c>
      <c r="W52" s="40"/>
      <c r="X52" s="35"/>
      <c r="Y52" s="35"/>
      <c r="Z52" s="35"/>
      <c r="AA52" s="35"/>
      <c r="AB52" s="35">
        <v>22.482</v>
      </c>
      <c r="AC52" s="41">
        <v>0.1</v>
      </c>
      <c r="AD52" s="42">
        <v>18.0178267351094</v>
      </c>
      <c r="AE52" s="43">
        <v>0.103883210680986</v>
      </c>
      <c r="AF52" s="43">
        <v>0.0107129561014767</v>
      </c>
      <c r="AG52" s="43">
        <v>0.0193636094328404</v>
      </c>
      <c r="AH52" s="43">
        <v>0.27742193755004</v>
      </c>
      <c r="AI52" s="44">
        <v>0.1769</v>
      </c>
      <c r="AJ52" s="44">
        <v>0.0336</v>
      </c>
      <c r="AK52" s="45">
        <v>0.0006</v>
      </c>
      <c r="AL52" s="45">
        <v>0</v>
      </c>
      <c r="AM52" s="45">
        <v>0.1125</v>
      </c>
      <c r="AN52" s="43">
        <v>0.0156941553242594</v>
      </c>
      <c r="AO52" s="43">
        <v>0.265024130910397</v>
      </c>
      <c r="AP52" s="46"/>
      <c r="AQ52" s="29"/>
      <c r="AR52" s="29"/>
      <c r="AS52" s="29"/>
      <c r="AT52" s="29"/>
      <c r="AU52" s="29"/>
      <c r="AV52" s="29"/>
      <c r="AW52" s="29"/>
      <c r="AX52" s="29"/>
      <c r="AY52" s="29"/>
      <c r="AZ52" s="29"/>
      <c r="BA52" s="29"/>
      <c r="BB52" s="29"/>
      <c r="BC52" s="29"/>
      <c r="BD52" s="29"/>
      <c r="BE52" s="29"/>
      <c r="BF52" s="47">
        <v>0.15</v>
      </c>
      <c r="BG52" s="48">
        <v>10.9993053463501</v>
      </c>
      <c r="BH52" s="48">
        <v>22.482</v>
      </c>
      <c r="BI52" s="48">
        <f t="shared" si="3"/>
        <v>0.489249414925278</v>
      </c>
      <c r="BJ52" s="45">
        <v>0.2652</v>
      </c>
      <c r="BK52" s="45">
        <v>0.211</v>
      </c>
      <c r="BL52" s="45"/>
      <c r="BM52" s="37"/>
      <c r="BN52" s="37"/>
      <c r="BO52" s="49"/>
      <c r="BP52" s="37"/>
      <c r="BQ52" s="37"/>
      <c r="BR52" s="49"/>
      <c r="BS52" s="29"/>
      <c r="BT52" s="29"/>
      <c r="BU52" s="29"/>
      <c r="BV52" s="29"/>
      <c r="BW52" s="29"/>
      <c r="BX52" s="29"/>
      <c r="BY52" s="29"/>
      <c r="BZ52" s="29"/>
      <c r="CA52" s="29"/>
      <c r="CB52" s="29"/>
      <c r="CC52" s="29"/>
      <c r="CD52" s="29"/>
      <c r="CE52" s="29"/>
      <c r="CF52" s="29"/>
      <c r="CG52" s="29"/>
      <c r="CH52" s="29"/>
      <c r="CI52" s="29"/>
      <c r="CJ52" s="29"/>
      <c r="CK52" s="29"/>
    </row>
    <row r="53" ht="33" spans="1:89">
      <c r="A53" s="29" t="s">
        <v>298</v>
      </c>
      <c r="B53" s="30" t="s">
        <v>299</v>
      </c>
      <c r="C53" s="29" t="s">
        <v>300</v>
      </c>
      <c r="D53" s="31"/>
      <c r="E53" s="32">
        <v>46007</v>
      </c>
      <c r="F53" s="33">
        <v>40</v>
      </c>
      <c r="G53" s="34">
        <f t="shared" si="1"/>
        <v>130</v>
      </c>
      <c r="H53" s="35">
        <v>1</v>
      </c>
      <c r="I53" s="36">
        <v>19.1061946902655</v>
      </c>
      <c r="J53" s="35">
        <v>4.263994515</v>
      </c>
      <c r="K53" s="35">
        <v>47.124</v>
      </c>
      <c r="L53" s="35">
        <v>66.31428</v>
      </c>
      <c r="M53" s="35">
        <v>3.45576</v>
      </c>
      <c r="N53" s="35">
        <v>8.6045659392</v>
      </c>
      <c r="O53" s="35">
        <v>0</v>
      </c>
      <c r="P53" s="35">
        <v>1.97032632743363</v>
      </c>
      <c r="Q53" s="37" t="s">
        <v>93</v>
      </c>
      <c r="R53" s="35" t="s">
        <v>94</v>
      </c>
      <c r="S53" s="35">
        <v>6.8</v>
      </c>
      <c r="T53" s="38" t="s">
        <v>301</v>
      </c>
      <c r="U53" s="39">
        <v>50.6652</v>
      </c>
      <c r="V53" s="38">
        <v>7.95000000000004</v>
      </c>
      <c r="W53" s="40"/>
      <c r="X53" s="35"/>
      <c r="Y53" s="35"/>
      <c r="Z53" s="35"/>
      <c r="AA53" s="35"/>
      <c r="AB53" s="35">
        <v>26.082</v>
      </c>
      <c r="AC53" s="41">
        <v>0.1</v>
      </c>
      <c r="AD53" s="42">
        <v>18.8561837558985</v>
      </c>
      <c r="AE53" s="43">
        <v>0.096954262017748</v>
      </c>
      <c r="AF53" s="43">
        <v>0.00999840827058026</v>
      </c>
      <c r="AG53" s="43">
        <v>0.0216376127298746</v>
      </c>
      <c r="AH53" s="43">
        <v>0.239130434782609</v>
      </c>
      <c r="AI53" s="44">
        <v>0.1769</v>
      </c>
      <c r="AJ53" s="44">
        <v>0.0336</v>
      </c>
      <c r="AK53" s="45">
        <v>0.0006</v>
      </c>
      <c r="AL53" s="45">
        <v>0</v>
      </c>
      <c r="AM53" s="45">
        <v>0.1125</v>
      </c>
      <c r="AN53" s="43">
        <v>0.017536231884058</v>
      </c>
      <c r="AO53" s="43">
        <v>0.30684305031513</v>
      </c>
      <c r="AP53" s="46"/>
      <c r="AQ53" s="29"/>
      <c r="AR53" s="29"/>
      <c r="AS53" s="29"/>
      <c r="AT53" s="29"/>
      <c r="AU53" s="29"/>
      <c r="AV53" s="29"/>
      <c r="AW53" s="29"/>
      <c r="AX53" s="29"/>
      <c r="AY53" s="29"/>
      <c r="AZ53" s="29"/>
      <c r="BA53" s="29"/>
      <c r="BB53" s="29"/>
      <c r="BC53" s="29"/>
      <c r="BD53" s="29"/>
      <c r="BE53" s="29"/>
      <c r="BF53" s="47">
        <v>0.15</v>
      </c>
      <c r="BG53" s="48">
        <v>12.2786442664741</v>
      </c>
      <c r="BH53" s="48">
        <v>26.082</v>
      </c>
      <c r="BI53" s="48">
        <f t="shared" si="3"/>
        <v>0.470770810002074</v>
      </c>
      <c r="BJ53" s="45">
        <v>0.2652</v>
      </c>
      <c r="BK53" s="45">
        <v>0.211</v>
      </c>
      <c r="BL53" s="45"/>
      <c r="BM53" s="37"/>
      <c r="BN53" s="37"/>
      <c r="BO53" s="49"/>
      <c r="BP53" s="37"/>
      <c r="BQ53" s="37"/>
      <c r="BR53" s="49"/>
      <c r="BS53" s="29"/>
      <c r="BT53" s="29"/>
      <c r="BU53" s="29"/>
      <c r="BV53" s="29"/>
      <c r="BW53" s="29"/>
      <c r="BX53" s="29"/>
      <c r="BY53" s="29"/>
      <c r="BZ53" s="29"/>
      <c r="CA53" s="29"/>
      <c r="CB53" s="29"/>
      <c r="CC53" s="29"/>
      <c r="CD53" s="29"/>
      <c r="CE53" s="29"/>
      <c r="CF53" s="29"/>
      <c r="CG53" s="29"/>
      <c r="CH53" s="29"/>
      <c r="CI53" s="29"/>
      <c r="CJ53" s="29"/>
      <c r="CK53" s="29"/>
    </row>
    <row r="54" ht="33" spans="1:89">
      <c r="A54" s="29" t="s">
        <v>302</v>
      </c>
      <c r="B54" s="30" t="s">
        <v>303</v>
      </c>
      <c r="C54" s="29" t="s">
        <v>304</v>
      </c>
      <c r="D54" s="31"/>
      <c r="E54" s="32">
        <v>46007</v>
      </c>
      <c r="F54" s="33">
        <v>40</v>
      </c>
      <c r="G54" s="34">
        <f t="shared" si="1"/>
        <v>130</v>
      </c>
      <c r="H54" s="35">
        <v>1.25</v>
      </c>
      <c r="I54" s="36">
        <v>14.9212389380531</v>
      </c>
      <c r="J54" s="35">
        <v>4.1199089861</v>
      </c>
      <c r="K54" s="35">
        <v>47.124</v>
      </c>
      <c r="L54" s="35">
        <v>66.31428</v>
      </c>
      <c r="M54" s="35">
        <v>3.339072</v>
      </c>
      <c r="N54" s="35">
        <v>8.31402215424</v>
      </c>
      <c r="O54" s="35">
        <v>0</v>
      </c>
      <c r="P54" s="35">
        <v>1.53875276548673</v>
      </c>
      <c r="Q54" s="37" t="s">
        <v>93</v>
      </c>
      <c r="R54" s="35" t="s">
        <v>94</v>
      </c>
      <c r="S54" s="35">
        <v>6.8</v>
      </c>
      <c r="T54" s="38" t="s">
        <v>305</v>
      </c>
      <c r="U54" s="39">
        <v>50.6249</v>
      </c>
      <c r="V54" s="38">
        <v>8.99000000000001</v>
      </c>
      <c r="W54" s="40"/>
      <c r="X54" s="35"/>
      <c r="Y54" s="35"/>
      <c r="Z54" s="35"/>
      <c r="AA54" s="35"/>
      <c r="AB54" s="35">
        <v>23.382</v>
      </c>
      <c r="AC54" s="41">
        <v>0.1</v>
      </c>
      <c r="AD54" s="42">
        <v>17.6448167265167</v>
      </c>
      <c r="AE54" s="43">
        <v>0.0844611179303825</v>
      </c>
      <c r="AF54" s="43">
        <v>0.0087100527865707</v>
      </c>
      <c r="AG54" s="43">
        <v>0.0233205915528914</v>
      </c>
      <c r="AH54" s="43">
        <v>0.266743648960739</v>
      </c>
      <c r="AI54" s="44">
        <v>0.1769</v>
      </c>
      <c r="AJ54" s="44">
        <v>0.0336</v>
      </c>
      <c r="AK54" s="45">
        <v>0.0006</v>
      </c>
      <c r="AL54" s="45">
        <v>0</v>
      </c>
      <c r="AM54" s="45">
        <v>0.1125</v>
      </c>
      <c r="AN54" s="43">
        <v>0.0189006928406466</v>
      </c>
      <c r="AO54" s="43">
        <v>0.28996389592877</v>
      </c>
      <c r="AP54" s="46"/>
      <c r="AQ54" s="29"/>
      <c r="AR54" s="29"/>
      <c r="AS54" s="29"/>
      <c r="AT54" s="29"/>
      <c r="AU54" s="29"/>
      <c r="AV54" s="29"/>
      <c r="AW54" s="29"/>
      <c r="AX54" s="29"/>
      <c r="AY54" s="29"/>
      <c r="AZ54" s="29"/>
      <c r="BA54" s="29"/>
      <c r="BB54" s="29"/>
      <c r="BC54" s="29"/>
      <c r="BD54" s="29"/>
      <c r="BE54" s="29"/>
      <c r="BF54" s="47">
        <v>0.15</v>
      </c>
      <c r="BG54" s="48">
        <v>10.0041758212771</v>
      </c>
      <c r="BH54" s="48">
        <v>23.382</v>
      </c>
      <c r="BI54" s="48">
        <f t="shared" si="3"/>
        <v>0.427858002791767</v>
      </c>
      <c r="BJ54" s="45">
        <v>0.2652</v>
      </c>
      <c r="BK54" s="45">
        <v>0.211</v>
      </c>
      <c r="BL54" s="45"/>
      <c r="BM54" s="37"/>
      <c r="BN54" s="37"/>
      <c r="BO54" s="49"/>
      <c r="BP54" s="37"/>
      <c r="BQ54" s="37"/>
      <c r="BR54" s="49"/>
      <c r="BS54" s="29"/>
      <c r="BT54" s="29"/>
      <c r="BU54" s="29"/>
      <c r="BV54" s="29"/>
      <c r="BW54" s="29"/>
      <c r="BX54" s="29"/>
      <c r="BY54" s="29"/>
      <c r="BZ54" s="29"/>
      <c r="CA54" s="29"/>
      <c r="CB54" s="29"/>
      <c r="CC54" s="29"/>
      <c r="CD54" s="29"/>
      <c r="CE54" s="29"/>
      <c r="CF54" s="29"/>
      <c r="CG54" s="29"/>
      <c r="CH54" s="29"/>
      <c r="CI54" s="29"/>
      <c r="CJ54" s="29"/>
      <c r="CK54" s="29"/>
    </row>
    <row r="55" ht="33" spans="1:89">
      <c r="A55" s="29" t="s">
        <v>306</v>
      </c>
      <c r="B55" s="30" t="s">
        <v>307</v>
      </c>
      <c r="C55" s="29" t="s">
        <v>308</v>
      </c>
      <c r="D55" s="31"/>
      <c r="E55" s="32">
        <v>46007</v>
      </c>
      <c r="F55" s="33">
        <v>40</v>
      </c>
      <c r="G55" s="34">
        <f t="shared" si="1"/>
        <v>130</v>
      </c>
      <c r="H55" s="35">
        <v>1.25</v>
      </c>
      <c r="I55" s="36">
        <v>18.283185840708</v>
      </c>
      <c r="J55" s="35">
        <v>3.8541425621</v>
      </c>
      <c r="K55" s="35">
        <v>47.124</v>
      </c>
      <c r="L55" s="35">
        <v>66.31428</v>
      </c>
      <c r="M55" s="35">
        <v>3.123648</v>
      </c>
      <c r="N55" s="35">
        <v>7.77763362816</v>
      </c>
      <c r="O55" s="35">
        <v>0</v>
      </c>
      <c r="P55" s="35">
        <v>1.88545353982301</v>
      </c>
      <c r="Q55" s="37" t="s">
        <v>93</v>
      </c>
      <c r="R55" s="35" t="s">
        <v>94</v>
      </c>
      <c r="S55" s="35">
        <v>6.8</v>
      </c>
      <c r="T55" s="38" t="s">
        <v>309</v>
      </c>
      <c r="U55" s="39">
        <v>44.8833</v>
      </c>
      <c r="V55" s="38">
        <v>12.52</v>
      </c>
      <c r="W55" s="40"/>
      <c r="X55" s="35"/>
      <c r="Y55" s="35"/>
      <c r="Z55" s="35"/>
      <c r="AA55" s="35"/>
      <c r="AB55" s="35">
        <v>24.552</v>
      </c>
      <c r="AC55" s="41">
        <v>0.1</v>
      </c>
      <c r="AD55" s="42">
        <v>18.4464145421161</v>
      </c>
      <c r="AE55" s="43">
        <v>0.098559523464227</v>
      </c>
      <c r="AF55" s="43">
        <v>0.0101639508572484</v>
      </c>
      <c r="AG55" s="43">
        <v>0.020776600839335</v>
      </c>
      <c r="AH55" s="43">
        <v>0.254032258064516</v>
      </c>
      <c r="AI55" s="44">
        <v>0.1769</v>
      </c>
      <c r="AJ55" s="44">
        <v>0.0336</v>
      </c>
      <c r="AK55" s="45">
        <v>0.0006</v>
      </c>
      <c r="AL55" s="45">
        <v>0</v>
      </c>
      <c r="AM55" s="45">
        <v>0.1125</v>
      </c>
      <c r="AN55" s="43">
        <v>0.0168387096774194</v>
      </c>
      <c r="AO55" s="43">
        <v>0.291728957097254</v>
      </c>
      <c r="AP55" s="46"/>
      <c r="AQ55" s="29"/>
      <c r="AR55" s="29"/>
      <c r="AS55" s="29"/>
      <c r="AT55" s="29"/>
      <c r="AU55" s="29"/>
      <c r="AV55" s="29"/>
      <c r="AW55" s="29"/>
      <c r="AX55" s="29"/>
      <c r="AY55" s="29"/>
      <c r="AZ55" s="29"/>
      <c r="BA55" s="29"/>
      <c r="BB55" s="29"/>
      <c r="BC55" s="29"/>
      <c r="BD55" s="29"/>
      <c r="BE55" s="29"/>
      <c r="BF55" s="47">
        <v>0.15</v>
      </c>
      <c r="BG55" s="48">
        <v>11.6309020042914</v>
      </c>
      <c r="BH55" s="48">
        <v>24.552</v>
      </c>
      <c r="BI55" s="48">
        <f t="shared" si="3"/>
        <v>0.473725236408089</v>
      </c>
      <c r="BJ55" s="45">
        <v>0.2652</v>
      </c>
      <c r="BK55" s="45">
        <v>0.211</v>
      </c>
      <c r="BL55" s="45"/>
      <c r="BM55" s="37"/>
      <c r="BN55" s="37"/>
      <c r="BO55" s="49"/>
      <c r="BP55" s="37"/>
      <c r="BQ55" s="37"/>
      <c r="BR55" s="49"/>
      <c r="BS55" s="29"/>
      <c r="BT55" s="29"/>
      <c r="BU55" s="29"/>
      <c r="BV55" s="29"/>
      <c r="BW55" s="29"/>
      <c r="BX55" s="29"/>
      <c r="BY55" s="29"/>
      <c r="BZ55" s="29"/>
      <c r="CA55" s="29"/>
      <c r="CB55" s="29"/>
      <c r="CC55" s="29"/>
      <c r="CD55" s="29"/>
      <c r="CE55" s="29"/>
      <c r="CF55" s="29"/>
      <c r="CG55" s="29"/>
      <c r="CH55" s="29"/>
      <c r="CI55" s="29"/>
      <c r="CJ55" s="29"/>
      <c r="CK55" s="29"/>
    </row>
    <row r="56" ht="33" spans="1:89">
      <c r="A56" s="29" t="s">
        <v>310</v>
      </c>
      <c r="B56" s="30" t="s">
        <v>311</v>
      </c>
      <c r="C56" s="29" t="s">
        <v>312</v>
      </c>
      <c r="D56" s="31"/>
      <c r="E56" s="32">
        <v>46007</v>
      </c>
      <c r="F56" s="33">
        <v>40</v>
      </c>
      <c r="G56" s="34">
        <f t="shared" si="1"/>
        <v>130</v>
      </c>
      <c r="H56" s="35">
        <v>1.83333333333333</v>
      </c>
      <c r="I56" s="36">
        <v>17.7274336283186</v>
      </c>
      <c r="J56" s="35">
        <v>5.2143493426</v>
      </c>
      <c r="K56" s="35">
        <v>51.34</v>
      </c>
      <c r="L56" s="35">
        <v>68.23868</v>
      </c>
      <c r="M56" s="35">
        <v>4.226013</v>
      </c>
      <c r="N56" s="35">
        <v>10.52243428896</v>
      </c>
      <c r="O56" s="35">
        <v>0</v>
      </c>
      <c r="P56" s="35">
        <v>1.82814159292035</v>
      </c>
      <c r="Q56" s="37" t="s">
        <v>93</v>
      </c>
      <c r="R56" s="35" t="s">
        <v>94</v>
      </c>
      <c r="S56" s="35">
        <v>6.8</v>
      </c>
      <c r="T56" s="38" t="s">
        <v>313</v>
      </c>
      <c r="U56" s="39">
        <v>44.3714</v>
      </c>
      <c r="V56" s="38">
        <v>6.67000000000007</v>
      </c>
      <c r="W56" s="40"/>
      <c r="X56" s="35"/>
      <c r="Y56" s="35"/>
      <c r="Z56" s="35"/>
      <c r="AA56" s="35"/>
      <c r="AB56" s="35">
        <v>24.291</v>
      </c>
      <c r="AC56" s="41">
        <v>0.1</v>
      </c>
      <c r="AD56" s="42">
        <v>19.9528938781801</v>
      </c>
      <c r="AE56" s="43">
        <v>0.0965904236226848</v>
      </c>
      <c r="AF56" s="43">
        <v>0.00996088743608937</v>
      </c>
      <c r="AG56" s="43">
        <v>0.0284111181842948</v>
      </c>
      <c r="AH56" s="43">
        <v>0.279733234531308</v>
      </c>
      <c r="AI56" s="44">
        <v>0.1769</v>
      </c>
      <c r="AJ56" s="44">
        <v>0.0336</v>
      </c>
      <c r="AK56" s="45">
        <v>0.0006</v>
      </c>
      <c r="AL56" s="45">
        <v>0</v>
      </c>
      <c r="AM56" s="45">
        <v>0.1125</v>
      </c>
      <c r="AN56" s="43">
        <v>0.0230260281585772</v>
      </c>
      <c r="AO56" s="43">
        <v>0.254378308067046</v>
      </c>
      <c r="AP56" s="46"/>
      <c r="AQ56" s="29"/>
      <c r="AR56" s="29"/>
      <c r="AS56" s="29"/>
      <c r="AT56" s="29"/>
      <c r="AU56" s="29"/>
      <c r="AV56" s="29"/>
      <c r="AW56" s="29"/>
      <c r="AX56" s="29"/>
      <c r="AY56" s="29"/>
      <c r="AZ56" s="29"/>
      <c r="BA56" s="29"/>
      <c r="BB56" s="29"/>
      <c r="BC56" s="29"/>
      <c r="BD56" s="29"/>
      <c r="BE56" s="29"/>
      <c r="BF56" s="47">
        <v>0.15</v>
      </c>
      <c r="BG56" s="48">
        <v>12.0535606051103</v>
      </c>
      <c r="BH56" s="48">
        <v>24.291</v>
      </c>
      <c r="BI56" s="48">
        <f t="shared" si="3"/>
        <v>0.496215083986262</v>
      </c>
      <c r="BJ56" s="45">
        <v>0.2652</v>
      </c>
      <c r="BK56" s="45">
        <v>0.211</v>
      </c>
      <c r="BL56" s="45"/>
      <c r="BM56" s="37"/>
      <c r="BN56" s="37"/>
      <c r="BO56" s="49"/>
      <c r="BP56" s="37"/>
      <c r="BQ56" s="37"/>
      <c r="BR56" s="49"/>
      <c r="BS56" s="29"/>
      <c r="BT56" s="29"/>
      <c r="BU56" s="29"/>
      <c r="BV56" s="29"/>
      <c r="BW56" s="29"/>
      <c r="BX56" s="29"/>
      <c r="BY56" s="29"/>
      <c r="BZ56" s="29"/>
      <c r="CA56" s="29"/>
      <c r="CB56" s="29"/>
      <c r="CC56" s="29"/>
      <c r="CD56" s="29"/>
      <c r="CE56" s="29"/>
      <c r="CF56" s="29"/>
      <c r="CG56" s="29"/>
      <c r="CH56" s="29"/>
      <c r="CI56" s="29"/>
      <c r="CJ56" s="29"/>
      <c r="CK56" s="29"/>
    </row>
    <row r="57" ht="33" spans="1:89">
      <c r="A57" s="29" t="s">
        <v>314</v>
      </c>
      <c r="B57" s="30" t="s">
        <v>315</v>
      </c>
      <c r="C57" s="29" t="s">
        <v>316</v>
      </c>
      <c r="D57" s="31"/>
      <c r="E57" s="32">
        <v>46007</v>
      </c>
      <c r="F57" s="33">
        <v>35</v>
      </c>
      <c r="G57" s="34">
        <f t="shared" si="1"/>
        <v>125</v>
      </c>
      <c r="H57" s="35">
        <v>1.33333333333333</v>
      </c>
      <c r="I57" s="36">
        <v>21.5044247787611</v>
      </c>
      <c r="J57" s="35">
        <v>4.6515101456</v>
      </c>
      <c r="K57" s="35">
        <v>47.124</v>
      </c>
      <c r="L57" s="35">
        <v>66.31428</v>
      </c>
      <c r="M57" s="35">
        <v>3.76992</v>
      </c>
      <c r="N57" s="35">
        <v>9.3867992064</v>
      </c>
      <c r="O57" s="35">
        <v>0</v>
      </c>
      <c r="P57" s="35">
        <v>2.21764380530973</v>
      </c>
      <c r="Q57" s="37" t="s">
        <v>93</v>
      </c>
      <c r="R57" s="35" t="s">
        <v>94</v>
      </c>
      <c r="S57" s="35">
        <v>6.8</v>
      </c>
      <c r="T57" s="38" t="s">
        <v>317</v>
      </c>
      <c r="U57" s="39">
        <v>44.2112</v>
      </c>
      <c r="V57" s="38">
        <v>13.4300000000001</v>
      </c>
      <c r="W57" s="40"/>
      <c r="X57" s="35"/>
      <c r="Y57" s="35"/>
      <c r="Z57" s="35"/>
      <c r="AA57" s="35"/>
      <c r="AB57" s="35">
        <v>21.582</v>
      </c>
      <c r="AC57" s="41">
        <v>0.1</v>
      </c>
      <c r="AD57" s="42">
        <v>19.6875276259154</v>
      </c>
      <c r="AE57" s="43">
        <v>0.13187720636536</v>
      </c>
      <c r="AF57" s="43">
        <v>0.0135998369064278</v>
      </c>
      <c r="AG57" s="43">
        <v>0.0285256717951234</v>
      </c>
      <c r="AH57" s="43">
        <v>0.288990825688073</v>
      </c>
      <c r="AI57" s="44">
        <v>0.1769</v>
      </c>
      <c r="AJ57" s="44">
        <v>0.0336</v>
      </c>
      <c r="AK57" s="45">
        <v>0.0006</v>
      </c>
      <c r="AL57" s="45">
        <v>0</v>
      </c>
      <c r="AM57" s="45">
        <v>0.1125</v>
      </c>
      <c r="AN57" s="43">
        <v>0.0231192660550459</v>
      </c>
      <c r="AO57" s="43">
        <v>0.20598719318997</v>
      </c>
      <c r="AP57" s="46"/>
      <c r="AQ57" s="29"/>
      <c r="AR57" s="29"/>
      <c r="AS57" s="29"/>
      <c r="AT57" s="29"/>
      <c r="AU57" s="29"/>
      <c r="AV57" s="29"/>
      <c r="AW57" s="29"/>
      <c r="AX57" s="29"/>
      <c r="AY57" s="29"/>
      <c r="AZ57" s="29"/>
      <c r="BA57" s="29"/>
      <c r="BB57" s="29"/>
      <c r="BC57" s="29"/>
      <c r="BD57" s="29"/>
      <c r="BE57" s="29"/>
      <c r="BF57" s="47">
        <v>0.15</v>
      </c>
      <c r="BG57" s="48">
        <v>13.7422687327202</v>
      </c>
      <c r="BH57" s="48">
        <v>21.582</v>
      </c>
      <c r="BI57" s="48">
        <f t="shared" si="3"/>
        <v>0.636746767339459</v>
      </c>
      <c r="BJ57" s="45">
        <v>0.2652</v>
      </c>
      <c r="BK57" s="45">
        <v>0.211</v>
      </c>
      <c r="BL57" s="45"/>
      <c r="BM57" s="37"/>
      <c r="BN57" s="37"/>
      <c r="BO57" s="49"/>
      <c r="BP57" s="37"/>
      <c r="BQ57" s="37"/>
      <c r="BR57" s="49"/>
      <c r="BS57" s="29"/>
      <c r="BT57" s="29"/>
      <c r="BU57" s="29"/>
      <c r="BV57" s="29"/>
      <c r="BW57" s="29"/>
      <c r="BX57" s="29"/>
      <c r="BY57" s="29"/>
      <c r="BZ57" s="29"/>
      <c r="CA57" s="29"/>
      <c r="CB57" s="29"/>
      <c r="CC57" s="29"/>
      <c r="CD57" s="29"/>
      <c r="CE57" s="29"/>
      <c r="CF57" s="29"/>
      <c r="CG57" s="29"/>
      <c r="CH57" s="29"/>
      <c r="CI57" s="29"/>
      <c r="CJ57" s="29"/>
      <c r="CK57" s="29"/>
    </row>
    <row r="58" ht="33" spans="1:89">
      <c r="A58" s="29" t="s">
        <v>318</v>
      </c>
      <c r="B58" s="30" t="s">
        <v>319</v>
      </c>
      <c r="C58" s="29" t="s">
        <v>320</v>
      </c>
      <c r="D58" s="31"/>
      <c r="E58" s="32">
        <v>46007</v>
      </c>
      <c r="F58" s="33">
        <v>40</v>
      </c>
      <c r="G58" s="34">
        <f t="shared" si="1"/>
        <v>130</v>
      </c>
      <c r="H58" s="35">
        <v>1</v>
      </c>
      <c r="I58" s="36">
        <v>20.1504424778761</v>
      </c>
      <c r="J58" s="35">
        <v>4.4159212925</v>
      </c>
      <c r="K58" s="35">
        <v>47.124</v>
      </c>
      <c r="L58" s="35">
        <v>66.31428</v>
      </c>
      <c r="M58" s="35">
        <v>3.57918</v>
      </c>
      <c r="N58" s="35">
        <v>8.9118718656</v>
      </c>
      <c r="O58" s="35">
        <v>0</v>
      </c>
      <c r="P58" s="35">
        <v>2.07801438053097</v>
      </c>
      <c r="Q58" s="37" t="s">
        <v>93</v>
      </c>
      <c r="R58" s="35" t="s">
        <v>94</v>
      </c>
      <c r="S58" s="35">
        <v>6.8</v>
      </c>
      <c r="T58" s="38" t="s">
        <v>321</v>
      </c>
      <c r="U58" s="39">
        <v>43.0388</v>
      </c>
      <c r="V58" s="38">
        <v>12.9500000000001</v>
      </c>
      <c r="W58" s="40"/>
      <c r="X58" s="35"/>
      <c r="Y58" s="35"/>
      <c r="Z58" s="35"/>
      <c r="AA58" s="35"/>
      <c r="AB58" s="35">
        <v>24.282</v>
      </c>
      <c r="AC58" s="41">
        <v>0.1</v>
      </c>
      <c r="AD58" s="42">
        <v>19.2106754003465</v>
      </c>
      <c r="AE58" s="43">
        <v>0.109833223291088</v>
      </c>
      <c r="AF58" s="43">
        <v>0.0113265511518934</v>
      </c>
      <c r="AG58" s="43">
        <v>0.0240696882903458</v>
      </c>
      <c r="AH58" s="43">
        <v>0.256856931060044</v>
      </c>
      <c r="AI58" s="44">
        <v>0.1769</v>
      </c>
      <c r="AJ58" s="44">
        <v>0.0336</v>
      </c>
      <c r="AK58" s="45">
        <v>0.0006</v>
      </c>
      <c r="AL58" s="45">
        <v>0</v>
      </c>
      <c r="AM58" s="45">
        <v>0.1125</v>
      </c>
      <c r="AN58" s="43">
        <v>0.0195088954781319</v>
      </c>
      <c r="AO58" s="43">
        <v>0.270504710728497</v>
      </c>
      <c r="AP58" s="46"/>
      <c r="AQ58" s="29"/>
      <c r="AR58" s="29"/>
      <c r="AS58" s="29"/>
      <c r="AT58" s="29"/>
      <c r="AU58" s="29"/>
      <c r="AV58" s="29"/>
      <c r="AW58" s="29"/>
      <c r="AX58" s="29"/>
      <c r="AY58" s="29"/>
      <c r="AZ58" s="29"/>
      <c r="BA58" s="29"/>
      <c r="BB58" s="29"/>
      <c r="BC58" s="29"/>
      <c r="BD58" s="29"/>
      <c r="BE58" s="29"/>
      <c r="BF58" s="47">
        <v>0.15</v>
      </c>
      <c r="BG58" s="48">
        <v>12.9071116629763</v>
      </c>
      <c r="BH58" s="48">
        <v>24.282</v>
      </c>
      <c r="BI58" s="48">
        <f t="shared" si="3"/>
        <v>0.531550599743691</v>
      </c>
      <c r="BJ58" s="45">
        <v>0.2652</v>
      </c>
      <c r="BK58" s="45">
        <v>0.211</v>
      </c>
      <c r="BL58" s="45"/>
      <c r="BM58" s="37"/>
      <c r="BN58" s="37"/>
      <c r="BO58" s="49"/>
      <c r="BP58" s="37"/>
      <c r="BQ58" s="37"/>
      <c r="BR58" s="49"/>
      <c r="BS58" s="29"/>
      <c r="BT58" s="29"/>
      <c r="BU58" s="29"/>
      <c r="BV58" s="29"/>
      <c r="BW58" s="29"/>
      <c r="BX58" s="29"/>
      <c r="BY58" s="29"/>
      <c r="BZ58" s="29"/>
      <c r="CA58" s="29"/>
      <c r="CB58" s="29"/>
      <c r="CC58" s="29"/>
      <c r="CD58" s="29"/>
      <c r="CE58" s="29"/>
      <c r="CF58" s="29"/>
      <c r="CG58" s="29"/>
      <c r="CH58" s="29"/>
      <c r="CI58" s="29"/>
      <c r="CJ58" s="29"/>
      <c r="CK58" s="29"/>
    </row>
    <row r="59" ht="33" spans="1:89">
      <c r="A59" s="29" t="s">
        <v>322</v>
      </c>
      <c r="B59" s="30" t="s">
        <v>323</v>
      </c>
      <c r="C59" s="29" t="s">
        <v>324</v>
      </c>
      <c r="D59" s="31"/>
      <c r="E59" s="32">
        <v>46007</v>
      </c>
      <c r="F59" s="33">
        <v>40</v>
      </c>
      <c r="G59" s="34">
        <f t="shared" si="1"/>
        <v>130</v>
      </c>
      <c r="H59" s="35">
        <v>2.5</v>
      </c>
      <c r="I59" s="36">
        <v>15</v>
      </c>
      <c r="J59" s="35">
        <v>3.8373768448</v>
      </c>
      <c r="K59" s="35">
        <v>47.124</v>
      </c>
      <c r="L59" s="35">
        <v>66.31428</v>
      </c>
      <c r="M59" s="35">
        <v>3.110184</v>
      </c>
      <c r="N59" s="35">
        <v>7.74410934528</v>
      </c>
      <c r="O59" s="35">
        <v>0</v>
      </c>
      <c r="P59" s="35">
        <v>1.546875</v>
      </c>
      <c r="Q59" s="37" t="s">
        <v>93</v>
      </c>
      <c r="R59" s="35" t="s">
        <v>94</v>
      </c>
      <c r="S59" s="35">
        <v>6.8</v>
      </c>
      <c r="T59" s="38" t="s">
        <v>325</v>
      </c>
      <c r="U59" s="39">
        <v>42.666</v>
      </c>
      <c r="V59" s="38">
        <v>17.79</v>
      </c>
      <c r="W59" s="40"/>
      <c r="X59" s="35"/>
      <c r="Y59" s="35"/>
      <c r="Z59" s="35"/>
      <c r="AA59" s="35"/>
      <c r="AB59" s="35">
        <v>23.382</v>
      </c>
      <c r="AC59" s="41">
        <v>0.1</v>
      </c>
      <c r="AD59" s="42">
        <v>17.5393752657043</v>
      </c>
      <c r="AE59" s="43">
        <v>0.0849069419915772</v>
      </c>
      <c r="AF59" s="43">
        <v>0.0087560283928814</v>
      </c>
      <c r="AG59" s="43">
        <v>0.021721328877417</v>
      </c>
      <c r="AH59" s="43">
        <v>0.266743648960739</v>
      </c>
      <c r="AI59" s="44">
        <v>0.1769</v>
      </c>
      <c r="AJ59" s="44">
        <v>0.0336</v>
      </c>
      <c r="AK59" s="45">
        <v>0.0006</v>
      </c>
      <c r="AL59" s="45">
        <v>0</v>
      </c>
      <c r="AM59" s="45">
        <v>0.1125</v>
      </c>
      <c r="AN59" s="43">
        <v>0.0176050808314088</v>
      </c>
      <c r="AO59" s="43">
        <v>0.292366970945976</v>
      </c>
      <c r="AP59" s="46"/>
      <c r="AQ59" s="29"/>
      <c r="AR59" s="29"/>
      <c r="AS59" s="29"/>
      <c r="AT59" s="29"/>
      <c r="AU59" s="29"/>
      <c r="AV59" s="29"/>
      <c r="AW59" s="29"/>
      <c r="AX59" s="29"/>
      <c r="AY59" s="29"/>
      <c r="AZ59" s="29"/>
      <c r="BA59" s="29"/>
      <c r="BB59" s="29"/>
      <c r="BC59" s="29"/>
      <c r="BD59" s="29"/>
      <c r="BE59" s="29"/>
      <c r="BF59" s="47">
        <v>0.15</v>
      </c>
      <c r="BG59" s="48">
        <v>9.89711495954437</v>
      </c>
      <c r="BH59" s="48">
        <v>23.382</v>
      </c>
      <c r="BI59" s="48">
        <f t="shared" si="3"/>
        <v>0.423279230157573</v>
      </c>
      <c r="BJ59" s="45">
        <v>0.2652</v>
      </c>
      <c r="BK59" s="45">
        <v>0.211</v>
      </c>
      <c r="BL59" s="45"/>
      <c r="BM59" s="37"/>
      <c r="BN59" s="37"/>
      <c r="BO59" s="49"/>
      <c r="BP59" s="37"/>
      <c r="BQ59" s="37"/>
      <c r="BR59" s="49"/>
      <c r="BS59" s="29"/>
      <c r="BT59" s="29"/>
      <c r="BU59" s="29"/>
      <c r="BV59" s="29"/>
      <c r="BW59" s="29"/>
      <c r="BX59" s="29"/>
      <c r="BY59" s="29"/>
      <c r="BZ59" s="29"/>
      <c r="CA59" s="29"/>
      <c r="CB59" s="29"/>
      <c r="CC59" s="29"/>
      <c r="CD59" s="29"/>
      <c r="CE59" s="29"/>
      <c r="CF59" s="29"/>
      <c r="CG59" s="29"/>
      <c r="CH59" s="29"/>
      <c r="CI59" s="29"/>
      <c r="CJ59" s="29"/>
      <c r="CK59" s="29"/>
    </row>
    <row r="60" ht="33" spans="1:89">
      <c r="A60" s="29" t="s">
        <v>326</v>
      </c>
      <c r="B60" s="30" t="s">
        <v>327</v>
      </c>
      <c r="C60" s="29" t="s">
        <v>328</v>
      </c>
      <c r="D60" s="31"/>
      <c r="E60" s="32">
        <v>46007</v>
      </c>
      <c r="F60" s="33">
        <v>40</v>
      </c>
      <c r="G60" s="34">
        <f t="shared" si="1"/>
        <v>130</v>
      </c>
      <c r="H60" s="35">
        <v>1.66666666666667</v>
      </c>
      <c r="I60" s="36">
        <v>22.4867256637168</v>
      </c>
      <c r="J60" s="35">
        <v>8.817994145</v>
      </c>
      <c r="K60" s="35">
        <v>64.26</v>
      </c>
      <c r="L60" s="35">
        <v>69.90468</v>
      </c>
      <c r="M60" s="35">
        <v>5.1459408</v>
      </c>
      <c r="N60" s="35">
        <v>17.7958068288</v>
      </c>
      <c r="O60" s="35">
        <v>0</v>
      </c>
      <c r="P60" s="35">
        <v>2.3189435840708</v>
      </c>
      <c r="Q60" s="37" t="s">
        <v>117</v>
      </c>
      <c r="R60" s="35" t="s">
        <v>94</v>
      </c>
      <c r="S60" s="35">
        <v>6.8</v>
      </c>
      <c r="T60" s="38" t="s">
        <v>329</v>
      </c>
      <c r="U60" s="39">
        <v>42.3954</v>
      </c>
      <c r="V60" s="38">
        <v>22.25</v>
      </c>
      <c r="W60" s="40"/>
      <c r="X60" s="35"/>
      <c r="Y60" s="35"/>
      <c r="Z60" s="35"/>
      <c r="AA60" s="35"/>
      <c r="AB60" s="35">
        <v>26.982</v>
      </c>
      <c r="AC60" s="41">
        <v>0.1</v>
      </c>
      <c r="AD60" s="42">
        <v>25.5892794820002</v>
      </c>
      <c r="AE60" s="43">
        <v>0.110302582426112</v>
      </c>
      <c r="AF60" s="43">
        <v>0.0113749538126928</v>
      </c>
      <c r="AG60" s="43">
        <v>0.0432542976935604</v>
      </c>
      <c r="AH60" s="43">
        <v>0.315210140093396</v>
      </c>
      <c r="AI60" s="44">
        <v>0.1769</v>
      </c>
      <c r="AJ60" s="44">
        <v>0.0336</v>
      </c>
      <c r="AK60" s="45">
        <v>0.0006</v>
      </c>
      <c r="AL60" s="45">
        <v>0</v>
      </c>
      <c r="AM60" s="45">
        <v>0.1125</v>
      </c>
      <c r="AN60" s="43">
        <v>0.0252420280186791</v>
      </c>
      <c r="AO60" s="43">
        <v>0.18671599795556</v>
      </c>
      <c r="AP60" s="46"/>
      <c r="AQ60" s="29"/>
      <c r="AR60" s="29"/>
      <c r="AS60" s="29"/>
      <c r="AT60" s="29"/>
      <c r="AU60" s="29"/>
      <c r="AV60" s="29"/>
      <c r="AW60" s="29"/>
      <c r="AX60" s="29"/>
      <c r="AY60" s="29"/>
      <c r="AZ60" s="29"/>
      <c r="BA60" s="29"/>
      <c r="BB60" s="29"/>
      <c r="BC60" s="29"/>
      <c r="BD60" s="29"/>
      <c r="BE60" s="29"/>
      <c r="BF60" s="47">
        <v>0.15</v>
      </c>
      <c r="BG60" s="48">
        <v>16.4474286030288</v>
      </c>
      <c r="BH60" s="48">
        <v>26.982</v>
      </c>
      <c r="BI60" s="48">
        <f t="shared" si="3"/>
        <v>0.609570402602802</v>
      </c>
      <c r="BJ60" s="45">
        <v>0.2652</v>
      </c>
      <c r="BK60" s="45">
        <v>0.211</v>
      </c>
      <c r="BL60" s="45"/>
      <c r="BM60" s="37"/>
      <c r="BN60" s="37"/>
      <c r="BO60" s="49"/>
      <c r="BP60" s="37"/>
      <c r="BQ60" s="37"/>
      <c r="BR60" s="49"/>
      <c r="BS60" s="29"/>
      <c r="BT60" s="29"/>
      <c r="BU60" s="29"/>
      <c r="BV60" s="29"/>
      <c r="BW60" s="29"/>
      <c r="BX60" s="29"/>
      <c r="BY60" s="29"/>
      <c r="BZ60" s="29"/>
      <c r="CA60" s="29"/>
      <c r="CB60" s="29"/>
      <c r="CC60" s="29"/>
      <c r="CD60" s="29"/>
      <c r="CE60" s="29"/>
      <c r="CF60" s="29"/>
      <c r="CG60" s="29"/>
      <c r="CH60" s="29"/>
      <c r="CI60" s="29"/>
      <c r="CJ60" s="29"/>
      <c r="CK60" s="29"/>
    </row>
    <row r="61" ht="33" spans="1:89">
      <c r="A61" s="29" t="s">
        <v>330</v>
      </c>
      <c r="B61" s="30" t="s">
        <v>331</v>
      </c>
      <c r="C61" s="29" t="s">
        <v>332</v>
      </c>
      <c r="D61" s="31"/>
      <c r="E61" s="32">
        <v>46007</v>
      </c>
      <c r="F61" s="33">
        <v>35</v>
      </c>
      <c r="G61" s="34">
        <f t="shared" si="1"/>
        <v>125</v>
      </c>
      <c r="H61" s="35">
        <v>0.833333333333333</v>
      </c>
      <c r="I61" s="36">
        <v>20.7592920353982</v>
      </c>
      <c r="J61" s="35">
        <v>5.8473363826</v>
      </c>
      <c r="K61" s="35">
        <v>51.34</v>
      </c>
      <c r="L61" s="35">
        <v>68.23868</v>
      </c>
      <c r="M61" s="35">
        <v>4.739328</v>
      </c>
      <c r="N61" s="35">
        <v>11.80054757376</v>
      </c>
      <c r="O61" s="35">
        <v>0</v>
      </c>
      <c r="P61" s="35">
        <v>2.14080199115044</v>
      </c>
      <c r="Q61" s="37" t="s">
        <v>93</v>
      </c>
      <c r="R61" s="35" t="s">
        <v>94</v>
      </c>
      <c r="S61" s="35">
        <v>6.8</v>
      </c>
      <c r="T61" s="38" t="s">
        <v>333</v>
      </c>
      <c r="U61" s="39">
        <v>41.884999</v>
      </c>
      <c r="V61" s="38">
        <v>14.3800000000001</v>
      </c>
      <c r="W61" s="40"/>
      <c r="X61" s="35"/>
      <c r="Y61" s="35"/>
      <c r="Z61" s="35"/>
      <c r="AA61" s="35"/>
      <c r="AB61" s="35">
        <v>28.782</v>
      </c>
      <c r="AC61" s="41">
        <v>0.1</v>
      </c>
      <c r="AD61" s="42">
        <v>21.0682710614137</v>
      </c>
      <c r="AE61" s="43">
        <v>0.0954608212642011</v>
      </c>
      <c r="AF61" s="43">
        <v>0.00984439719287074</v>
      </c>
      <c r="AG61" s="43">
        <v>0.0268887557600338</v>
      </c>
      <c r="AH61" s="43">
        <v>0.236085053158224</v>
      </c>
      <c r="AI61" s="44">
        <v>0.1769</v>
      </c>
      <c r="AJ61" s="44">
        <v>0.0336</v>
      </c>
      <c r="AK61" s="45">
        <v>0.0006</v>
      </c>
      <c r="AL61" s="45">
        <v>0</v>
      </c>
      <c r="AM61" s="45">
        <v>0.1125</v>
      </c>
      <c r="AN61" s="43">
        <v>0.0217936210131332</v>
      </c>
      <c r="AO61" s="43">
        <v>0.302027351611537</v>
      </c>
      <c r="AP61" s="46"/>
      <c r="AQ61" s="29"/>
      <c r="AR61" s="29"/>
      <c r="AS61" s="29"/>
      <c r="AT61" s="29"/>
      <c r="AU61" s="29"/>
      <c r="AV61" s="29"/>
      <c r="AW61" s="29"/>
      <c r="AX61" s="29"/>
      <c r="AY61" s="29"/>
      <c r="AZ61" s="29"/>
      <c r="BA61" s="29"/>
      <c r="BB61" s="29"/>
      <c r="BC61" s="29"/>
      <c r="BD61" s="29"/>
      <c r="BE61" s="29"/>
      <c r="BF61" s="47">
        <v>0.15</v>
      </c>
      <c r="BG61" s="48">
        <v>13.9790620694356</v>
      </c>
      <c r="BH61" s="48">
        <v>28.782</v>
      </c>
      <c r="BI61" s="48">
        <f t="shared" si="3"/>
        <v>0.485687654417191</v>
      </c>
      <c r="BJ61" s="45">
        <v>0.2652</v>
      </c>
      <c r="BK61" s="45">
        <v>0.211</v>
      </c>
      <c r="BL61" s="45"/>
      <c r="BM61" s="37"/>
      <c r="BN61" s="37"/>
      <c r="BO61" s="49"/>
      <c r="BP61" s="37"/>
      <c r="BQ61" s="37"/>
      <c r="BR61" s="49"/>
      <c r="BS61" s="29"/>
      <c r="BT61" s="29"/>
      <c r="BU61" s="29"/>
      <c r="BV61" s="29"/>
      <c r="BW61" s="29"/>
      <c r="BX61" s="29"/>
      <c r="BY61" s="29"/>
      <c r="BZ61" s="29"/>
      <c r="CA61" s="29"/>
      <c r="CB61" s="29"/>
      <c r="CC61" s="29"/>
      <c r="CD61" s="29"/>
      <c r="CE61" s="29"/>
      <c r="CF61" s="29"/>
      <c r="CG61" s="29"/>
      <c r="CH61" s="29"/>
      <c r="CI61" s="29"/>
      <c r="CJ61" s="29"/>
      <c r="CK61" s="29"/>
    </row>
    <row r="62" ht="33" spans="1:89">
      <c r="A62" s="29" t="s">
        <v>334</v>
      </c>
      <c r="B62" s="30" t="s">
        <v>335</v>
      </c>
      <c r="C62" s="29" t="s">
        <v>336</v>
      </c>
      <c r="D62" s="31"/>
      <c r="E62" s="32">
        <v>46007</v>
      </c>
      <c r="F62" s="33">
        <v>40</v>
      </c>
      <c r="G62" s="34">
        <f t="shared" si="1"/>
        <v>130</v>
      </c>
      <c r="H62" s="35">
        <v>1.5</v>
      </c>
      <c r="I62" s="36">
        <v>19.3097345132743</v>
      </c>
      <c r="J62" s="35">
        <v>3.9592894595</v>
      </c>
      <c r="K62" s="35">
        <v>47.124</v>
      </c>
      <c r="L62" s="35">
        <v>66.31428</v>
      </c>
      <c r="M62" s="35">
        <v>3.20892</v>
      </c>
      <c r="N62" s="35">
        <v>7.9899540864</v>
      </c>
      <c r="O62" s="35">
        <v>0</v>
      </c>
      <c r="P62" s="35">
        <v>1.99131637168142</v>
      </c>
      <c r="Q62" s="37" t="s">
        <v>93</v>
      </c>
      <c r="R62" s="35" t="s">
        <v>94</v>
      </c>
      <c r="S62" s="35">
        <v>6.8</v>
      </c>
      <c r="T62" s="38" t="s">
        <v>337</v>
      </c>
      <c r="U62" s="39">
        <v>41.603801</v>
      </c>
      <c r="V62" s="38">
        <v>8.98000000000002</v>
      </c>
      <c r="W62" s="40"/>
      <c r="X62" s="35"/>
      <c r="Y62" s="35"/>
      <c r="Z62" s="35"/>
      <c r="AA62" s="35"/>
      <c r="AB62" s="35">
        <v>24.282</v>
      </c>
      <c r="AC62" s="41">
        <v>0.1</v>
      </c>
      <c r="AD62" s="42">
        <v>18.7749635754234</v>
      </c>
      <c r="AE62" s="43">
        <v>0.105250809495456</v>
      </c>
      <c r="AF62" s="43">
        <v>0.0108539897292189</v>
      </c>
      <c r="AG62" s="43">
        <v>0.0215807431403436</v>
      </c>
      <c r="AH62" s="43">
        <v>0.256856931060044</v>
      </c>
      <c r="AI62" s="44">
        <v>0.1769</v>
      </c>
      <c r="AJ62" s="44">
        <v>0.0336</v>
      </c>
      <c r="AK62" s="45">
        <v>0.0006</v>
      </c>
      <c r="AL62" s="45">
        <v>0</v>
      </c>
      <c r="AM62" s="45">
        <v>0.1125</v>
      </c>
      <c r="AN62" s="43">
        <v>0.0174907338769459</v>
      </c>
      <c r="AO62" s="43">
        <v>0.280066792697992</v>
      </c>
      <c r="AP62" s="46"/>
      <c r="AQ62" s="29"/>
      <c r="AR62" s="29"/>
      <c r="AS62" s="29"/>
      <c r="AT62" s="29"/>
      <c r="AU62" s="29"/>
      <c r="AV62" s="29"/>
      <c r="AW62" s="29"/>
      <c r="AX62" s="29"/>
      <c r="AY62" s="29"/>
      <c r="AZ62" s="29"/>
      <c r="BA62" s="29"/>
      <c r="BB62" s="29"/>
      <c r="BC62" s="29"/>
      <c r="BD62" s="29"/>
      <c r="BE62" s="29"/>
      <c r="BF62" s="47">
        <v>0.15</v>
      </c>
      <c r="BG62" s="48">
        <v>12.225492283365</v>
      </c>
      <c r="BH62" s="48">
        <v>24.282</v>
      </c>
      <c r="BI62" s="48">
        <f t="shared" si="3"/>
        <v>0.503479626199036</v>
      </c>
      <c r="BJ62" s="45">
        <v>0.2652</v>
      </c>
      <c r="BK62" s="45">
        <v>0.211</v>
      </c>
      <c r="BL62" s="45"/>
      <c r="BM62" s="37"/>
      <c r="BN62" s="37"/>
      <c r="BO62" s="49"/>
      <c r="BP62" s="37"/>
      <c r="BQ62" s="37"/>
      <c r="BR62" s="49"/>
      <c r="BS62" s="29"/>
      <c r="BT62" s="29"/>
      <c r="BU62" s="29"/>
      <c r="BV62" s="29"/>
      <c r="BW62" s="29"/>
      <c r="BX62" s="29"/>
      <c r="BY62" s="29"/>
      <c r="BZ62" s="29"/>
      <c r="CA62" s="29"/>
      <c r="CB62" s="29"/>
      <c r="CC62" s="29"/>
      <c r="CD62" s="29"/>
      <c r="CE62" s="29"/>
      <c r="CF62" s="29"/>
      <c r="CG62" s="29"/>
      <c r="CH62" s="29"/>
      <c r="CI62" s="29"/>
      <c r="CJ62" s="29"/>
      <c r="CK62" s="29"/>
    </row>
    <row r="63" ht="33" spans="1:89">
      <c r="A63" s="29" t="s">
        <v>338</v>
      </c>
      <c r="B63" s="30" t="s">
        <v>339</v>
      </c>
      <c r="C63" s="29" t="s">
        <v>340</v>
      </c>
      <c r="D63" s="31"/>
      <c r="E63" s="32">
        <v>46007</v>
      </c>
      <c r="F63" s="33">
        <v>35</v>
      </c>
      <c r="G63" s="34">
        <f t="shared" si="1"/>
        <v>125</v>
      </c>
      <c r="H63" s="35">
        <v>2.08333333333333</v>
      </c>
      <c r="I63" s="36">
        <v>15.6017699115044</v>
      </c>
      <c r="J63" s="35">
        <v>2.9901240282</v>
      </c>
      <c r="K63" s="35">
        <v>41.344</v>
      </c>
      <c r="L63" s="35">
        <v>66.31428</v>
      </c>
      <c r="M63" s="35">
        <v>2.42352</v>
      </c>
      <c r="N63" s="35">
        <v>6.0343709184</v>
      </c>
      <c r="O63" s="35">
        <v>0</v>
      </c>
      <c r="P63" s="35">
        <v>1.60893252212389</v>
      </c>
      <c r="Q63" s="37" t="s">
        <v>93</v>
      </c>
      <c r="R63" s="35" t="s">
        <v>94</v>
      </c>
      <c r="S63" s="35">
        <v>6.8</v>
      </c>
      <c r="T63" s="38" t="s">
        <v>341</v>
      </c>
      <c r="U63" s="39">
        <v>41.3524</v>
      </c>
      <c r="V63" s="38">
        <v>17.05</v>
      </c>
      <c r="W63" s="40"/>
      <c r="X63" s="35"/>
      <c r="Y63" s="35"/>
      <c r="Z63" s="35"/>
      <c r="AA63" s="35"/>
      <c r="AB63" s="35">
        <v>22.482</v>
      </c>
      <c r="AC63" s="41">
        <v>0.1</v>
      </c>
      <c r="AD63" s="42">
        <v>15.8877043975651</v>
      </c>
      <c r="AE63" s="43">
        <v>0.0918485960032993</v>
      </c>
      <c r="AF63" s="43">
        <v>0.00947188646284024</v>
      </c>
      <c r="AG63" s="43">
        <v>0.0176030473096124</v>
      </c>
      <c r="AH63" s="43">
        <v>0.243394715772618</v>
      </c>
      <c r="AI63" s="44">
        <v>0.1769</v>
      </c>
      <c r="AJ63" s="44">
        <v>0.0336</v>
      </c>
      <c r="AK63" s="45">
        <v>0.0006</v>
      </c>
      <c r="AL63" s="45">
        <v>0</v>
      </c>
      <c r="AM63" s="45">
        <v>0.1125</v>
      </c>
      <c r="AN63" s="43">
        <v>0.0142674139311449</v>
      </c>
      <c r="AO63" s="43">
        <v>0.315514340520485</v>
      </c>
      <c r="AP63" s="46"/>
      <c r="AQ63" s="29"/>
      <c r="AR63" s="29"/>
      <c r="AS63" s="29"/>
      <c r="AT63" s="29"/>
      <c r="AU63" s="29"/>
      <c r="AV63" s="29"/>
      <c r="AW63" s="29"/>
      <c r="AX63" s="29"/>
      <c r="AY63" s="29"/>
      <c r="AZ63" s="29"/>
      <c r="BA63" s="29"/>
      <c r="BB63" s="29"/>
      <c r="BC63" s="29"/>
      <c r="BD63" s="29"/>
      <c r="BE63" s="29"/>
      <c r="BF63" s="47">
        <v>0.15</v>
      </c>
      <c r="BG63" s="48">
        <v>9.76813879941596</v>
      </c>
      <c r="BH63" s="48">
        <v>22.482</v>
      </c>
      <c r="BI63" s="48">
        <f t="shared" si="3"/>
        <v>0.434487091869761</v>
      </c>
      <c r="BJ63" s="45">
        <v>0.2652</v>
      </c>
      <c r="BK63" s="45">
        <v>0.211</v>
      </c>
      <c r="BL63" s="45"/>
      <c r="BM63" s="37"/>
      <c r="BN63" s="37"/>
      <c r="BO63" s="49"/>
      <c r="BP63" s="37"/>
      <c r="BQ63" s="37"/>
      <c r="BR63" s="49"/>
      <c r="BS63" s="29"/>
      <c r="BT63" s="29"/>
      <c r="BU63" s="29"/>
      <c r="BV63" s="29"/>
      <c r="BW63" s="29"/>
      <c r="BX63" s="29"/>
      <c r="BY63" s="29"/>
      <c r="BZ63" s="29"/>
      <c r="CA63" s="29"/>
      <c r="CB63" s="29"/>
      <c r="CC63" s="29"/>
      <c r="CD63" s="29"/>
      <c r="CE63" s="29"/>
      <c r="CF63" s="29"/>
      <c r="CG63" s="29"/>
      <c r="CH63" s="29"/>
      <c r="CI63" s="29"/>
      <c r="CJ63" s="29"/>
      <c r="CK63" s="29"/>
    </row>
    <row r="64" ht="33" spans="1:89">
      <c r="A64" s="29" t="s">
        <v>342</v>
      </c>
      <c r="B64" s="30" t="s">
        <v>343</v>
      </c>
      <c r="C64" s="29" t="s">
        <v>344</v>
      </c>
      <c r="D64" s="31"/>
      <c r="E64" s="32">
        <v>46007</v>
      </c>
      <c r="F64" s="33">
        <v>35</v>
      </c>
      <c r="G64" s="34">
        <f t="shared" si="1"/>
        <v>125</v>
      </c>
      <c r="H64" s="35">
        <v>1</v>
      </c>
      <c r="I64" s="36">
        <v>22.0619469026549</v>
      </c>
      <c r="J64" s="35">
        <v>5.260688275</v>
      </c>
      <c r="K64" s="35">
        <v>51.34</v>
      </c>
      <c r="L64" s="35">
        <v>68.23868</v>
      </c>
      <c r="M64" s="35">
        <v>4.2636</v>
      </c>
      <c r="N64" s="35">
        <v>10.616022912</v>
      </c>
      <c r="O64" s="35">
        <v>0</v>
      </c>
      <c r="P64" s="35">
        <v>2.27513827433628</v>
      </c>
      <c r="Q64" s="37" t="s">
        <v>93</v>
      </c>
      <c r="R64" s="35" t="s">
        <v>94</v>
      </c>
      <c r="S64" s="35">
        <v>6.8</v>
      </c>
      <c r="T64" s="38" t="s">
        <v>345</v>
      </c>
      <c r="U64" s="39">
        <v>40.2943</v>
      </c>
      <c r="V64" s="38">
        <v>3.05999999999994</v>
      </c>
      <c r="W64" s="40"/>
      <c r="X64" s="35"/>
      <c r="Y64" s="35"/>
      <c r="Z64" s="35"/>
      <c r="AA64" s="35"/>
      <c r="AB64" s="35">
        <v>26.082</v>
      </c>
      <c r="AC64" s="41">
        <v>0.1</v>
      </c>
      <c r="AD64" s="42">
        <v>21.1613135330854</v>
      </c>
      <c r="AE64" s="43">
        <v>0.111953207600855</v>
      </c>
      <c r="AF64" s="43">
        <v>0.0115451745338382</v>
      </c>
      <c r="AG64" s="43">
        <v>0.0266953288018106</v>
      </c>
      <c r="AH64" s="43">
        <v>0.260524499654934</v>
      </c>
      <c r="AI64" s="44">
        <v>0.1769</v>
      </c>
      <c r="AJ64" s="44">
        <v>0.0336</v>
      </c>
      <c r="AK64" s="45">
        <v>0.0006</v>
      </c>
      <c r="AL64" s="45">
        <v>0</v>
      </c>
      <c r="AM64" s="45">
        <v>0.1125</v>
      </c>
      <c r="AN64" s="43">
        <v>0.0216356107660456</v>
      </c>
      <c r="AO64" s="43">
        <v>0.259746178642517</v>
      </c>
      <c r="AP64" s="46"/>
      <c r="AQ64" s="29"/>
      <c r="AR64" s="29"/>
      <c r="AS64" s="29"/>
      <c r="AT64" s="29"/>
      <c r="AU64" s="29"/>
      <c r="AV64" s="29"/>
      <c r="AW64" s="29"/>
      <c r="AX64" s="29"/>
      <c r="AY64" s="29"/>
      <c r="AZ64" s="29"/>
      <c r="BA64" s="29"/>
      <c r="BB64" s="29"/>
      <c r="BC64" s="29"/>
      <c r="BD64" s="29"/>
      <c r="BE64" s="29"/>
      <c r="BF64" s="47">
        <v>0.15</v>
      </c>
      <c r="BG64" s="48">
        <v>14.3552503928162</v>
      </c>
      <c r="BH64" s="48">
        <v>26.082</v>
      </c>
      <c r="BI64" s="48">
        <f t="shared" si="3"/>
        <v>0.550389172334031</v>
      </c>
      <c r="BJ64" s="45">
        <v>0.2652</v>
      </c>
      <c r="BK64" s="45">
        <v>0.211</v>
      </c>
      <c r="BL64" s="45"/>
      <c r="BM64" s="37"/>
      <c r="BN64" s="37"/>
      <c r="BO64" s="49"/>
      <c r="BP64" s="37"/>
      <c r="BQ64" s="37"/>
      <c r="BR64" s="49"/>
      <c r="BS64" s="29"/>
      <c r="BT64" s="29"/>
      <c r="BU64" s="29"/>
      <c r="BV64" s="29"/>
      <c r="BW64" s="29"/>
      <c r="BX64" s="29"/>
      <c r="BY64" s="29"/>
      <c r="BZ64" s="29"/>
      <c r="CA64" s="29"/>
      <c r="CB64" s="29"/>
      <c r="CC64" s="29"/>
      <c r="CD64" s="29"/>
      <c r="CE64" s="29"/>
      <c r="CF64" s="29"/>
      <c r="CG64" s="29"/>
      <c r="CH64" s="29"/>
      <c r="CI64" s="29"/>
      <c r="CJ64" s="29"/>
      <c r="CK64" s="29"/>
    </row>
    <row r="65" ht="33" spans="1:89">
      <c r="A65" s="29" t="s">
        <v>346</v>
      </c>
      <c r="B65" s="30" t="s">
        <v>347</v>
      </c>
      <c r="C65" s="29" t="s">
        <v>348</v>
      </c>
      <c r="D65" s="31"/>
      <c r="E65" s="32">
        <v>46007</v>
      </c>
      <c r="F65" s="33">
        <v>40</v>
      </c>
      <c r="G65" s="34">
        <f t="shared" si="1"/>
        <v>130</v>
      </c>
      <c r="H65" s="35">
        <v>2.5</v>
      </c>
      <c r="I65" s="36">
        <v>21.141592920354</v>
      </c>
      <c r="J65" s="35">
        <v>3.9870086962</v>
      </c>
      <c r="K65" s="35">
        <v>47.124</v>
      </c>
      <c r="L65" s="35">
        <v>66.31428</v>
      </c>
      <c r="M65" s="35">
        <v>3.23136</v>
      </c>
      <c r="N65" s="35">
        <v>8.0458278912</v>
      </c>
      <c r="O65" s="35">
        <v>0</v>
      </c>
      <c r="P65" s="35">
        <v>2.1802267699115</v>
      </c>
      <c r="Q65" s="37" t="s">
        <v>93</v>
      </c>
      <c r="R65" s="35" t="s">
        <v>94</v>
      </c>
      <c r="S65" s="35">
        <v>6.8</v>
      </c>
      <c r="T65" s="38" t="s">
        <v>349</v>
      </c>
      <c r="U65" s="39">
        <v>40.2907</v>
      </c>
      <c r="V65" s="38">
        <v>6.20000000000004</v>
      </c>
      <c r="W65" s="40"/>
      <c r="X65" s="35"/>
      <c r="Y65" s="35"/>
      <c r="Z65" s="35"/>
      <c r="AA65" s="35"/>
      <c r="AB65" s="35">
        <v>25.182</v>
      </c>
      <c r="AC65" s="41">
        <v>0.1</v>
      </c>
      <c r="AD65" s="42">
        <v>19.2893162886003</v>
      </c>
      <c r="AE65" s="43">
        <v>0.111117147333988</v>
      </c>
      <c r="AF65" s="43">
        <v>0.0114589558188176</v>
      </c>
      <c r="AG65" s="43">
        <v>0.0209551396806542</v>
      </c>
      <c r="AH65" s="43">
        <v>0.247676912080057</v>
      </c>
      <c r="AI65" s="44">
        <v>0.1769</v>
      </c>
      <c r="AJ65" s="44">
        <v>0.0336</v>
      </c>
      <c r="AK65" s="45">
        <v>0.0006</v>
      </c>
      <c r="AL65" s="45">
        <v>0</v>
      </c>
      <c r="AM65" s="45">
        <v>0.1125</v>
      </c>
      <c r="AN65" s="43">
        <v>0.0169835596854896</v>
      </c>
      <c r="AO65" s="43">
        <v>0.283908285400993</v>
      </c>
      <c r="AP65" s="46"/>
      <c r="AQ65" s="29"/>
      <c r="AR65" s="29"/>
      <c r="AS65" s="29"/>
      <c r="AT65" s="29"/>
      <c r="AU65" s="29"/>
      <c r="AV65" s="29"/>
      <c r="AW65" s="29"/>
      <c r="AX65" s="29"/>
      <c r="AY65" s="29"/>
      <c r="AZ65" s="29"/>
      <c r="BA65" s="29"/>
      <c r="BB65" s="29"/>
      <c r="BC65" s="29"/>
      <c r="BD65" s="29"/>
      <c r="BE65" s="29"/>
      <c r="BF65" s="47">
        <v>0.15</v>
      </c>
      <c r="BG65" s="48">
        <v>13.2025101488735</v>
      </c>
      <c r="BH65" s="48">
        <v>25.182</v>
      </c>
      <c r="BI65" s="48">
        <f t="shared" si="3"/>
        <v>0.524283621192657</v>
      </c>
      <c r="BJ65" s="45">
        <v>0.2652</v>
      </c>
      <c r="BK65" s="45">
        <v>0.211</v>
      </c>
      <c r="BL65" s="45"/>
      <c r="BM65" s="37"/>
      <c r="BN65" s="37"/>
      <c r="BO65" s="49"/>
      <c r="BP65" s="37"/>
      <c r="BQ65" s="37"/>
      <c r="BR65" s="49"/>
      <c r="BS65" s="29"/>
      <c r="BT65" s="29"/>
      <c r="BU65" s="29"/>
      <c r="BV65" s="29"/>
      <c r="BW65" s="29"/>
      <c r="BX65" s="29"/>
      <c r="BY65" s="29"/>
      <c r="BZ65" s="29"/>
      <c r="CA65" s="29"/>
      <c r="CB65" s="29"/>
      <c r="CC65" s="29"/>
      <c r="CD65" s="29"/>
      <c r="CE65" s="29"/>
      <c r="CF65" s="29"/>
      <c r="CG65" s="29"/>
      <c r="CH65" s="29"/>
      <c r="CI65" s="29"/>
      <c r="CJ65" s="29"/>
      <c r="CK65" s="29"/>
    </row>
    <row r="66" ht="33" spans="1:89">
      <c r="A66" s="29" t="s">
        <v>350</v>
      </c>
      <c r="B66" s="30" t="s">
        <v>351</v>
      </c>
      <c r="C66" s="29" t="s">
        <v>352</v>
      </c>
      <c r="D66" s="31"/>
      <c r="E66" s="32">
        <v>46007</v>
      </c>
      <c r="F66" s="33">
        <v>35</v>
      </c>
      <c r="G66" s="34">
        <f t="shared" si="1"/>
        <v>125</v>
      </c>
      <c r="H66" s="35">
        <v>1.16666666666667</v>
      </c>
      <c r="I66" s="36">
        <v>16.9115044247788</v>
      </c>
      <c r="J66" s="35">
        <v>3.1520637657</v>
      </c>
      <c r="K66" s="35">
        <v>47.124</v>
      </c>
      <c r="L66" s="35">
        <v>66.31428</v>
      </c>
      <c r="M66" s="35">
        <v>2.554794</v>
      </c>
      <c r="N66" s="35">
        <v>6.36123267648</v>
      </c>
      <c r="O66" s="35">
        <v>0</v>
      </c>
      <c r="P66" s="35">
        <v>1.74399889380531</v>
      </c>
      <c r="Q66" s="37" t="s">
        <v>93</v>
      </c>
      <c r="R66" s="35" t="s">
        <v>94</v>
      </c>
      <c r="S66" s="35">
        <v>6.8</v>
      </c>
      <c r="T66" s="38" t="s">
        <v>353</v>
      </c>
      <c r="U66" s="39">
        <v>36.850199</v>
      </c>
      <c r="V66" s="38">
        <v>7.01999999999998</v>
      </c>
      <c r="W66" s="40"/>
      <c r="X66" s="35"/>
      <c r="Y66" s="35"/>
      <c r="Z66" s="35"/>
      <c r="AA66" s="35"/>
      <c r="AB66" s="35">
        <v>21.582</v>
      </c>
      <c r="AC66" s="41">
        <v>0.1</v>
      </c>
      <c r="AD66" s="42">
        <v>17.7549403132132</v>
      </c>
      <c r="AE66" s="43">
        <v>0.103710840067573</v>
      </c>
      <c r="AF66" s="43">
        <v>0.0106951803819685</v>
      </c>
      <c r="AG66" s="43">
        <v>0.0193302247320071</v>
      </c>
      <c r="AH66" s="43">
        <v>0.288990825688073</v>
      </c>
      <c r="AI66" s="44">
        <v>0.1769</v>
      </c>
      <c r="AJ66" s="44">
        <v>0.0336</v>
      </c>
      <c r="AK66" s="45">
        <v>0.0006</v>
      </c>
      <c r="AL66" s="45">
        <v>0</v>
      </c>
      <c r="AM66" s="45">
        <v>0.1125</v>
      </c>
      <c r="AN66" s="43">
        <v>0.0156674311926605</v>
      </c>
      <c r="AO66" s="43">
        <v>0.253705497937718</v>
      </c>
      <c r="AP66" s="46"/>
      <c r="AQ66" s="29"/>
      <c r="AR66" s="29"/>
      <c r="AS66" s="29"/>
      <c r="AT66" s="29"/>
      <c r="AU66" s="29"/>
      <c r="AV66" s="29"/>
      <c r="AW66" s="29"/>
      <c r="AX66" s="29"/>
      <c r="AY66" s="29"/>
      <c r="AZ66" s="29"/>
      <c r="BA66" s="29"/>
      <c r="BB66" s="29"/>
      <c r="BC66" s="29"/>
      <c r="BD66" s="29"/>
      <c r="BE66" s="29"/>
      <c r="BF66" s="47">
        <v>0.15</v>
      </c>
      <c r="BG66" s="48">
        <v>10.5413531043013</v>
      </c>
      <c r="BH66" s="48">
        <v>21.582</v>
      </c>
      <c r="BI66" s="48">
        <f t="shared" si="3"/>
        <v>0.488432633875512</v>
      </c>
      <c r="BJ66" s="45">
        <v>0.2652</v>
      </c>
      <c r="BK66" s="45">
        <v>0.211</v>
      </c>
      <c r="BL66" s="45"/>
      <c r="BM66" s="37"/>
      <c r="BN66" s="37"/>
      <c r="BO66" s="49"/>
      <c r="BP66" s="37"/>
      <c r="BQ66" s="37"/>
      <c r="BR66" s="49"/>
      <c r="BS66" s="29"/>
      <c r="BT66" s="29"/>
      <c r="BU66" s="29"/>
      <c r="BV66" s="29"/>
      <c r="BW66" s="29"/>
      <c r="BX66" s="29"/>
      <c r="BY66" s="29"/>
      <c r="BZ66" s="29"/>
      <c r="CA66" s="29"/>
      <c r="CB66" s="29"/>
      <c r="CC66" s="29"/>
      <c r="CD66" s="29"/>
      <c r="CE66" s="29"/>
      <c r="CF66" s="29"/>
      <c r="CG66" s="29"/>
      <c r="CH66" s="29"/>
      <c r="CI66" s="29"/>
      <c r="CJ66" s="29"/>
      <c r="CK66" s="29"/>
    </row>
    <row r="67" ht="33" spans="1:89">
      <c r="A67" s="29" t="s">
        <v>354</v>
      </c>
      <c r="B67" s="30" t="s">
        <v>355</v>
      </c>
      <c r="C67" s="29" t="s">
        <v>356</v>
      </c>
      <c r="D67" s="31"/>
      <c r="E67" s="32">
        <v>46007</v>
      </c>
      <c r="F67" s="33">
        <v>40</v>
      </c>
      <c r="G67" s="34">
        <f t="shared" ref="G67:G130" si="4">F67+15+15+60</f>
        <v>130</v>
      </c>
      <c r="H67" s="35">
        <v>1.25</v>
      </c>
      <c r="I67" s="36">
        <v>21.1858407079646</v>
      </c>
      <c r="J67" s="35">
        <v>3.8541425621</v>
      </c>
      <c r="K67" s="35">
        <v>47.124</v>
      </c>
      <c r="L67" s="35">
        <v>66.31428</v>
      </c>
      <c r="M67" s="35">
        <v>3.123648</v>
      </c>
      <c r="N67" s="35">
        <v>7.77763362816</v>
      </c>
      <c r="O67" s="35">
        <v>0</v>
      </c>
      <c r="P67" s="35">
        <v>2.18478982300885</v>
      </c>
      <c r="Q67" s="37" t="s">
        <v>93</v>
      </c>
      <c r="R67" s="35" t="s">
        <v>94</v>
      </c>
      <c r="S67" s="35">
        <v>6.8</v>
      </c>
      <c r="T67" s="38" t="s">
        <v>357</v>
      </c>
      <c r="U67" s="39">
        <v>36.311899</v>
      </c>
      <c r="V67" s="38">
        <v>7.13000000000011</v>
      </c>
      <c r="W67" s="40"/>
      <c r="X67" s="35"/>
      <c r="Y67" s="35"/>
      <c r="Z67" s="35"/>
      <c r="AA67" s="35"/>
      <c r="AB67" s="35">
        <v>26.082</v>
      </c>
      <c r="AC67" s="41">
        <v>0.1</v>
      </c>
      <c r="AD67" s="42">
        <v>19.2416873871349</v>
      </c>
      <c r="AE67" s="43">
        <v>0.107507412353168</v>
      </c>
      <c r="AF67" s="43">
        <v>0.0110867018989204</v>
      </c>
      <c r="AG67" s="43">
        <v>0.0195578216320586</v>
      </c>
      <c r="AH67" s="43">
        <v>0.239130434782609</v>
      </c>
      <c r="AI67" s="44">
        <v>0.1769</v>
      </c>
      <c r="AJ67" s="44">
        <v>0.0336</v>
      </c>
      <c r="AK67" s="45">
        <v>0.0006</v>
      </c>
      <c r="AL67" s="45">
        <v>0</v>
      </c>
      <c r="AM67" s="45">
        <v>0.1125</v>
      </c>
      <c r="AN67" s="43">
        <v>0.0158509316770186</v>
      </c>
      <c r="AO67" s="43">
        <v>0.298966697656226</v>
      </c>
      <c r="AP67" s="46"/>
      <c r="AQ67" s="29"/>
      <c r="AR67" s="29"/>
      <c r="AS67" s="29"/>
      <c r="AT67" s="29"/>
      <c r="AU67" s="29"/>
      <c r="AV67" s="29"/>
      <c r="AW67" s="29"/>
      <c r="AX67" s="29"/>
      <c r="AY67" s="29"/>
      <c r="AZ67" s="29"/>
      <c r="BA67" s="29"/>
      <c r="BB67" s="29"/>
      <c r="BC67" s="29"/>
      <c r="BD67" s="29"/>
      <c r="BE67" s="29"/>
      <c r="BF67" s="47">
        <v>0.15</v>
      </c>
      <c r="BG67" s="48">
        <v>13.1559502711392</v>
      </c>
      <c r="BH67" s="48">
        <v>26.082</v>
      </c>
      <c r="BI67" s="48">
        <f t="shared" si="3"/>
        <v>0.50440726444058</v>
      </c>
      <c r="BJ67" s="45">
        <v>0.2652</v>
      </c>
      <c r="BK67" s="45">
        <v>0.211</v>
      </c>
      <c r="BL67" s="45"/>
      <c r="BM67" s="37"/>
      <c r="BN67" s="37"/>
      <c r="BO67" s="49"/>
      <c r="BP67" s="37"/>
      <c r="BQ67" s="37"/>
      <c r="BR67" s="49"/>
      <c r="BS67" s="29"/>
      <c r="BT67" s="29"/>
      <c r="BU67" s="29"/>
      <c r="BV67" s="29"/>
      <c r="BW67" s="29"/>
      <c r="BX67" s="29"/>
      <c r="BY67" s="29"/>
      <c r="BZ67" s="29"/>
      <c r="CA67" s="29"/>
      <c r="CB67" s="29"/>
      <c r="CC67" s="29"/>
      <c r="CD67" s="29"/>
      <c r="CE67" s="29"/>
      <c r="CF67" s="29"/>
      <c r="CG67" s="29"/>
      <c r="CH67" s="29"/>
      <c r="CI67" s="29"/>
      <c r="CJ67" s="29"/>
      <c r="CK67" s="29"/>
    </row>
    <row r="68" ht="33" spans="1:89">
      <c r="A68" s="29" t="s">
        <v>358</v>
      </c>
      <c r="B68" s="30" t="s">
        <v>359</v>
      </c>
      <c r="C68" s="29" t="s">
        <v>360</v>
      </c>
      <c r="D68" s="31"/>
      <c r="E68" s="32">
        <v>46007</v>
      </c>
      <c r="F68" s="33">
        <v>35</v>
      </c>
      <c r="G68" s="34">
        <f t="shared" si="4"/>
        <v>125</v>
      </c>
      <c r="H68" s="35">
        <v>2.16666666666667</v>
      </c>
      <c r="I68" s="36">
        <v>14</v>
      </c>
      <c r="J68" s="35">
        <v>2.3921628185</v>
      </c>
      <c r="K68" s="35">
        <v>41.344</v>
      </c>
      <c r="L68" s="35">
        <v>66.31428</v>
      </c>
      <c r="M68" s="35">
        <v>1.938816</v>
      </c>
      <c r="N68" s="35">
        <v>4.82749673472</v>
      </c>
      <c r="O68" s="35">
        <v>0</v>
      </c>
      <c r="P68" s="35">
        <v>1.44375</v>
      </c>
      <c r="Q68" s="37" t="s">
        <v>93</v>
      </c>
      <c r="R68" s="35" t="s">
        <v>94</v>
      </c>
      <c r="S68" s="35">
        <v>6.8</v>
      </c>
      <c r="T68" s="38" t="s">
        <v>361</v>
      </c>
      <c r="U68" s="39">
        <v>33.509699</v>
      </c>
      <c r="V68" s="38">
        <v>16.9100000000001</v>
      </c>
      <c r="W68" s="40"/>
      <c r="X68" s="35"/>
      <c r="Y68" s="35"/>
      <c r="Z68" s="35"/>
      <c r="AA68" s="35"/>
      <c r="AB68" s="35">
        <v>22.212</v>
      </c>
      <c r="AC68" s="41">
        <v>0.1</v>
      </c>
      <c r="AD68" s="42">
        <v>15.1799499335615</v>
      </c>
      <c r="AE68" s="43">
        <v>0.0834207264753551</v>
      </c>
      <c r="AF68" s="43">
        <v>0.008602762417771</v>
      </c>
      <c r="AG68" s="43">
        <v>0.0142539971547574</v>
      </c>
      <c r="AH68" s="43">
        <v>0.246353322528363</v>
      </c>
      <c r="AI68" s="44">
        <v>0.1769</v>
      </c>
      <c r="AJ68" s="44">
        <v>0.0336</v>
      </c>
      <c r="AK68" s="45">
        <v>0.0006</v>
      </c>
      <c r="AL68" s="45">
        <v>0</v>
      </c>
      <c r="AM68" s="45">
        <v>0.1125</v>
      </c>
      <c r="AN68" s="43">
        <v>0.0115526742301459</v>
      </c>
      <c r="AO68" s="43">
        <v>0.327916517193608</v>
      </c>
      <c r="AP68" s="46"/>
      <c r="AQ68" s="29"/>
      <c r="AR68" s="29"/>
      <c r="AS68" s="29"/>
      <c r="AT68" s="29"/>
      <c r="AU68" s="29"/>
      <c r="AV68" s="29"/>
      <c r="AW68" s="29"/>
      <c r="AX68" s="29"/>
      <c r="AY68" s="29"/>
      <c r="AZ68" s="29"/>
      <c r="BA68" s="29"/>
      <c r="BB68" s="29"/>
      <c r="BC68" s="29"/>
      <c r="BD68" s="29"/>
      <c r="BE68" s="29"/>
      <c r="BF68" s="47">
        <v>0.15</v>
      </c>
      <c r="BG68" s="48">
        <v>8.61240507035076</v>
      </c>
      <c r="BH68" s="48">
        <v>22.212</v>
      </c>
      <c r="BI68" s="48">
        <f t="shared" si="3"/>
        <v>0.387736586995802</v>
      </c>
      <c r="BJ68" s="45">
        <v>0.2652</v>
      </c>
      <c r="BK68" s="45">
        <v>0.211</v>
      </c>
      <c r="BL68" s="45"/>
      <c r="BM68" s="37"/>
      <c r="BN68" s="37"/>
      <c r="BO68" s="49"/>
      <c r="BP68" s="37"/>
      <c r="BQ68" s="37"/>
      <c r="BR68" s="49"/>
      <c r="BS68" s="29"/>
      <c r="BT68" s="29"/>
      <c r="BU68" s="29"/>
      <c r="BV68" s="29"/>
      <c r="BW68" s="29"/>
      <c r="BX68" s="29"/>
      <c r="BY68" s="29"/>
      <c r="BZ68" s="29"/>
      <c r="CA68" s="29"/>
      <c r="CB68" s="29"/>
      <c r="CC68" s="29"/>
      <c r="CD68" s="29"/>
      <c r="CE68" s="29"/>
      <c r="CF68" s="29"/>
      <c r="CG68" s="29"/>
      <c r="CH68" s="29"/>
      <c r="CI68" s="29"/>
      <c r="CJ68" s="29"/>
      <c r="CK68" s="29"/>
    </row>
    <row r="69" ht="33" spans="1:89">
      <c r="A69" s="29" t="s">
        <v>362</v>
      </c>
      <c r="B69" s="30" t="s">
        <v>363</v>
      </c>
      <c r="C69" s="29" t="s">
        <v>364</v>
      </c>
      <c r="D69" s="31"/>
      <c r="E69" s="32">
        <v>46007</v>
      </c>
      <c r="F69" s="33">
        <v>35</v>
      </c>
      <c r="G69" s="34">
        <f t="shared" si="4"/>
        <v>125</v>
      </c>
      <c r="H69" s="35">
        <v>0.833333333333333</v>
      </c>
      <c r="I69" s="36">
        <v>18.5221238938053</v>
      </c>
      <c r="J69" s="35">
        <v>3.5024839337</v>
      </c>
      <c r="K69" s="35">
        <v>47.124</v>
      </c>
      <c r="L69" s="35">
        <v>66.31428</v>
      </c>
      <c r="M69" s="35">
        <v>2.83866</v>
      </c>
      <c r="N69" s="35">
        <v>7.0680363072</v>
      </c>
      <c r="O69" s="35">
        <v>0</v>
      </c>
      <c r="P69" s="35">
        <v>1.91009402654867</v>
      </c>
      <c r="Q69" s="37" t="s">
        <v>93</v>
      </c>
      <c r="R69" s="35" t="s">
        <v>94</v>
      </c>
      <c r="S69" s="35">
        <v>6.8</v>
      </c>
      <c r="T69" s="38" t="s">
        <v>365</v>
      </c>
      <c r="U69" s="39">
        <v>33.4903</v>
      </c>
      <c r="V69" s="38">
        <v>12.8499999999999</v>
      </c>
      <c r="W69" s="40"/>
      <c r="X69" s="35"/>
      <c r="Y69" s="35"/>
      <c r="Z69" s="35"/>
      <c r="AA69" s="35"/>
      <c r="AB69" s="35">
        <v>23.382</v>
      </c>
      <c r="AC69" s="41">
        <v>0.1</v>
      </c>
      <c r="AD69" s="42">
        <v>18.3537562847229</v>
      </c>
      <c r="AE69" s="43">
        <v>0.104843793267476</v>
      </c>
      <c r="AF69" s="43">
        <v>0.0108120161807084</v>
      </c>
      <c r="AG69" s="43">
        <v>0.0198256800123398</v>
      </c>
      <c r="AH69" s="43">
        <v>0.266743648960739</v>
      </c>
      <c r="AI69" s="44">
        <v>0.1769</v>
      </c>
      <c r="AJ69" s="44">
        <v>0.0336</v>
      </c>
      <c r="AK69" s="45">
        <v>0.0006</v>
      </c>
      <c r="AL69" s="45">
        <v>0</v>
      </c>
      <c r="AM69" s="45">
        <v>0.1125</v>
      </c>
      <c r="AN69" s="43">
        <v>0.016068129330254</v>
      </c>
      <c r="AO69" s="43">
        <v>0.273806732248483</v>
      </c>
      <c r="AP69" s="46"/>
      <c r="AQ69" s="29"/>
      <c r="AR69" s="29"/>
      <c r="AS69" s="29"/>
      <c r="AT69" s="29"/>
      <c r="AU69" s="29"/>
      <c r="AV69" s="29"/>
      <c r="AW69" s="29"/>
      <c r="AX69" s="29"/>
      <c r="AY69" s="29"/>
      <c r="AZ69" s="29"/>
      <c r="BA69" s="29"/>
      <c r="BB69" s="29"/>
      <c r="BC69" s="29"/>
      <c r="BD69" s="29"/>
      <c r="BE69" s="29"/>
      <c r="BF69" s="47">
        <v>0.15</v>
      </c>
      <c r="BG69" s="48">
        <v>11.5716788703451</v>
      </c>
      <c r="BH69" s="48">
        <v>23.382</v>
      </c>
      <c r="BI69" s="48">
        <f t="shared" si="3"/>
        <v>0.494896880948811</v>
      </c>
      <c r="BJ69" s="45">
        <v>0.2652</v>
      </c>
      <c r="BK69" s="45">
        <v>0.211</v>
      </c>
      <c r="BL69" s="45"/>
      <c r="BM69" s="37"/>
      <c r="BN69" s="37"/>
      <c r="BO69" s="49"/>
      <c r="BP69" s="37"/>
      <c r="BQ69" s="37"/>
      <c r="BR69" s="49"/>
      <c r="BS69" s="29"/>
      <c r="BT69" s="29"/>
      <c r="BU69" s="29"/>
      <c r="BV69" s="29"/>
      <c r="BW69" s="29"/>
      <c r="BX69" s="29"/>
      <c r="BY69" s="29"/>
      <c r="BZ69" s="29"/>
      <c r="CA69" s="29"/>
      <c r="CB69" s="29"/>
      <c r="CC69" s="29"/>
      <c r="CD69" s="29"/>
      <c r="CE69" s="29"/>
      <c r="CF69" s="29"/>
      <c r="CG69" s="29"/>
      <c r="CH69" s="29"/>
      <c r="CI69" s="29"/>
      <c r="CJ69" s="29"/>
      <c r="CK69" s="29"/>
    </row>
    <row r="70" ht="33" spans="1:89">
      <c r="A70" s="29" t="s">
        <v>366</v>
      </c>
      <c r="B70" s="30" t="s">
        <v>367</v>
      </c>
      <c r="C70" s="29" t="s">
        <v>368</v>
      </c>
      <c r="D70" s="31"/>
      <c r="E70" s="32">
        <v>46007</v>
      </c>
      <c r="F70" s="33">
        <v>35</v>
      </c>
      <c r="G70" s="34">
        <f t="shared" si="4"/>
        <v>125</v>
      </c>
      <c r="H70" s="35">
        <v>1.25</v>
      </c>
      <c r="I70" s="36">
        <v>19.5221238938053</v>
      </c>
      <c r="J70" s="35">
        <v>4.9341309638</v>
      </c>
      <c r="K70" s="35">
        <v>51.34</v>
      </c>
      <c r="L70" s="35">
        <v>66.31428</v>
      </c>
      <c r="M70" s="35">
        <v>3.998808</v>
      </c>
      <c r="N70" s="35">
        <v>9.95671201536</v>
      </c>
      <c r="O70" s="35">
        <v>0</v>
      </c>
      <c r="P70" s="35">
        <v>2.01321902654867</v>
      </c>
      <c r="Q70" s="37" t="s">
        <v>93</v>
      </c>
      <c r="R70" s="35" t="s">
        <v>94</v>
      </c>
      <c r="S70" s="35">
        <v>6.8</v>
      </c>
      <c r="T70" s="38" t="s">
        <v>369</v>
      </c>
      <c r="U70" s="39">
        <v>33.3168</v>
      </c>
      <c r="V70" s="38">
        <v>8.36999999999989</v>
      </c>
      <c r="W70" s="40"/>
      <c r="X70" s="35"/>
      <c r="Y70" s="35"/>
      <c r="Z70" s="35"/>
      <c r="AA70" s="35"/>
      <c r="AB70" s="35">
        <v>20.682</v>
      </c>
      <c r="AC70" s="41">
        <v>0.1</v>
      </c>
      <c r="AD70" s="42">
        <v>20.3185774174061</v>
      </c>
      <c r="AE70" s="43">
        <v>0.12493039915659</v>
      </c>
      <c r="AF70" s="43">
        <v>0.0128834474130233</v>
      </c>
      <c r="AG70" s="43">
        <v>0.0315756089937542</v>
      </c>
      <c r="AH70" s="43">
        <v>0.328546562228024</v>
      </c>
      <c r="AI70" s="44">
        <v>0.1769</v>
      </c>
      <c r="AJ70" s="44">
        <v>0.0336</v>
      </c>
      <c r="AK70" s="45">
        <v>0.0006</v>
      </c>
      <c r="AL70" s="45">
        <v>0</v>
      </c>
      <c r="AM70" s="45">
        <v>0.1125</v>
      </c>
      <c r="AN70" s="43">
        <v>0.0255900783289817</v>
      </c>
      <c r="AO70" s="43">
        <v>0.168573903879627</v>
      </c>
      <c r="AP70" s="46"/>
      <c r="AQ70" s="29"/>
      <c r="AR70" s="29"/>
      <c r="AS70" s="29"/>
      <c r="AT70" s="29"/>
      <c r="AU70" s="29"/>
      <c r="AV70" s="29"/>
      <c r="AW70" s="29"/>
      <c r="AX70" s="29"/>
      <c r="AY70" s="29"/>
      <c r="AZ70" s="29"/>
      <c r="BA70" s="29"/>
      <c r="BB70" s="29"/>
      <c r="BC70" s="29"/>
      <c r="BD70" s="29"/>
      <c r="BE70" s="29"/>
      <c r="BF70" s="47">
        <v>0.15</v>
      </c>
      <c r="BG70" s="48">
        <v>12.8492606905856</v>
      </c>
      <c r="BH70" s="48">
        <v>20.682</v>
      </c>
      <c r="BI70" s="48">
        <f t="shared" si="3"/>
        <v>0.621277472709873</v>
      </c>
      <c r="BJ70" s="45">
        <v>0.2652</v>
      </c>
      <c r="BK70" s="45">
        <v>0.211</v>
      </c>
      <c r="BL70" s="45"/>
      <c r="BM70" s="37"/>
      <c r="BN70" s="37"/>
      <c r="BO70" s="49"/>
      <c r="BP70" s="37"/>
      <c r="BQ70" s="37"/>
      <c r="BR70" s="49"/>
      <c r="BS70" s="29"/>
      <c r="BT70" s="29"/>
      <c r="BU70" s="29"/>
      <c r="BV70" s="29"/>
      <c r="BW70" s="29"/>
      <c r="BX70" s="29"/>
      <c r="BY70" s="29"/>
      <c r="BZ70" s="29"/>
      <c r="CA70" s="29"/>
      <c r="CB70" s="29"/>
      <c r="CC70" s="29"/>
      <c r="CD70" s="29"/>
      <c r="CE70" s="29"/>
      <c r="CF70" s="29"/>
      <c r="CG70" s="29"/>
      <c r="CH70" s="29"/>
      <c r="CI70" s="29"/>
      <c r="CJ70" s="29"/>
      <c r="CK70" s="29"/>
    </row>
    <row r="71" ht="33" spans="1:89">
      <c r="A71" s="29" t="s">
        <v>370</v>
      </c>
      <c r="B71" s="30" t="s">
        <v>371</v>
      </c>
      <c r="C71" s="29" t="s">
        <v>372</v>
      </c>
      <c r="D71" s="31"/>
      <c r="E71" s="32">
        <v>46007</v>
      </c>
      <c r="F71" s="33">
        <v>35</v>
      </c>
      <c r="G71" s="34">
        <f t="shared" si="4"/>
        <v>125</v>
      </c>
      <c r="H71" s="35">
        <v>1</v>
      </c>
      <c r="I71" s="36">
        <v>32.0353982300885</v>
      </c>
      <c r="J71" s="35">
        <v>6.1553435666</v>
      </c>
      <c r="K71" s="35">
        <v>51.34</v>
      </c>
      <c r="L71" s="35">
        <v>68.23868</v>
      </c>
      <c r="M71" s="35">
        <v>4.988412</v>
      </c>
      <c r="N71" s="35">
        <v>12.42074680704</v>
      </c>
      <c r="O71" s="35">
        <v>0</v>
      </c>
      <c r="P71" s="35">
        <v>3.30365044247788</v>
      </c>
      <c r="Q71" s="37" t="s">
        <v>93</v>
      </c>
      <c r="R71" s="35" t="s">
        <v>94</v>
      </c>
      <c r="S71" s="35">
        <v>6.8</v>
      </c>
      <c r="T71" s="38" t="s">
        <v>373</v>
      </c>
      <c r="U71" s="39">
        <v>31.9412</v>
      </c>
      <c r="V71" s="38">
        <v>3.29999999999995</v>
      </c>
      <c r="W71" s="40"/>
      <c r="X71" s="35"/>
      <c r="Y71" s="35"/>
      <c r="Z71" s="35"/>
      <c r="AA71" s="35"/>
      <c r="AB71" s="35">
        <v>28.782</v>
      </c>
      <c r="AC71" s="41">
        <v>0.1</v>
      </c>
      <c r="AD71" s="42">
        <v>24.2960758415129</v>
      </c>
      <c r="AE71" s="43">
        <v>0.147313570200532</v>
      </c>
      <c r="AF71" s="43">
        <v>0.0151917119269299</v>
      </c>
      <c r="AG71" s="43">
        <v>0.0283051151758452</v>
      </c>
      <c r="AH71" s="43">
        <v>0.236085053158224</v>
      </c>
      <c r="AI71" s="44">
        <v>0.1769</v>
      </c>
      <c r="AJ71" s="44">
        <v>0.0336</v>
      </c>
      <c r="AK71" s="45">
        <v>0.0006</v>
      </c>
      <c r="AL71" s="45">
        <v>0</v>
      </c>
      <c r="AM71" s="45">
        <v>0.1125</v>
      </c>
      <c r="AN71" s="43">
        <v>0.0229390243902439</v>
      </c>
      <c r="AO71" s="43">
        <v>0.242265525148225</v>
      </c>
      <c r="AP71" s="46"/>
      <c r="AQ71" s="29"/>
      <c r="AR71" s="29"/>
      <c r="AS71" s="29"/>
      <c r="AT71" s="29"/>
      <c r="AU71" s="29"/>
      <c r="AV71" s="29"/>
      <c r="AW71" s="29"/>
      <c r="AX71" s="29"/>
      <c r="AY71" s="29"/>
      <c r="AZ71" s="29"/>
      <c r="BA71" s="29"/>
      <c r="BB71" s="29"/>
      <c r="BC71" s="29"/>
      <c r="BD71" s="29"/>
      <c r="BE71" s="29"/>
      <c r="BF71" s="47">
        <v>0.15</v>
      </c>
      <c r="BG71" s="48">
        <v>20.0653288972367</v>
      </c>
      <c r="BH71" s="48">
        <v>28.782</v>
      </c>
      <c r="BI71" s="48">
        <f t="shared" ref="BI71:BI100" si="5">BG71/BH71</f>
        <v>0.697148526761056</v>
      </c>
      <c r="BJ71" s="45">
        <v>0.2652</v>
      </c>
      <c r="BK71" s="45">
        <v>0.211</v>
      </c>
      <c r="BL71" s="45"/>
      <c r="BM71" s="37"/>
      <c r="BN71" s="37"/>
      <c r="BO71" s="49"/>
      <c r="BP71" s="37"/>
      <c r="BQ71" s="37"/>
      <c r="BR71" s="49"/>
      <c r="BS71" s="29"/>
      <c r="BT71" s="29"/>
      <c r="BU71" s="29"/>
      <c r="BV71" s="29"/>
      <c r="BW71" s="29"/>
      <c r="BX71" s="29"/>
      <c r="BY71" s="29"/>
      <c r="BZ71" s="29"/>
      <c r="CA71" s="29"/>
      <c r="CB71" s="29"/>
      <c r="CC71" s="29"/>
      <c r="CD71" s="29"/>
      <c r="CE71" s="29"/>
      <c r="CF71" s="29"/>
      <c r="CG71" s="29"/>
      <c r="CH71" s="29"/>
      <c r="CI71" s="29"/>
      <c r="CJ71" s="29"/>
      <c r="CK71" s="29"/>
    </row>
    <row r="72" ht="33" spans="1:89">
      <c r="A72" s="29" t="s">
        <v>374</v>
      </c>
      <c r="B72" s="30" t="s">
        <v>375</v>
      </c>
      <c r="C72" s="29" t="s">
        <v>376</v>
      </c>
      <c r="D72" s="31"/>
      <c r="E72" s="32">
        <v>46007</v>
      </c>
      <c r="F72" s="33">
        <v>35</v>
      </c>
      <c r="G72" s="34">
        <f t="shared" si="4"/>
        <v>125</v>
      </c>
      <c r="H72" s="35">
        <v>1.25</v>
      </c>
      <c r="I72" s="36">
        <v>21.212389380531</v>
      </c>
      <c r="J72" s="35">
        <v>4.4989406128</v>
      </c>
      <c r="K72" s="35">
        <v>47.124</v>
      </c>
      <c r="L72" s="35">
        <v>66.31428</v>
      </c>
      <c r="M72" s="35">
        <v>3.6465</v>
      </c>
      <c r="N72" s="35">
        <v>9.07949328</v>
      </c>
      <c r="O72" s="35">
        <v>0</v>
      </c>
      <c r="P72" s="35">
        <v>2.18752765486726</v>
      </c>
      <c r="Q72" s="37" t="s">
        <v>93</v>
      </c>
      <c r="R72" s="35" t="s">
        <v>94</v>
      </c>
      <c r="S72" s="35">
        <v>6.8</v>
      </c>
      <c r="T72" s="38" t="s">
        <v>377</v>
      </c>
      <c r="U72" s="39">
        <v>29.6145</v>
      </c>
      <c r="V72" s="38">
        <v>15.1800000000001</v>
      </c>
      <c r="W72" s="40"/>
      <c r="X72" s="35"/>
      <c r="Y72" s="35"/>
      <c r="Z72" s="35"/>
      <c r="AA72" s="35"/>
      <c r="AB72" s="35">
        <v>26.991</v>
      </c>
      <c r="AC72" s="41">
        <v>0.1</v>
      </c>
      <c r="AD72" s="42">
        <v>19.538968389729</v>
      </c>
      <c r="AE72" s="43">
        <v>0.104016973209359</v>
      </c>
      <c r="AF72" s="43">
        <v>0.0107267503622151</v>
      </c>
      <c r="AG72" s="43">
        <v>0.0220609841162741</v>
      </c>
      <c r="AH72" s="43">
        <v>0.231077025675225</v>
      </c>
      <c r="AI72" s="44">
        <v>0.1769</v>
      </c>
      <c r="AJ72" s="44">
        <v>0.0336</v>
      </c>
      <c r="AK72" s="45">
        <v>0.0006</v>
      </c>
      <c r="AL72" s="45">
        <v>0</v>
      </c>
      <c r="AM72" s="45">
        <v>0.1125</v>
      </c>
      <c r="AN72" s="43">
        <v>0.0178809603201067</v>
      </c>
      <c r="AO72" s="43">
        <v>0.30633730631682</v>
      </c>
      <c r="AP72" s="46"/>
      <c r="AQ72" s="29"/>
      <c r="AR72" s="29"/>
      <c r="AS72" s="29"/>
      <c r="AT72" s="29"/>
      <c r="AU72" s="29"/>
      <c r="AV72" s="29"/>
      <c r="AW72" s="29"/>
      <c r="AX72" s="29"/>
      <c r="AY72" s="29"/>
      <c r="AZ72" s="29"/>
      <c r="BA72" s="29"/>
      <c r="BB72" s="29"/>
      <c r="BC72" s="29"/>
      <c r="BD72" s="29"/>
      <c r="BE72" s="29"/>
      <c r="BF72" s="47">
        <v>0.15</v>
      </c>
      <c r="BG72" s="48">
        <v>13.5086743129537</v>
      </c>
      <c r="BH72" s="48">
        <v>26.991</v>
      </c>
      <c r="BI72" s="48">
        <f t="shared" si="5"/>
        <v>0.500488100216876</v>
      </c>
      <c r="BJ72" s="45">
        <v>0.2652</v>
      </c>
      <c r="BK72" s="45">
        <v>0.211</v>
      </c>
      <c r="BL72" s="45"/>
      <c r="BM72" s="37"/>
      <c r="BN72" s="37"/>
      <c r="BO72" s="49"/>
      <c r="BP72" s="37"/>
      <c r="BQ72" s="37"/>
      <c r="BR72" s="49"/>
      <c r="BS72" s="29"/>
      <c r="BT72" s="29"/>
      <c r="BU72" s="29"/>
      <c r="BV72" s="29"/>
      <c r="BW72" s="29"/>
      <c r="BX72" s="29"/>
      <c r="BY72" s="29"/>
      <c r="BZ72" s="29"/>
      <c r="CA72" s="29"/>
      <c r="CB72" s="29"/>
      <c r="CC72" s="29"/>
      <c r="CD72" s="29"/>
      <c r="CE72" s="29"/>
      <c r="CF72" s="29"/>
      <c r="CG72" s="29"/>
      <c r="CH72" s="29"/>
      <c r="CI72" s="29"/>
      <c r="CJ72" s="29"/>
      <c r="CK72" s="29"/>
    </row>
    <row r="73" ht="33" spans="1:89">
      <c r="A73" s="29" t="s">
        <v>378</v>
      </c>
      <c r="B73" s="30" t="s">
        <v>379</v>
      </c>
      <c r="C73" s="29" t="s">
        <v>380</v>
      </c>
      <c r="D73" s="31"/>
      <c r="E73" s="32">
        <v>46007</v>
      </c>
      <c r="F73" s="33">
        <v>35</v>
      </c>
      <c r="G73" s="34">
        <f t="shared" si="4"/>
        <v>125</v>
      </c>
      <c r="H73" s="35">
        <v>2.16666666666667</v>
      </c>
      <c r="I73" s="36">
        <v>15.6371681415929</v>
      </c>
      <c r="J73" s="35">
        <v>2.6745975939</v>
      </c>
      <c r="K73" s="35">
        <v>41.344</v>
      </c>
      <c r="L73" s="35">
        <v>66.31428</v>
      </c>
      <c r="M73" s="35">
        <v>2.167704</v>
      </c>
      <c r="N73" s="35">
        <v>5.39740954368</v>
      </c>
      <c r="O73" s="35">
        <v>0</v>
      </c>
      <c r="P73" s="35">
        <v>1.61258296460177</v>
      </c>
      <c r="Q73" s="37" t="s">
        <v>93</v>
      </c>
      <c r="R73" s="35" t="s">
        <v>94</v>
      </c>
      <c r="S73" s="35">
        <v>6.8</v>
      </c>
      <c r="T73" s="38" t="s">
        <v>381</v>
      </c>
      <c r="U73" s="39">
        <v>27.9632</v>
      </c>
      <c r="V73" s="38">
        <v>9.07999999999993</v>
      </c>
      <c r="W73" s="40"/>
      <c r="X73" s="35"/>
      <c r="Y73" s="35"/>
      <c r="Z73" s="35"/>
      <c r="AA73" s="35"/>
      <c r="AB73" s="35">
        <v>20.682</v>
      </c>
      <c r="AC73" s="41">
        <v>0.1</v>
      </c>
      <c r="AD73" s="42">
        <v>15.755499543026</v>
      </c>
      <c r="AE73" s="43">
        <v>0.100068909931865</v>
      </c>
      <c r="AF73" s="43">
        <v>0.0103196063367236</v>
      </c>
      <c r="AG73" s="43">
        <v>0.0171158910171249</v>
      </c>
      <c r="AH73" s="43">
        <v>0.264577893820714</v>
      </c>
      <c r="AI73" s="44">
        <v>0.1769</v>
      </c>
      <c r="AJ73" s="44">
        <v>0.0336</v>
      </c>
      <c r="AK73" s="45">
        <v>0.0006</v>
      </c>
      <c r="AL73" s="45">
        <v>0</v>
      </c>
      <c r="AM73" s="45">
        <v>0.1125</v>
      </c>
      <c r="AN73" s="43">
        <v>0.0138720626631854</v>
      </c>
      <c r="AO73" s="43">
        <v>0.286145636230387</v>
      </c>
      <c r="AP73" s="46"/>
      <c r="AQ73" s="29"/>
      <c r="AR73" s="29"/>
      <c r="AS73" s="29"/>
      <c r="AT73" s="29"/>
      <c r="AU73" s="29"/>
      <c r="AV73" s="29"/>
      <c r="AW73" s="29"/>
      <c r="AX73" s="29"/>
      <c r="AY73" s="29"/>
      <c r="AZ73" s="29"/>
      <c r="BA73" s="29"/>
      <c r="BB73" s="29"/>
      <c r="BC73" s="29"/>
      <c r="BD73" s="29"/>
      <c r="BE73" s="29"/>
      <c r="BF73" s="47">
        <v>0.15</v>
      </c>
      <c r="BG73" s="48">
        <v>9.62096007791275</v>
      </c>
      <c r="BH73" s="48">
        <v>20.682</v>
      </c>
      <c r="BI73" s="48">
        <f t="shared" si="5"/>
        <v>0.465185188952362</v>
      </c>
      <c r="BJ73" s="45">
        <v>0.2652</v>
      </c>
      <c r="BK73" s="45">
        <v>0.211</v>
      </c>
      <c r="BL73" s="45"/>
      <c r="BM73" s="37"/>
      <c r="BN73" s="37"/>
      <c r="BO73" s="49"/>
      <c r="BP73" s="37"/>
      <c r="BQ73" s="37"/>
      <c r="BR73" s="49"/>
      <c r="BS73" s="29"/>
      <c r="BT73" s="29"/>
      <c r="BU73" s="29"/>
      <c r="BV73" s="29"/>
      <c r="BW73" s="29"/>
      <c r="BX73" s="29"/>
      <c r="BY73" s="29"/>
      <c r="BZ73" s="29"/>
      <c r="CA73" s="29"/>
      <c r="CB73" s="29"/>
      <c r="CC73" s="29"/>
      <c r="CD73" s="29"/>
      <c r="CE73" s="29"/>
      <c r="CF73" s="29"/>
      <c r="CG73" s="29"/>
      <c r="CH73" s="29"/>
      <c r="CI73" s="29"/>
      <c r="CJ73" s="29"/>
      <c r="CK73" s="29"/>
    </row>
    <row r="74" ht="33" spans="1:89">
      <c r="A74" s="29" t="s">
        <v>382</v>
      </c>
      <c r="B74" s="30" t="s">
        <v>383</v>
      </c>
      <c r="C74" s="29" t="s">
        <v>384</v>
      </c>
      <c r="D74" s="31"/>
      <c r="E74" s="32">
        <v>46007</v>
      </c>
      <c r="F74" s="33">
        <v>35</v>
      </c>
      <c r="G74" s="34">
        <f t="shared" si="4"/>
        <v>125</v>
      </c>
      <c r="H74" s="35">
        <v>1.25</v>
      </c>
      <c r="I74" s="36">
        <v>18.5309734513274</v>
      </c>
      <c r="J74" s="35">
        <v>3.1520637657</v>
      </c>
      <c r="K74" s="35">
        <v>47.124</v>
      </c>
      <c r="L74" s="35">
        <v>66.31428</v>
      </c>
      <c r="M74" s="35">
        <v>2.554794</v>
      </c>
      <c r="N74" s="35">
        <v>6.36123267648</v>
      </c>
      <c r="O74" s="35">
        <v>0</v>
      </c>
      <c r="P74" s="35">
        <v>1.91100663716814</v>
      </c>
      <c r="Q74" s="37" t="s">
        <v>93</v>
      </c>
      <c r="R74" s="35" t="s">
        <v>94</v>
      </c>
      <c r="S74" s="35">
        <v>6.8</v>
      </c>
      <c r="T74" s="38" t="s">
        <v>385</v>
      </c>
      <c r="U74" s="39">
        <v>27.320001</v>
      </c>
      <c r="V74" s="38">
        <v>9.71000000000004</v>
      </c>
      <c r="W74" s="40"/>
      <c r="X74" s="35"/>
      <c r="Y74" s="35"/>
      <c r="Z74" s="35"/>
      <c r="AA74" s="35"/>
      <c r="AB74" s="35">
        <v>21.582</v>
      </c>
      <c r="AC74" s="41">
        <v>0.1</v>
      </c>
      <c r="AD74" s="42">
        <v>18.1986443700377</v>
      </c>
      <c r="AE74" s="43">
        <v>0.113642333386446</v>
      </c>
      <c r="AF74" s="43">
        <v>0.0117193656304772</v>
      </c>
      <c r="AG74" s="43">
        <v>0.0193302247320071</v>
      </c>
      <c r="AH74" s="43">
        <v>0.288990825688073</v>
      </c>
      <c r="AI74" s="44">
        <v>0.1769</v>
      </c>
      <c r="AJ74" s="44">
        <v>0.0336</v>
      </c>
      <c r="AK74" s="45">
        <v>0.0006</v>
      </c>
      <c r="AL74" s="45">
        <v>0</v>
      </c>
      <c r="AM74" s="45">
        <v>0.1125</v>
      </c>
      <c r="AN74" s="43">
        <v>0.0156674311926605</v>
      </c>
      <c r="AO74" s="43">
        <v>0.242749819370336</v>
      </c>
      <c r="AP74" s="46"/>
      <c r="AQ74" s="29"/>
      <c r="AR74" s="29"/>
      <c r="AS74" s="29"/>
      <c r="AT74" s="29"/>
      <c r="AU74" s="29"/>
      <c r="AV74" s="29"/>
      <c r="AW74" s="29"/>
      <c r="AX74" s="29"/>
      <c r="AY74" s="29"/>
      <c r="AZ74" s="29"/>
      <c r="BA74" s="29"/>
      <c r="BB74" s="29"/>
      <c r="BC74" s="29"/>
      <c r="BD74" s="29"/>
      <c r="BE74" s="29"/>
      <c r="BF74" s="47">
        <v>0.15</v>
      </c>
      <c r="BG74" s="48">
        <v>11.3922184483048</v>
      </c>
      <c r="BH74" s="48">
        <v>21.582</v>
      </c>
      <c r="BI74" s="48">
        <f t="shared" si="5"/>
        <v>0.527857401923121</v>
      </c>
      <c r="BJ74" s="45">
        <v>0.2652</v>
      </c>
      <c r="BK74" s="45">
        <v>0.211</v>
      </c>
      <c r="BL74" s="45"/>
      <c r="BM74" s="37"/>
      <c r="BN74" s="37"/>
      <c r="BO74" s="49"/>
      <c r="BP74" s="37"/>
      <c r="BQ74" s="37"/>
      <c r="BR74" s="49"/>
      <c r="BS74" s="29"/>
      <c r="BT74" s="29"/>
      <c r="BU74" s="29"/>
      <c r="BV74" s="29"/>
      <c r="BW74" s="29"/>
      <c r="BX74" s="29"/>
      <c r="BY74" s="29"/>
      <c r="BZ74" s="29"/>
      <c r="CA74" s="29"/>
      <c r="CB74" s="29"/>
      <c r="CC74" s="29"/>
      <c r="CD74" s="29"/>
      <c r="CE74" s="29"/>
      <c r="CF74" s="29"/>
      <c r="CG74" s="29"/>
      <c r="CH74" s="29"/>
      <c r="CI74" s="29"/>
      <c r="CJ74" s="29"/>
      <c r="CK74" s="29"/>
    </row>
    <row r="75" ht="33" spans="1:89">
      <c r="A75" s="29" t="s">
        <v>386</v>
      </c>
      <c r="B75" s="30" t="s">
        <v>387</v>
      </c>
      <c r="C75" s="29" t="s">
        <v>388</v>
      </c>
      <c r="D75" s="31"/>
      <c r="E75" s="32">
        <v>46007</v>
      </c>
      <c r="F75" s="33">
        <v>35</v>
      </c>
      <c r="G75" s="34">
        <f t="shared" si="4"/>
        <v>125</v>
      </c>
      <c r="H75" s="35">
        <v>0.833333333333333</v>
      </c>
      <c r="I75" s="36">
        <v>15.1592920353982</v>
      </c>
      <c r="J75" s="35">
        <v>3.0234815946</v>
      </c>
      <c r="K75" s="35">
        <v>41.344</v>
      </c>
      <c r="L75" s="35">
        <v>66.31428</v>
      </c>
      <c r="M75" s="35">
        <v>2.450448</v>
      </c>
      <c r="N75" s="35">
        <v>6.10141948416</v>
      </c>
      <c r="O75" s="35">
        <v>0</v>
      </c>
      <c r="P75" s="35">
        <v>1.56330199115044</v>
      </c>
      <c r="Q75" s="37" t="s">
        <v>93</v>
      </c>
      <c r="R75" s="35" t="s">
        <v>94</v>
      </c>
      <c r="S75" s="35">
        <v>6.8</v>
      </c>
      <c r="T75" s="38" t="s">
        <v>389</v>
      </c>
      <c r="U75" s="39">
        <v>26.6113</v>
      </c>
      <c r="V75" s="38">
        <v>15.2000000000001</v>
      </c>
      <c r="W75" s="40"/>
      <c r="X75" s="35"/>
      <c r="Y75" s="35"/>
      <c r="Z75" s="35"/>
      <c r="AA75" s="35"/>
      <c r="AB75" s="35">
        <v>22.311</v>
      </c>
      <c r="AC75" s="41">
        <v>0.1</v>
      </c>
      <c r="AD75" s="42">
        <v>15.7814467998124</v>
      </c>
      <c r="AE75" s="43">
        <v>0.0899276987601632</v>
      </c>
      <c r="AF75" s="43">
        <v>0.00927379393464183</v>
      </c>
      <c r="AG75" s="43">
        <v>0.017935846965095</v>
      </c>
      <c r="AH75" s="43">
        <v>0.245260185558693</v>
      </c>
      <c r="AI75" s="44">
        <v>0.1769</v>
      </c>
      <c r="AJ75" s="44">
        <v>0.0336</v>
      </c>
      <c r="AK75" s="45">
        <v>0.0006</v>
      </c>
      <c r="AL75" s="45">
        <v>0</v>
      </c>
      <c r="AM75" s="45">
        <v>0.1125</v>
      </c>
      <c r="AN75" s="43">
        <v>0.0145365066559096</v>
      </c>
      <c r="AO75" s="43">
        <v>0.315165968125497</v>
      </c>
      <c r="AP75" s="46"/>
      <c r="AQ75" s="29"/>
      <c r="AR75" s="29"/>
      <c r="AS75" s="29"/>
      <c r="AT75" s="29"/>
      <c r="AU75" s="29"/>
      <c r="AV75" s="29"/>
      <c r="AW75" s="29"/>
      <c r="AX75" s="29"/>
      <c r="AY75" s="29"/>
      <c r="AZ75" s="29"/>
      <c r="BA75" s="29"/>
      <c r="BB75" s="29"/>
      <c r="BC75" s="29"/>
      <c r="BD75" s="29"/>
      <c r="BE75" s="29"/>
      <c r="BF75" s="47">
        <v>0.15</v>
      </c>
      <c r="BG75" s="48">
        <v>9.55318791900374</v>
      </c>
      <c r="BH75" s="48">
        <v>22.311</v>
      </c>
      <c r="BI75" s="48">
        <f t="shared" si="5"/>
        <v>0.428182865806272</v>
      </c>
      <c r="BJ75" s="45">
        <v>0.2652</v>
      </c>
      <c r="BK75" s="45">
        <v>0.211</v>
      </c>
      <c r="BL75" s="45"/>
      <c r="BM75" s="37"/>
      <c r="BN75" s="37"/>
      <c r="BO75" s="49"/>
      <c r="BP75" s="37"/>
      <c r="BQ75" s="37"/>
      <c r="BR75" s="49"/>
      <c r="BS75" s="29"/>
      <c r="BT75" s="29"/>
      <c r="BU75" s="29"/>
      <c r="BV75" s="29"/>
      <c r="BW75" s="29"/>
      <c r="BX75" s="29"/>
      <c r="BY75" s="29"/>
      <c r="BZ75" s="29"/>
      <c r="CA75" s="29"/>
      <c r="CB75" s="29"/>
      <c r="CC75" s="29"/>
      <c r="CD75" s="29"/>
      <c r="CE75" s="29"/>
      <c r="CF75" s="29"/>
      <c r="CG75" s="29"/>
      <c r="CH75" s="29"/>
      <c r="CI75" s="29"/>
      <c r="CJ75" s="29"/>
      <c r="CK75" s="29"/>
    </row>
    <row r="76" ht="33" spans="1:89">
      <c r="A76" s="29" t="s">
        <v>390</v>
      </c>
      <c r="B76" s="30" t="s">
        <v>391</v>
      </c>
      <c r="C76" s="29" t="s">
        <v>392</v>
      </c>
      <c r="D76" s="31"/>
      <c r="E76" s="32">
        <v>46007</v>
      </c>
      <c r="F76" s="33">
        <v>40</v>
      </c>
      <c r="G76" s="34">
        <f t="shared" si="4"/>
        <v>130</v>
      </c>
      <c r="H76" s="35">
        <v>1</v>
      </c>
      <c r="I76" s="36">
        <v>23.0265486725664</v>
      </c>
      <c r="J76" s="35">
        <v>4.6515101456</v>
      </c>
      <c r="K76" s="35">
        <v>47.124</v>
      </c>
      <c r="L76" s="35">
        <v>66.31428</v>
      </c>
      <c r="M76" s="35">
        <v>3.76992</v>
      </c>
      <c r="N76" s="35">
        <v>9.3867992064</v>
      </c>
      <c r="O76" s="35">
        <v>0</v>
      </c>
      <c r="P76" s="35">
        <v>2.37461283185841</v>
      </c>
      <c r="Q76" s="37" t="s">
        <v>93</v>
      </c>
      <c r="R76" s="35" t="s">
        <v>94</v>
      </c>
      <c r="S76" s="35">
        <v>6.8</v>
      </c>
      <c r="T76" s="38" t="s">
        <v>393</v>
      </c>
      <c r="U76" s="39">
        <v>25.8933</v>
      </c>
      <c r="V76" s="38">
        <v>19.95</v>
      </c>
      <c r="W76" s="40"/>
      <c r="X76" s="35"/>
      <c r="Y76" s="35"/>
      <c r="Z76" s="35"/>
      <c r="AA76" s="35"/>
      <c r="AB76" s="35">
        <v>26.082</v>
      </c>
      <c r="AC76" s="41">
        <v>0.1</v>
      </c>
      <c r="AD76" s="42">
        <v>20.1045609470839</v>
      </c>
      <c r="AE76" s="43">
        <v>0.116848073075581</v>
      </c>
      <c r="AF76" s="43">
        <v>0.0120499575359193</v>
      </c>
      <c r="AG76" s="43">
        <v>0.0236040583039013</v>
      </c>
      <c r="AH76" s="43">
        <v>0.239130434782609</v>
      </c>
      <c r="AI76" s="44">
        <v>0.1769</v>
      </c>
      <c r="AJ76" s="44">
        <v>0.0336</v>
      </c>
      <c r="AK76" s="45">
        <v>0.0006</v>
      </c>
      <c r="AL76" s="45">
        <v>0</v>
      </c>
      <c r="AM76" s="45">
        <v>0.1125</v>
      </c>
      <c r="AN76" s="43">
        <v>0.0191304347826087</v>
      </c>
      <c r="AO76" s="43">
        <v>0.28133704151938</v>
      </c>
      <c r="AP76" s="46"/>
      <c r="AQ76" s="29"/>
      <c r="AR76" s="29"/>
      <c r="AS76" s="29"/>
      <c r="AT76" s="29"/>
      <c r="AU76" s="29"/>
      <c r="AV76" s="29"/>
      <c r="AW76" s="29"/>
      <c r="AX76" s="29"/>
      <c r="AY76" s="29"/>
      <c r="AZ76" s="29"/>
      <c r="BA76" s="29"/>
      <c r="BB76" s="29"/>
      <c r="BC76" s="29"/>
      <c r="BD76" s="29"/>
      <c r="BE76" s="29"/>
      <c r="BF76" s="47">
        <v>0.15</v>
      </c>
      <c r="BG76" s="48">
        <v>14.5419891653355</v>
      </c>
      <c r="BH76" s="48">
        <v>26.082</v>
      </c>
      <c r="BI76" s="48">
        <f t="shared" si="5"/>
        <v>0.557548852286462</v>
      </c>
      <c r="BJ76" s="45">
        <v>0.2652</v>
      </c>
      <c r="BK76" s="45">
        <v>0.211</v>
      </c>
      <c r="BL76" s="45"/>
      <c r="BM76" s="37"/>
      <c r="BN76" s="37"/>
      <c r="BO76" s="49"/>
      <c r="BP76" s="37"/>
      <c r="BQ76" s="37"/>
      <c r="BR76" s="49"/>
      <c r="BS76" s="29"/>
      <c r="BT76" s="29"/>
      <c r="BU76" s="29"/>
      <c r="BV76" s="29"/>
      <c r="BW76" s="29"/>
      <c r="BX76" s="29"/>
      <c r="BY76" s="29"/>
      <c r="BZ76" s="29"/>
      <c r="CA76" s="29"/>
      <c r="CB76" s="29"/>
      <c r="CC76" s="29"/>
      <c r="CD76" s="29"/>
      <c r="CE76" s="29"/>
      <c r="CF76" s="29"/>
      <c r="CG76" s="29"/>
      <c r="CH76" s="29"/>
      <c r="CI76" s="29"/>
      <c r="CJ76" s="29"/>
      <c r="CK76" s="29"/>
    </row>
    <row r="77" ht="33" spans="1:89">
      <c r="A77" s="29" t="s">
        <v>394</v>
      </c>
      <c r="B77" s="30" t="s">
        <v>395</v>
      </c>
      <c r="C77" s="29" t="s">
        <v>396</v>
      </c>
      <c r="D77" s="31"/>
      <c r="E77" s="32">
        <v>46007</v>
      </c>
      <c r="F77" s="33">
        <v>35</v>
      </c>
      <c r="G77" s="34">
        <f t="shared" si="4"/>
        <v>125</v>
      </c>
      <c r="H77" s="35">
        <v>1.25</v>
      </c>
      <c r="I77" s="36">
        <v>20.0530973451327</v>
      </c>
      <c r="J77" s="35">
        <v>3.6934082693</v>
      </c>
      <c r="K77" s="35">
        <v>47.124</v>
      </c>
      <c r="L77" s="35">
        <v>66.31428</v>
      </c>
      <c r="M77" s="35">
        <v>2.993496</v>
      </c>
      <c r="N77" s="35">
        <v>7.45356556032</v>
      </c>
      <c r="O77" s="35">
        <v>0</v>
      </c>
      <c r="P77" s="35">
        <v>2.06797566371681</v>
      </c>
      <c r="Q77" s="37" t="s">
        <v>93</v>
      </c>
      <c r="R77" s="35" t="s">
        <v>94</v>
      </c>
      <c r="S77" s="35">
        <v>6.8</v>
      </c>
      <c r="T77" s="38" t="s">
        <v>397</v>
      </c>
      <c r="U77" s="39">
        <v>24.6537</v>
      </c>
      <c r="V77" s="38">
        <v>4.53999999999996</v>
      </c>
      <c r="W77" s="40"/>
      <c r="X77" s="35"/>
      <c r="Y77" s="35"/>
      <c r="Z77" s="35"/>
      <c r="AA77" s="35"/>
      <c r="AB77" s="35">
        <v>23.868</v>
      </c>
      <c r="AC77" s="41">
        <v>0.1</v>
      </c>
      <c r="AD77" s="42">
        <v>18.8590900975962</v>
      </c>
      <c r="AE77" s="43">
        <v>0.111198525780392</v>
      </c>
      <c r="AF77" s="43">
        <v>0.0114673479711029</v>
      </c>
      <c r="AG77" s="43">
        <v>0.0204807041816387</v>
      </c>
      <c r="AH77" s="43">
        <v>0.26131221719457</v>
      </c>
      <c r="AI77" s="44">
        <v>0.1769</v>
      </c>
      <c r="AJ77" s="44">
        <v>0.0336</v>
      </c>
      <c r="AK77" s="45">
        <v>0.0006</v>
      </c>
      <c r="AL77" s="45">
        <v>0</v>
      </c>
      <c r="AM77" s="45">
        <v>0.1125</v>
      </c>
      <c r="AN77" s="43">
        <v>0.0165995475113122</v>
      </c>
      <c r="AO77" s="43">
        <v>0.271041657360984</v>
      </c>
      <c r="AP77" s="46"/>
      <c r="AQ77" s="29"/>
      <c r="AR77" s="29"/>
      <c r="AS77" s="29"/>
      <c r="AT77" s="29"/>
      <c r="AU77" s="29"/>
      <c r="AV77" s="29"/>
      <c r="AW77" s="29"/>
      <c r="AX77" s="29"/>
      <c r="AY77" s="29"/>
      <c r="AZ77" s="29"/>
      <c r="BA77" s="29"/>
      <c r="BB77" s="29"/>
      <c r="BC77" s="29"/>
      <c r="BD77" s="29"/>
      <c r="BE77" s="29"/>
      <c r="BF77" s="47">
        <v>0.15</v>
      </c>
      <c r="BG77" s="48">
        <v>12.4763600521366</v>
      </c>
      <c r="BH77" s="48">
        <v>23.868</v>
      </c>
      <c r="BI77" s="48">
        <f t="shared" si="5"/>
        <v>0.522723313731213</v>
      </c>
      <c r="BJ77" s="45">
        <v>0.2652</v>
      </c>
      <c r="BK77" s="45">
        <v>0.211</v>
      </c>
      <c r="BL77" s="45"/>
      <c r="BM77" s="37"/>
      <c r="BN77" s="37"/>
      <c r="BO77" s="49"/>
      <c r="BP77" s="37"/>
      <c r="BQ77" s="37"/>
      <c r="BR77" s="49"/>
      <c r="BS77" s="29"/>
      <c r="BT77" s="29"/>
      <c r="BU77" s="29"/>
      <c r="BV77" s="29"/>
      <c r="BW77" s="29"/>
      <c r="BX77" s="29"/>
      <c r="BY77" s="29"/>
      <c r="BZ77" s="29"/>
      <c r="CA77" s="29"/>
      <c r="CB77" s="29"/>
      <c r="CC77" s="29"/>
      <c r="CD77" s="29"/>
      <c r="CE77" s="29"/>
      <c r="CF77" s="29"/>
      <c r="CG77" s="29"/>
      <c r="CH77" s="29"/>
      <c r="CI77" s="29"/>
      <c r="CJ77" s="29"/>
      <c r="CK77" s="29"/>
    </row>
    <row r="78" ht="33" spans="1:89">
      <c r="A78" s="29" t="s">
        <v>398</v>
      </c>
      <c r="B78" s="30" t="s">
        <v>399</v>
      </c>
      <c r="C78" s="29" t="s">
        <v>400</v>
      </c>
      <c r="D78" s="31"/>
      <c r="E78" s="32">
        <v>46007</v>
      </c>
      <c r="F78" s="33">
        <v>40</v>
      </c>
      <c r="G78" s="34">
        <f t="shared" si="4"/>
        <v>130</v>
      </c>
      <c r="H78" s="35">
        <v>2.5</v>
      </c>
      <c r="I78" s="36">
        <v>17.787610619469</v>
      </c>
      <c r="J78" s="35">
        <v>5.233151812</v>
      </c>
      <c r="K78" s="35">
        <v>51.34</v>
      </c>
      <c r="L78" s="35">
        <v>68.23868</v>
      </c>
      <c r="M78" s="35">
        <v>4.24116</v>
      </c>
      <c r="N78" s="35">
        <v>10.5601491072</v>
      </c>
      <c r="O78" s="35">
        <v>0</v>
      </c>
      <c r="P78" s="35">
        <v>1.83434734513274</v>
      </c>
      <c r="Q78" s="37" t="s">
        <v>93</v>
      </c>
      <c r="R78" s="35" t="s">
        <v>94</v>
      </c>
      <c r="S78" s="35">
        <v>6.8</v>
      </c>
      <c r="T78" s="38" t="s">
        <v>401</v>
      </c>
      <c r="U78" s="39">
        <v>24.573101</v>
      </c>
      <c r="V78" s="38">
        <v>15.23</v>
      </c>
      <c r="W78" s="40"/>
      <c r="X78" s="35"/>
      <c r="Y78" s="35"/>
      <c r="Z78" s="35"/>
      <c r="AA78" s="35"/>
      <c r="AB78" s="35">
        <v>20.682</v>
      </c>
      <c r="AC78" s="41">
        <v>0.1</v>
      </c>
      <c r="AD78" s="42">
        <v>19.9778132113519</v>
      </c>
      <c r="AE78" s="43">
        <v>0.113830508751018</v>
      </c>
      <c r="AF78" s="43">
        <v>0.0117387712149487</v>
      </c>
      <c r="AG78" s="43">
        <v>0.0334891709670814</v>
      </c>
      <c r="AH78" s="43">
        <v>0.328546562228024</v>
      </c>
      <c r="AI78" s="44">
        <v>0.1769</v>
      </c>
      <c r="AJ78" s="44">
        <v>0.0336</v>
      </c>
      <c r="AK78" s="45">
        <v>0.0006</v>
      </c>
      <c r="AL78" s="45">
        <v>0</v>
      </c>
      <c r="AM78" s="45">
        <v>0.1125</v>
      </c>
      <c r="AN78" s="43">
        <v>0.0271409921671018</v>
      </c>
      <c r="AO78" s="43">
        <v>0.177353994671826</v>
      </c>
      <c r="AP78" s="46"/>
      <c r="AQ78" s="29"/>
      <c r="AR78" s="29"/>
      <c r="AS78" s="29"/>
      <c r="AT78" s="29"/>
      <c r="AU78" s="29"/>
      <c r="AV78" s="29"/>
      <c r="AW78" s="29"/>
      <c r="AX78" s="29"/>
      <c r="AY78" s="29"/>
      <c r="AZ78" s="29"/>
      <c r="BA78" s="29"/>
      <c r="BB78" s="29"/>
      <c r="BC78" s="29"/>
      <c r="BD78" s="29"/>
      <c r="BE78" s="29"/>
      <c r="BF78" s="47">
        <v>0.15</v>
      </c>
      <c r="BG78" s="48">
        <v>12.0950562340904</v>
      </c>
      <c r="BH78" s="48">
        <v>20.682</v>
      </c>
      <c r="BI78" s="48">
        <f t="shared" si="5"/>
        <v>0.584810764630616</v>
      </c>
      <c r="BJ78" s="45">
        <v>0.2652</v>
      </c>
      <c r="BK78" s="45">
        <v>0.211</v>
      </c>
      <c r="BL78" s="45"/>
      <c r="BM78" s="37"/>
      <c r="BN78" s="37"/>
      <c r="BO78" s="49"/>
      <c r="BP78" s="37"/>
      <c r="BQ78" s="37"/>
      <c r="BR78" s="49"/>
      <c r="BS78" s="29"/>
      <c r="BT78" s="29"/>
      <c r="BU78" s="29"/>
      <c r="BV78" s="29"/>
      <c r="BW78" s="29"/>
      <c r="BX78" s="29"/>
      <c r="BY78" s="29"/>
      <c r="BZ78" s="29"/>
      <c r="CA78" s="29"/>
      <c r="CB78" s="29"/>
      <c r="CC78" s="29"/>
      <c r="CD78" s="29"/>
      <c r="CE78" s="29"/>
      <c r="CF78" s="29"/>
      <c r="CG78" s="29"/>
      <c r="CH78" s="29"/>
      <c r="CI78" s="29"/>
      <c r="CJ78" s="29"/>
      <c r="CK78" s="29"/>
    </row>
    <row r="79" ht="33" spans="1:89">
      <c r="A79" s="29" t="s">
        <v>402</v>
      </c>
      <c r="B79" s="30" t="s">
        <v>403</v>
      </c>
      <c r="C79" s="29" t="s">
        <v>404</v>
      </c>
      <c r="D79" s="31"/>
      <c r="E79" s="32">
        <v>46007</v>
      </c>
      <c r="F79" s="33">
        <v>40</v>
      </c>
      <c r="G79" s="34">
        <f t="shared" si="4"/>
        <v>130</v>
      </c>
      <c r="H79" s="35">
        <v>1.66666666666667</v>
      </c>
      <c r="I79" s="36">
        <v>18.4513274336283</v>
      </c>
      <c r="J79" s="35">
        <v>3.8373768448</v>
      </c>
      <c r="K79" s="35">
        <v>47.124</v>
      </c>
      <c r="L79" s="35">
        <v>66.31428</v>
      </c>
      <c r="M79" s="35">
        <v>3.110184</v>
      </c>
      <c r="N79" s="35">
        <v>7.74410934528</v>
      </c>
      <c r="O79" s="35">
        <v>0</v>
      </c>
      <c r="P79" s="35">
        <v>1.90279314159292</v>
      </c>
      <c r="Q79" s="37" t="s">
        <v>93</v>
      </c>
      <c r="R79" s="35" t="s">
        <v>94</v>
      </c>
      <c r="S79" s="35">
        <v>6.8</v>
      </c>
      <c r="T79" s="38" t="s">
        <v>405</v>
      </c>
      <c r="U79" s="39">
        <v>23.2539</v>
      </c>
      <c r="V79" s="38">
        <v>19.96</v>
      </c>
      <c r="W79" s="40"/>
      <c r="X79" s="35"/>
      <c r="Y79" s="35"/>
      <c r="Z79" s="35"/>
      <c r="AA79" s="35"/>
      <c r="AB79" s="35">
        <v>20.862</v>
      </c>
      <c r="AC79" s="41">
        <v>0.1</v>
      </c>
      <c r="AD79" s="42">
        <v>18.4849740753304</v>
      </c>
      <c r="AE79" s="43">
        <v>0.117059124458384</v>
      </c>
      <c r="AF79" s="43">
        <v>0.0120717222097708</v>
      </c>
      <c r="AG79" s="43">
        <v>0.0243451304674415</v>
      </c>
      <c r="AH79" s="43">
        <v>0.298964624676445</v>
      </c>
      <c r="AI79" s="44">
        <v>0.1769</v>
      </c>
      <c r="AJ79" s="44">
        <v>0.0336</v>
      </c>
      <c r="AK79" s="45">
        <v>0.0006</v>
      </c>
      <c r="AL79" s="45">
        <v>0</v>
      </c>
      <c r="AM79" s="45">
        <v>0.1125</v>
      </c>
      <c r="AN79" s="43">
        <v>0.0197316652286454</v>
      </c>
      <c r="AO79" s="43">
        <v>0.219927732959313</v>
      </c>
      <c r="AP79" s="46"/>
      <c r="AQ79" s="29"/>
      <c r="AR79" s="29"/>
      <c r="AS79" s="29"/>
      <c r="AT79" s="29"/>
      <c r="AU79" s="29"/>
      <c r="AV79" s="29"/>
      <c r="AW79" s="29"/>
      <c r="AX79" s="29"/>
      <c r="AY79" s="29"/>
      <c r="AZ79" s="29"/>
      <c r="BA79" s="29"/>
      <c r="BB79" s="29"/>
      <c r="BC79" s="29"/>
      <c r="BD79" s="29"/>
      <c r="BE79" s="29"/>
      <c r="BF79" s="47">
        <v>0.15</v>
      </c>
      <c r="BG79" s="48">
        <v>11.7104345451255</v>
      </c>
      <c r="BH79" s="48">
        <v>20.862</v>
      </c>
      <c r="BI79" s="48">
        <f t="shared" si="5"/>
        <v>0.561328470191041</v>
      </c>
      <c r="BJ79" s="45">
        <v>0.2652</v>
      </c>
      <c r="BK79" s="45">
        <v>0.211</v>
      </c>
      <c r="BL79" s="45"/>
      <c r="BM79" s="37"/>
      <c r="BN79" s="37"/>
      <c r="BO79" s="49"/>
      <c r="BP79" s="37"/>
      <c r="BQ79" s="37"/>
      <c r="BR79" s="49"/>
      <c r="BS79" s="29"/>
      <c r="BT79" s="29"/>
      <c r="BU79" s="29"/>
      <c r="BV79" s="29"/>
      <c r="BW79" s="29"/>
      <c r="BX79" s="29"/>
      <c r="BY79" s="29"/>
      <c r="BZ79" s="29"/>
      <c r="CA79" s="29"/>
      <c r="CB79" s="29"/>
      <c r="CC79" s="29"/>
      <c r="CD79" s="29"/>
      <c r="CE79" s="29"/>
      <c r="CF79" s="29"/>
      <c r="CG79" s="29"/>
      <c r="CH79" s="29"/>
      <c r="CI79" s="29"/>
      <c r="CJ79" s="29"/>
      <c r="CK79" s="29"/>
    </row>
    <row r="80" ht="33" spans="1:89">
      <c r="A80" s="29" t="s">
        <v>406</v>
      </c>
      <c r="B80" s="30" t="s">
        <v>407</v>
      </c>
      <c r="C80" s="29" t="s">
        <v>408</v>
      </c>
      <c r="D80" s="31"/>
      <c r="E80" s="32">
        <v>46007</v>
      </c>
      <c r="F80" s="33">
        <v>40</v>
      </c>
      <c r="G80" s="34">
        <f t="shared" si="4"/>
        <v>130</v>
      </c>
      <c r="H80" s="35">
        <v>1</v>
      </c>
      <c r="I80" s="36">
        <v>24.0088495575221</v>
      </c>
      <c r="J80" s="35">
        <v>5.6208653334</v>
      </c>
      <c r="K80" s="35">
        <v>51.34</v>
      </c>
      <c r="L80" s="35">
        <v>68.23868</v>
      </c>
      <c r="M80" s="35">
        <v>4.55532</v>
      </c>
      <c r="N80" s="35">
        <v>11.3423823744</v>
      </c>
      <c r="O80" s="35">
        <v>0</v>
      </c>
      <c r="P80" s="35">
        <v>2.47591261061947</v>
      </c>
      <c r="Q80" s="37" t="s">
        <v>93</v>
      </c>
      <c r="R80" s="35" t="s">
        <v>94</v>
      </c>
      <c r="S80" s="35">
        <v>6.8</v>
      </c>
      <c r="T80" s="38" t="s">
        <v>409</v>
      </c>
      <c r="U80" s="39">
        <v>23.1592</v>
      </c>
      <c r="V80" s="38">
        <v>5.91000000000008</v>
      </c>
      <c r="W80" s="40"/>
      <c r="X80" s="35"/>
      <c r="Y80" s="35"/>
      <c r="Z80" s="35"/>
      <c r="AA80" s="35"/>
      <c r="AB80" s="35">
        <v>26.982</v>
      </c>
      <c r="AC80" s="41">
        <v>0.1</v>
      </c>
      <c r="AD80" s="42">
        <v>21.8566387587405</v>
      </c>
      <c r="AE80" s="43">
        <v>0.117768951641889</v>
      </c>
      <c r="AF80" s="43">
        <v>0.0121449231380698</v>
      </c>
      <c r="AG80" s="43">
        <v>0.0275716425332575</v>
      </c>
      <c r="AH80" s="43">
        <v>0.251834556370914</v>
      </c>
      <c r="AI80" s="44">
        <v>0.1769</v>
      </c>
      <c r="AJ80" s="44">
        <v>0.0336</v>
      </c>
      <c r="AK80" s="45">
        <v>0.0006</v>
      </c>
      <c r="AL80" s="45">
        <v>0</v>
      </c>
      <c r="AM80" s="45">
        <v>0.1125</v>
      </c>
      <c r="AN80" s="43">
        <v>0.0223448965977318</v>
      </c>
      <c r="AO80" s="43">
        <v>0.260435029718138</v>
      </c>
      <c r="AP80" s="46"/>
      <c r="AQ80" s="29"/>
      <c r="AR80" s="29"/>
      <c r="AS80" s="29"/>
      <c r="AT80" s="29"/>
      <c r="AU80" s="29"/>
      <c r="AV80" s="29"/>
      <c r="AW80" s="29"/>
      <c r="AX80" s="29"/>
      <c r="AY80" s="29"/>
      <c r="AZ80" s="29"/>
      <c r="BA80" s="29"/>
      <c r="BB80" s="29"/>
      <c r="BC80" s="29"/>
      <c r="BD80" s="29"/>
      <c r="BE80" s="29"/>
      <c r="BF80" s="47">
        <v>0.15</v>
      </c>
      <c r="BG80" s="48">
        <v>15.5673848280489</v>
      </c>
      <c r="BH80" s="48">
        <v>26.982</v>
      </c>
      <c r="BI80" s="48">
        <f t="shared" si="5"/>
        <v>0.576954444742751</v>
      </c>
      <c r="BJ80" s="45">
        <v>0.2652</v>
      </c>
      <c r="BK80" s="45">
        <v>0.211</v>
      </c>
      <c r="BL80" s="45"/>
      <c r="BM80" s="37"/>
      <c r="BN80" s="37"/>
      <c r="BO80" s="49"/>
      <c r="BP80" s="37"/>
      <c r="BQ80" s="37"/>
      <c r="BR80" s="49"/>
      <c r="BS80" s="29"/>
      <c r="BT80" s="29"/>
      <c r="BU80" s="29"/>
      <c r="BV80" s="29"/>
      <c r="BW80" s="29"/>
      <c r="BX80" s="29"/>
      <c r="BY80" s="29"/>
      <c r="BZ80" s="29"/>
      <c r="CA80" s="29"/>
      <c r="CB80" s="29"/>
      <c r="CC80" s="29"/>
      <c r="CD80" s="29"/>
      <c r="CE80" s="29"/>
      <c r="CF80" s="29"/>
      <c r="CG80" s="29"/>
      <c r="CH80" s="29"/>
      <c r="CI80" s="29"/>
      <c r="CJ80" s="29"/>
      <c r="CK80" s="29"/>
    </row>
    <row r="81" ht="33" spans="1:89">
      <c r="A81" s="29" t="s">
        <v>410</v>
      </c>
      <c r="B81" s="30" t="s">
        <v>411</v>
      </c>
      <c r="C81" s="29" t="s">
        <v>412</v>
      </c>
      <c r="D81" s="31"/>
      <c r="E81" s="32">
        <v>46007</v>
      </c>
      <c r="F81" s="33">
        <v>35</v>
      </c>
      <c r="G81" s="34">
        <f t="shared" si="4"/>
        <v>125</v>
      </c>
      <c r="H81" s="35">
        <v>1.66666666666667</v>
      </c>
      <c r="I81" s="36">
        <v>18.7345132743363</v>
      </c>
      <c r="J81" s="35">
        <v>3.0455866591</v>
      </c>
      <c r="K81" s="35">
        <v>41.344</v>
      </c>
      <c r="L81" s="35">
        <v>66.31428</v>
      </c>
      <c r="M81" s="35">
        <v>2.4684</v>
      </c>
      <c r="N81" s="35">
        <v>6.146118528</v>
      </c>
      <c r="O81" s="35">
        <v>0</v>
      </c>
      <c r="P81" s="35">
        <v>1.93199668141593</v>
      </c>
      <c r="Q81" s="37" t="s">
        <v>93</v>
      </c>
      <c r="R81" s="35" t="s">
        <v>94</v>
      </c>
      <c r="S81" s="35">
        <v>6.8</v>
      </c>
      <c r="T81" s="38" t="s">
        <v>413</v>
      </c>
      <c r="U81" s="39">
        <v>22.572459</v>
      </c>
      <c r="V81" s="38">
        <v>7.48000000000002</v>
      </c>
      <c r="W81" s="40"/>
      <c r="X81" s="35"/>
      <c r="Y81" s="35"/>
      <c r="Z81" s="35"/>
      <c r="AA81" s="35"/>
      <c r="AB81" s="35">
        <v>21.582</v>
      </c>
      <c r="AC81" s="41">
        <v>0.1</v>
      </c>
      <c r="AD81" s="42">
        <v>16.7709390839316</v>
      </c>
      <c r="AE81" s="43">
        <v>0.114890553858217</v>
      </c>
      <c r="AF81" s="43">
        <v>0.0118480883666286</v>
      </c>
      <c r="AG81" s="43">
        <v>0.018677247332949</v>
      </c>
      <c r="AH81" s="43">
        <v>0.253544620517098</v>
      </c>
      <c r="AI81" s="44">
        <v>0.1769</v>
      </c>
      <c r="AJ81" s="44">
        <v>0.0336</v>
      </c>
      <c r="AK81" s="45">
        <v>0.0006</v>
      </c>
      <c r="AL81" s="45">
        <v>0</v>
      </c>
      <c r="AM81" s="45">
        <v>0.1125</v>
      </c>
      <c r="AN81" s="43">
        <v>0.0151376146788991</v>
      </c>
      <c r="AO81" s="43">
        <v>0.278001875246208</v>
      </c>
      <c r="AP81" s="46"/>
      <c r="AQ81" s="29"/>
      <c r="AR81" s="29"/>
      <c r="AS81" s="29"/>
      <c r="AT81" s="29"/>
      <c r="AU81" s="29"/>
      <c r="AV81" s="29"/>
      <c r="AW81" s="29"/>
      <c r="AX81" s="29"/>
      <c r="AY81" s="29"/>
      <c r="AZ81" s="29"/>
      <c r="BA81" s="29"/>
      <c r="BB81" s="29"/>
      <c r="BC81" s="29"/>
      <c r="BD81" s="29"/>
      <c r="BE81" s="29"/>
      <c r="BF81" s="47">
        <v>0.15</v>
      </c>
      <c r="BG81" s="48">
        <v>11.443214978793</v>
      </c>
      <c r="BH81" s="48">
        <v>21.582</v>
      </c>
      <c r="BI81" s="48">
        <f t="shared" si="5"/>
        <v>0.53022032150834</v>
      </c>
      <c r="BJ81" s="45">
        <v>0.2652</v>
      </c>
      <c r="BK81" s="45">
        <v>0.211</v>
      </c>
      <c r="BL81" s="45"/>
      <c r="BM81" s="37"/>
      <c r="BN81" s="37"/>
      <c r="BO81" s="49"/>
      <c r="BP81" s="37"/>
      <c r="BQ81" s="37"/>
      <c r="BR81" s="49"/>
      <c r="BS81" s="29"/>
      <c r="BT81" s="29"/>
      <c r="BU81" s="29"/>
      <c r="BV81" s="29"/>
      <c r="BW81" s="29"/>
      <c r="BX81" s="29"/>
      <c r="BY81" s="29"/>
      <c r="BZ81" s="29"/>
      <c r="CA81" s="29"/>
      <c r="CB81" s="29"/>
      <c r="CC81" s="29"/>
      <c r="CD81" s="29"/>
      <c r="CE81" s="29"/>
      <c r="CF81" s="29"/>
      <c r="CG81" s="29"/>
      <c r="CH81" s="29"/>
      <c r="CI81" s="29"/>
      <c r="CJ81" s="29"/>
      <c r="CK81" s="29"/>
    </row>
    <row r="82" ht="33" spans="1:89">
      <c r="A82" s="29" t="s">
        <v>414</v>
      </c>
      <c r="B82" s="30" t="s">
        <v>415</v>
      </c>
      <c r="C82" s="29" t="s">
        <v>416</v>
      </c>
      <c r="D82" s="31"/>
      <c r="E82" s="32">
        <v>46007</v>
      </c>
      <c r="F82" s="33">
        <v>35</v>
      </c>
      <c r="G82" s="34">
        <f t="shared" si="4"/>
        <v>125</v>
      </c>
      <c r="H82" s="35">
        <v>0.833333333333333</v>
      </c>
      <c r="I82" s="36">
        <v>23.5398230088496</v>
      </c>
      <c r="J82" s="35">
        <v>4.7759454489</v>
      </c>
      <c r="K82" s="35">
        <v>51.34</v>
      </c>
      <c r="L82" s="35">
        <v>66.31428</v>
      </c>
      <c r="M82" s="35">
        <v>3.8709</v>
      </c>
      <c r="N82" s="35">
        <v>9.638231328</v>
      </c>
      <c r="O82" s="35">
        <v>0</v>
      </c>
      <c r="P82" s="35">
        <v>2.42754424778761</v>
      </c>
      <c r="Q82" s="37" t="s">
        <v>93</v>
      </c>
      <c r="R82" s="35" t="s">
        <v>94</v>
      </c>
      <c r="S82" s="35">
        <v>6.8</v>
      </c>
      <c r="T82" s="38" t="s">
        <v>417</v>
      </c>
      <c r="U82" s="39">
        <v>21.582</v>
      </c>
      <c r="V82" s="38">
        <v>7.34999999999991</v>
      </c>
      <c r="W82" s="40"/>
      <c r="X82" s="35"/>
      <c r="Y82" s="35"/>
      <c r="Z82" s="35"/>
      <c r="AA82" s="35"/>
      <c r="AB82" s="35">
        <v>25.182</v>
      </c>
      <c r="AC82" s="41">
        <v>0.1</v>
      </c>
      <c r="AD82" s="42">
        <v>21.3482948790291</v>
      </c>
      <c r="AE82" s="43">
        <v>0.123721896989707</v>
      </c>
      <c r="AF82" s="43">
        <v>0.0127588206270635</v>
      </c>
      <c r="AG82" s="43">
        <v>0.0251016768747635</v>
      </c>
      <c r="AH82" s="43">
        <v>0.269835596854896</v>
      </c>
      <c r="AI82" s="44">
        <v>0.1769</v>
      </c>
      <c r="AJ82" s="44">
        <v>0.0336</v>
      </c>
      <c r="AK82" s="45">
        <v>0.0006</v>
      </c>
      <c r="AL82" s="45">
        <v>0</v>
      </c>
      <c r="AM82" s="45">
        <v>0.1125</v>
      </c>
      <c r="AN82" s="43">
        <v>0.0203448892065761</v>
      </c>
      <c r="AO82" s="43">
        <v>0.240337119446994</v>
      </c>
      <c r="AP82" s="46"/>
      <c r="AQ82" s="29"/>
      <c r="AR82" s="29"/>
      <c r="AS82" s="29"/>
      <c r="AT82" s="29"/>
      <c r="AU82" s="29"/>
      <c r="AV82" s="29"/>
      <c r="AW82" s="29"/>
      <c r="AX82" s="29"/>
      <c r="AY82" s="29"/>
      <c r="AZ82" s="29"/>
      <c r="BA82" s="29"/>
      <c r="BB82" s="29"/>
      <c r="BC82" s="29"/>
      <c r="BD82" s="29"/>
      <c r="BE82" s="29"/>
      <c r="BF82" s="47">
        <v>0.15</v>
      </c>
      <c r="BG82" s="48">
        <v>14.877040359871</v>
      </c>
      <c r="BH82" s="48">
        <v>25.182</v>
      </c>
      <c r="BI82" s="48">
        <f t="shared" si="5"/>
        <v>0.590780730675522</v>
      </c>
      <c r="BJ82" s="45">
        <v>0.2652</v>
      </c>
      <c r="BK82" s="45">
        <v>0.211</v>
      </c>
      <c r="BL82" s="45"/>
      <c r="BM82" s="37"/>
      <c r="BN82" s="37"/>
      <c r="BO82" s="49"/>
      <c r="BP82" s="37"/>
      <c r="BQ82" s="37"/>
      <c r="BR82" s="49"/>
      <c r="BS82" s="29"/>
      <c r="BT82" s="29"/>
      <c r="BU82" s="29"/>
      <c r="BV82" s="29"/>
      <c r="BW82" s="29"/>
      <c r="BX82" s="29"/>
      <c r="BY82" s="29"/>
      <c r="BZ82" s="29"/>
      <c r="CA82" s="29"/>
      <c r="CB82" s="29"/>
      <c r="CC82" s="29"/>
      <c r="CD82" s="29"/>
      <c r="CE82" s="29"/>
      <c r="CF82" s="29"/>
      <c r="CG82" s="29"/>
      <c r="CH82" s="29"/>
      <c r="CI82" s="29"/>
      <c r="CJ82" s="29"/>
      <c r="CK82" s="29"/>
    </row>
    <row r="83" ht="33" spans="1:89">
      <c r="A83" s="29" t="s">
        <v>418</v>
      </c>
      <c r="B83" s="30" t="s">
        <v>419</v>
      </c>
      <c r="C83" s="29" t="s">
        <v>420</v>
      </c>
      <c r="D83" s="31"/>
      <c r="E83" s="32">
        <v>46007</v>
      </c>
      <c r="F83" s="33">
        <v>35</v>
      </c>
      <c r="G83" s="34">
        <f t="shared" si="4"/>
        <v>125</v>
      </c>
      <c r="H83" s="35">
        <v>1.25</v>
      </c>
      <c r="I83" s="36">
        <v>16.8318584070796</v>
      </c>
      <c r="J83" s="35">
        <v>3.0455866591</v>
      </c>
      <c r="K83" s="35">
        <v>41.344</v>
      </c>
      <c r="L83" s="35">
        <v>66.31428</v>
      </c>
      <c r="M83" s="35">
        <v>2.4684</v>
      </c>
      <c r="N83" s="35">
        <v>6.146118528</v>
      </c>
      <c r="O83" s="35">
        <v>0</v>
      </c>
      <c r="P83" s="35">
        <v>1.73578539823009</v>
      </c>
      <c r="Q83" s="37" t="s">
        <v>93</v>
      </c>
      <c r="R83" s="35" t="s">
        <v>94</v>
      </c>
      <c r="S83" s="35">
        <v>6.8</v>
      </c>
      <c r="T83" s="38" t="s">
        <v>421</v>
      </c>
      <c r="U83" s="39">
        <v>21.2897</v>
      </c>
      <c r="V83" s="38">
        <v>12.6600000000001</v>
      </c>
      <c r="W83" s="40"/>
      <c r="X83" s="35"/>
      <c r="Y83" s="35"/>
      <c r="Z83" s="35"/>
      <c r="AA83" s="35"/>
      <c r="AB83" s="35">
        <v>22.482</v>
      </c>
      <c r="AC83" s="41">
        <v>0.1</v>
      </c>
      <c r="AD83" s="42">
        <v>16.2496474324711</v>
      </c>
      <c r="AE83" s="43">
        <v>0.0990902039695265</v>
      </c>
      <c r="AF83" s="43">
        <v>0.0102186772843574</v>
      </c>
      <c r="AG83" s="43">
        <v>0.0179295592891961</v>
      </c>
      <c r="AH83" s="43">
        <v>0.243394715772618</v>
      </c>
      <c r="AI83" s="44">
        <v>0.1769</v>
      </c>
      <c r="AJ83" s="44">
        <v>0.0336</v>
      </c>
      <c r="AK83" s="45">
        <v>0.0006</v>
      </c>
      <c r="AL83" s="45">
        <v>0</v>
      </c>
      <c r="AM83" s="45">
        <v>0.1125</v>
      </c>
      <c r="AN83" s="43">
        <v>0.0145316253002402</v>
      </c>
      <c r="AO83" s="43">
        <v>0.306935218384062</v>
      </c>
      <c r="AP83" s="46"/>
      <c r="AQ83" s="29"/>
      <c r="AR83" s="29"/>
      <c r="AS83" s="29"/>
      <c r="AT83" s="29"/>
      <c r="AU83" s="29"/>
      <c r="AV83" s="29"/>
      <c r="AW83" s="29"/>
      <c r="AX83" s="29"/>
      <c r="AY83" s="29"/>
      <c r="AZ83" s="29"/>
      <c r="BA83" s="29"/>
      <c r="BB83" s="29"/>
      <c r="BC83" s="29"/>
      <c r="BD83" s="29"/>
      <c r="BE83" s="29"/>
      <c r="BF83" s="47">
        <v>0.15</v>
      </c>
      <c r="BG83" s="48">
        <v>10.4435644380239</v>
      </c>
      <c r="BH83" s="48">
        <v>22.482</v>
      </c>
      <c r="BI83" s="48">
        <f t="shared" si="5"/>
        <v>0.464530043502531</v>
      </c>
      <c r="BJ83" s="45">
        <v>0.2652</v>
      </c>
      <c r="BK83" s="45">
        <v>0.211</v>
      </c>
      <c r="BL83" s="45"/>
      <c r="BM83" s="37"/>
      <c r="BN83" s="37"/>
      <c r="BO83" s="49"/>
      <c r="BP83" s="37"/>
      <c r="BQ83" s="37"/>
      <c r="BR83" s="49"/>
      <c r="BS83" s="29"/>
      <c r="BT83" s="29"/>
      <c r="BU83" s="29"/>
      <c r="BV83" s="29"/>
      <c r="BW83" s="29"/>
      <c r="BX83" s="29"/>
      <c r="BY83" s="29"/>
      <c r="BZ83" s="29"/>
      <c r="CA83" s="29"/>
      <c r="CB83" s="29"/>
      <c r="CC83" s="29"/>
      <c r="CD83" s="29"/>
      <c r="CE83" s="29"/>
      <c r="CF83" s="29"/>
      <c r="CG83" s="29"/>
      <c r="CH83" s="29"/>
      <c r="CI83" s="29"/>
      <c r="CJ83" s="29"/>
      <c r="CK83" s="29"/>
    </row>
    <row r="84" ht="33" spans="1:89">
      <c r="A84" s="29" t="s">
        <v>422</v>
      </c>
      <c r="B84" s="30" t="s">
        <v>423</v>
      </c>
      <c r="C84" s="29" t="s">
        <v>424</v>
      </c>
      <c r="D84" s="31"/>
      <c r="E84" s="32">
        <v>46007</v>
      </c>
      <c r="F84" s="33">
        <v>35</v>
      </c>
      <c r="G84" s="34">
        <f t="shared" si="4"/>
        <v>125</v>
      </c>
      <c r="H84" s="35">
        <v>0.833333333333333</v>
      </c>
      <c r="I84" s="36">
        <v>21.424778761062</v>
      </c>
      <c r="J84" s="35">
        <v>4.977254799</v>
      </c>
      <c r="K84" s="35">
        <v>59.092</v>
      </c>
      <c r="L84" s="35">
        <v>66.31428</v>
      </c>
      <c r="M84" s="35">
        <v>2.90458872</v>
      </c>
      <c r="N84" s="35">
        <v>10.04471325792</v>
      </c>
      <c r="O84" s="35">
        <v>0</v>
      </c>
      <c r="P84" s="35">
        <v>2.20943030973451</v>
      </c>
      <c r="Q84" s="37" t="s">
        <v>117</v>
      </c>
      <c r="R84" s="35" t="s">
        <v>94</v>
      </c>
      <c r="S84" s="35">
        <v>6.8</v>
      </c>
      <c r="T84" s="38" t="s">
        <v>425</v>
      </c>
      <c r="U84" s="39">
        <v>20.765402</v>
      </c>
      <c r="V84" s="38">
        <v>12.0999999999999</v>
      </c>
      <c r="W84" s="40"/>
      <c r="X84" s="35"/>
      <c r="Y84" s="35"/>
      <c r="Z84" s="35"/>
      <c r="AA84" s="35"/>
      <c r="AB84" s="35">
        <v>26.982</v>
      </c>
      <c r="AC84" s="41">
        <v>0.1</v>
      </c>
      <c r="AD84" s="42">
        <v>22.5041608109214</v>
      </c>
      <c r="AE84" s="43">
        <v>0.105093487624406</v>
      </c>
      <c r="AF84" s="43">
        <v>0.0108377659112669</v>
      </c>
      <c r="AG84" s="43">
        <v>0.0244145842277204</v>
      </c>
      <c r="AH84" s="43">
        <v>0.289859906604403</v>
      </c>
      <c r="AI84" s="44">
        <v>0.1769</v>
      </c>
      <c r="AJ84" s="44">
        <v>0.0336</v>
      </c>
      <c r="AK84" s="45">
        <v>0.0006</v>
      </c>
      <c r="AL84" s="45">
        <v>0</v>
      </c>
      <c r="AM84" s="45">
        <v>0.1125</v>
      </c>
      <c r="AN84" s="43">
        <v>0.0142476784523015</v>
      </c>
      <c r="AO84" s="43">
        <v>0.247646577179902</v>
      </c>
      <c r="AP84" s="46"/>
      <c r="AQ84" s="29"/>
      <c r="AR84" s="29"/>
      <c r="AS84" s="29"/>
      <c r="AT84" s="29"/>
      <c r="AU84" s="29"/>
      <c r="AV84" s="29"/>
      <c r="AW84" s="29"/>
      <c r="AX84" s="29"/>
      <c r="AY84" s="29"/>
      <c r="AZ84" s="29"/>
      <c r="BA84" s="29"/>
      <c r="BB84" s="29"/>
      <c r="BC84" s="29"/>
      <c r="BD84" s="29"/>
      <c r="BE84" s="29"/>
      <c r="BF84" s="47">
        <v>0.15</v>
      </c>
      <c r="BG84" s="48">
        <v>13.8715683963086</v>
      </c>
      <c r="BH84" s="48">
        <v>26.982</v>
      </c>
      <c r="BI84" s="48">
        <f t="shared" si="5"/>
        <v>0.514104528808413</v>
      </c>
      <c r="BJ84" s="45">
        <v>0.2652</v>
      </c>
      <c r="BK84" s="45">
        <v>0.211</v>
      </c>
      <c r="BL84" s="45"/>
      <c r="BM84" s="37"/>
      <c r="BN84" s="37"/>
      <c r="BO84" s="49"/>
      <c r="BP84" s="37"/>
      <c r="BQ84" s="37"/>
      <c r="BR84" s="49"/>
      <c r="BS84" s="29"/>
      <c r="BT84" s="29"/>
      <c r="BU84" s="29"/>
      <c r="BV84" s="29"/>
      <c r="BW84" s="29"/>
      <c r="BX84" s="29"/>
      <c r="BY84" s="29"/>
      <c r="BZ84" s="29"/>
      <c r="CA84" s="29"/>
      <c r="CB84" s="29"/>
      <c r="CC84" s="29"/>
      <c r="CD84" s="29"/>
      <c r="CE84" s="29"/>
      <c r="CF84" s="29"/>
      <c r="CG84" s="29"/>
      <c r="CH84" s="29"/>
      <c r="CI84" s="29"/>
      <c r="CJ84" s="29"/>
      <c r="CK84" s="29"/>
    </row>
    <row r="85" ht="33" spans="1:89">
      <c r="A85" s="29" t="s">
        <v>426</v>
      </c>
      <c r="B85" s="30" t="s">
        <v>427</v>
      </c>
      <c r="C85" s="29" t="s">
        <v>428</v>
      </c>
      <c r="D85" s="31"/>
      <c r="E85" s="32">
        <v>46007</v>
      </c>
      <c r="F85" s="33">
        <v>35</v>
      </c>
      <c r="G85" s="34">
        <f t="shared" si="4"/>
        <v>125</v>
      </c>
      <c r="H85" s="35">
        <v>1</v>
      </c>
      <c r="I85" s="36">
        <v>15.3274336283186</v>
      </c>
      <c r="J85" s="35">
        <v>3.0275508835</v>
      </c>
      <c r="K85" s="35">
        <v>41.344</v>
      </c>
      <c r="L85" s="35">
        <v>66.31428</v>
      </c>
      <c r="M85" s="35">
        <v>2.453814</v>
      </c>
      <c r="N85" s="35">
        <v>6.10980055488</v>
      </c>
      <c r="O85" s="35">
        <v>0</v>
      </c>
      <c r="P85" s="35">
        <v>1.58064159292035</v>
      </c>
      <c r="Q85" s="37" t="s">
        <v>93</v>
      </c>
      <c r="R85" s="35" t="s">
        <v>94</v>
      </c>
      <c r="S85" s="35">
        <v>6.8</v>
      </c>
      <c r="T85" s="38" t="s">
        <v>429</v>
      </c>
      <c r="U85" s="39">
        <v>20.7528</v>
      </c>
      <c r="V85" s="38">
        <v>11.3900000000001</v>
      </c>
      <c r="W85" s="40"/>
      <c r="X85" s="35"/>
      <c r="Y85" s="35"/>
      <c r="Z85" s="35"/>
      <c r="AA85" s="35"/>
      <c r="AB85" s="35">
        <v>28.782</v>
      </c>
      <c r="AC85" s="41">
        <v>0.1</v>
      </c>
      <c r="AD85" s="42">
        <v>15.8293611236027</v>
      </c>
      <c r="AE85" s="43">
        <v>0.070482625300365</v>
      </c>
      <c r="AF85" s="43">
        <v>0.00726852073410015</v>
      </c>
      <c r="AG85" s="43">
        <v>0.0139220785210426</v>
      </c>
      <c r="AH85" s="43">
        <v>0.190118824265166</v>
      </c>
      <c r="AI85" s="44">
        <v>0.1769</v>
      </c>
      <c r="AJ85" s="44">
        <v>0.0336</v>
      </c>
      <c r="AK85" s="45">
        <v>0.0006</v>
      </c>
      <c r="AL85" s="45">
        <v>0</v>
      </c>
      <c r="AM85" s="45">
        <v>0.1125</v>
      </c>
      <c r="AN85" s="43">
        <v>0.0112837711069418</v>
      </c>
      <c r="AO85" s="43">
        <v>0.399024180072384</v>
      </c>
      <c r="AP85" s="46"/>
      <c r="AQ85" s="29"/>
      <c r="AR85" s="29"/>
      <c r="AS85" s="29"/>
      <c r="AT85" s="29"/>
      <c r="AU85" s="29"/>
      <c r="AV85" s="29"/>
      <c r="AW85" s="29"/>
      <c r="AX85" s="29"/>
      <c r="AY85" s="29"/>
      <c r="AZ85" s="29"/>
      <c r="BA85" s="29"/>
      <c r="BB85" s="29"/>
      <c r="BC85" s="29"/>
      <c r="BD85" s="29"/>
      <c r="BE85" s="29"/>
      <c r="BF85" s="47">
        <v>0.15</v>
      </c>
      <c r="BG85" s="48">
        <v>9.64366712471817</v>
      </c>
      <c r="BH85" s="48">
        <v>28.782</v>
      </c>
      <c r="BI85" s="48">
        <f t="shared" si="5"/>
        <v>0.3350589647946</v>
      </c>
      <c r="BJ85" s="45">
        <v>0.2652</v>
      </c>
      <c r="BK85" s="45">
        <v>0.211</v>
      </c>
      <c r="BL85" s="45"/>
      <c r="BM85" s="37"/>
      <c r="BN85" s="37"/>
      <c r="BO85" s="49"/>
      <c r="BP85" s="37"/>
      <c r="BQ85" s="37"/>
      <c r="BR85" s="49"/>
      <c r="BS85" s="29"/>
      <c r="BT85" s="29"/>
      <c r="BU85" s="29"/>
      <c r="BV85" s="29"/>
      <c r="BW85" s="29"/>
      <c r="BX85" s="29"/>
      <c r="BY85" s="29"/>
      <c r="BZ85" s="29"/>
      <c r="CA85" s="29"/>
      <c r="CB85" s="29"/>
      <c r="CC85" s="29"/>
      <c r="CD85" s="29"/>
      <c r="CE85" s="29"/>
      <c r="CF85" s="29"/>
      <c r="CG85" s="29"/>
      <c r="CH85" s="29"/>
      <c r="CI85" s="29"/>
      <c r="CJ85" s="29"/>
      <c r="CK85" s="29"/>
    </row>
    <row r="86" ht="33" spans="1:89">
      <c r="A86" s="29" t="s">
        <v>430</v>
      </c>
      <c r="B86" s="30" t="s">
        <v>431</v>
      </c>
      <c r="C86" s="29" t="s">
        <v>432</v>
      </c>
      <c r="D86" s="31"/>
      <c r="E86" s="32">
        <v>46007</v>
      </c>
      <c r="F86" s="33">
        <v>35</v>
      </c>
      <c r="G86" s="34">
        <f t="shared" si="4"/>
        <v>125</v>
      </c>
      <c r="H86" s="35">
        <v>1.66666666666667</v>
      </c>
      <c r="I86" s="36">
        <v>20.0176991150443</v>
      </c>
      <c r="J86" s="35">
        <v>3.4886326092</v>
      </c>
      <c r="K86" s="35">
        <v>47.124</v>
      </c>
      <c r="L86" s="35">
        <v>66.31428</v>
      </c>
      <c r="M86" s="35">
        <v>2.82744</v>
      </c>
      <c r="N86" s="35">
        <v>7.0400994048</v>
      </c>
      <c r="O86" s="35">
        <v>0</v>
      </c>
      <c r="P86" s="35">
        <v>2.06432522123894</v>
      </c>
      <c r="Q86" s="37" t="s">
        <v>93</v>
      </c>
      <c r="R86" s="35" t="s">
        <v>94</v>
      </c>
      <c r="S86" s="35">
        <v>6.8</v>
      </c>
      <c r="T86" s="38" t="s">
        <v>433</v>
      </c>
      <c r="U86" s="39">
        <v>20.3446</v>
      </c>
      <c r="V86" s="38">
        <v>5.03999999999996</v>
      </c>
      <c r="W86" s="40"/>
      <c r="X86" s="35"/>
      <c r="Y86" s="35"/>
      <c r="Z86" s="35"/>
      <c r="AA86" s="35"/>
      <c r="AB86" s="35">
        <v>22.698</v>
      </c>
      <c r="AC86" s="41">
        <v>0.1</v>
      </c>
      <c r="AD86" s="42">
        <v>18.7572888486353</v>
      </c>
      <c r="AE86" s="43">
        <v>0.116724000064399</v>
      </c>
      <c r="AF86" s="43">
        <v>0.0120371625066412</v>
      </c>
      <c r="AG86" s="43">
        <v>0.0203423555604795</v>
      </c>
      <c r="AH86" s="43">
        <v>0.274781919111816</v>
      </c>
      <c r="AI86" s="44">
        <v>0.1769</v>
      </c>
      <c r="AJ86" s="44">
        <v>0.0336</v>
      </c>
      <c r="AK86" s="45">
        <v>0.0006</v>
      </c>
      <c r="AL86" s="45">
        <v>0</v>
      </c>
      <c r="AM86" s="45">
        <v>0.1125</v>
      </c>
      <c r="AN86" s="43">
        <v>0.016486915146709</v>
      </c>
      <c r="AO86" s="43">
        <v>0.251727647609955</v>
      </c>
      <c r="AP86" s="46"/>
      <c r="AQ86" s="29"/>
      <c r="AR86" s="29"/>
      <c r="AS86" s="29"/>
      <c r="AT86" s="29"/>
      <c r="AU86" s="29"/>
      <c r="AV86" s="29"/>
      <c r="AW86" s="29"/>
      <c r="AX86" s="29"/>
      <c r="AY86" s="29"/>
      <c r="AZ86" s="29"/>
      <c r="BA86" s="29"/>
      <c r="BB86" s="29"/>
      <c r="BC86" s="29"/>
      <c r="BD86" s="29"/>
      <c r="BE86" s="29"/>
      <c r="BF86" s="47">
        <v>0.15</v>
      </c>
      <c r="BG86" s="48">
        <v>12.3501732363682</v>
      </c>
      <c r="BH86" s="48">
        <v>22.698</v>
      </c>
      <c r="BI86" s="48">
        <f t="shared" si="5"/>
        <v>0.544108434063274</v>
      </c>
      <c r="BJ86" s="45">
        <v>0.2652</v>
      </c>
      <c r="BK86" s="45">
        <v>0.211</v>
      </c>
      <c r="BL86" s="45"/>
      <c r="BM86" s="37"/>
      <c r="BN86" s="37"/>
      <c r="BO86" s="49"/>
      <c r="BP86" s="37"/>
      <c r="BQ86" s="37"/>
      <c r="BR86" s="49"/>
      <c r="BS86" s="29"/>
      <c r="BT86" s="29"/>
      <c r="BU86" s="29"/>
      <c r="BV86" s="29"/>
      <c r="BW86" s="29"/>
      <c r="BX86" s="29"/>
      <c r="BY86" s="29"/>
      <c r="BZ86" s="29"/>
      <c r="CA86" s="29"/>
      <c r="CB86" s="29"/>
      <c r="CC86" s="29"/>
      <c r="CD86" s="29"/>
      <c r="CE86" s="29"/>
      <c r="CF86" s="29"/>
      <c r="CG86" s="29"/>
      <c r="CH86" s="29"/>
      <c r="CI86" s="29"/>
      <c r="CJ86" s="29"/>
      <c r="CK86" s="29"/>
    </row>
    <row r="87" ht="33" spans="1:89">
      <c r="A87" s="29" t="s">
        <v>434</v>
      </c>
      <c r="B87" s="30" t="s">
        <v>435</v>
      </c>
      <c r="C87" s="29" t="s">
        <v>436</v>
      </c>
      <c r="D87" s="31"/>
      <c r="E87" s="32">
        <v>46007</v>
      </c>
      <c r="F87" s="33">
        <v>40</v>
      </c>
      <c r="G87" s="34">
        <f t="shared" si="4"/>
        <v>130</v>
      </c>
      <c r="H87" s="35">
        <v>1.25</v>
      </c>
      <c r="I87" s="36">
        <v>17.7796460176991</v>
      </c>
      <c r="J87" s="35">
        <v>4.1199089861</v>
      </c>
      <c r="K87" s="35">
        <v>47.124</v>
      </c>
      <c r="L87" s="35">
        <v>66.31428</v>
      </c>
      <c r="M87" s="35">
        <v>3.339072</v>
      </c>
      <c r="N87" s="35">
        <v>8.31402215424</v>
      </c>
      <c r="O87" s="35">
        <v>0</v>
      </c>
      <c r="P87" s="35">
        <v>1.83352599557522</v>
      </c>
      <c r="Q87" s="37" t="s">
        <v>93</v>
      </c>
      <c r="R87" s="35" t="s">
        <v>94</v>
      </c>
      <c r="S87" s="35">
        <v>6.8</v>
      </c>
      <c r="T87" s="38" t="s">
        <v>437</v>
      </c>
      <c r="U87" s="39">
        <v>19.6528</v>
      </c>
      <c r="V87" s="38">
        <v>9.51999999999998</v>
      </c>
      <c r="W87" s="40"/>
      <c r="X87" s="35"/>
      <c r="Y87" s="35"/>
      <c r="Z87" s="35"/>
      <c r="AA87" s="35"/>
      <c r="AB87" s="35">
        <v>25.452</v>
      </c>
      <c r="AC87" s="41">
        <v>0.1</v>
      </c>
      <c r="AD87" s="42">
        <v>18.4279665098737</v>
      </c>
      <c r="AE87" s="43">
        <v>0.0924559344459768</v>
      </c>
      <c r="AF87" s="43">
        <v>0.00953451823974135</v>
      </c>
      <c r="AG87" s="43">
        <v>0.0214239380673309</v>
      </c>
      <c r="AH87" s="43">
        <v>0.245049504950495</v>
      </c>
      <c r="AI87" s="44">
        <v>0.1769</v>
      </c>
      <c r="AJ87" s="44">
        <v>0.0336</v>
      </c>
      <c r="AK87" s="45">
        <v>0.0006</v>
      </c>
      <c r="AL87" s="45">
        <v>0</v>
      </c>
      <c r="AM87" s="45">
        <v>0.1125</v>
      </c>
      <c r="AN87" s="43">
        <v>0.0173635077793494</v>
      </c>
      <c r="AO87" s="43">
        <v>0.306272596517107</v>
      </c>
      <c r="AP87" s="46"/>
      <c r="AQ87" s="29"/>
      <c r="AR87" s="29"/>
      <c r="AS87" s="29"/>
      <c r="AT87" s="29"/>
      <c r="AU87" s="29"/>
      <c r="AV87" s="29"/>
      <c r="AW87" s="29"/>
      <c r="AX87" s="29"/>
      <c r="AY87" s="29"/>
      <c r="AZ87" s="29"/>
      <c r="BA87" s="29"/>
      <c r="BB87" s="29"/>
      <c r="BC87" s="29"/>
      <c r="BD87" s="29"/>
      <c r="BE87" s="29"/>
      <c r="BF87" s="47">
        <v>0.15</v>
      </c>
      <c r="BG87" s="48">
        <v>11.5059764011302</v>
      </c>
      <c r="BH87" s="48">
        <v>25.452</v>
      </c>
      <c r="BI87" s="48">
        <f t="shared" si="5"/>
        <v>0.452065708043776</v>
      </c>
      <c r="BJ87" s="45">
        <v>0.2652</v>
      </c>
      <c r="BK87" s="45">
        <v>0.211</v>
      </c>
      <c r="BL87" s="45"/>
      <c r="BM87" s="37"/>
      <c r="BN87" s="37"/>
      <c r="BO87" s="49"/>
      <c r="BP87" s="37"/>
      <c r="BQ87" s="37"/>
      <c r="BR87" s="49"/>
      <c r="BS87" s="29"/>
      <c r="BT87" s="29"/>
      <c r="BU87" s="29"/>
      <c r="BV87" s="29"/>
      <c r="BW87" s="29"/>
      <c r="BX87" s="29"/>
      <c r="BY87" s="29"/>
      <c r="BZ87" s="29"/>
      <c r="CA87" s="29"/>
      <c r="CB87" s="29"/>
      <c r="CC87" s="29"/>
      <c r="CD87" s="29"/>
      <c r="CE87" s="29"/>
      <c r="CF87" s="29"/>
      <c r="CG87" s="29"/>
      <c r="CH87" s="29"/>
      <c r="CI87" s="29"/>
      <c r="CJ87" s="29"/>
      <c r="CK87" s="29"/>
    </row>
    <row r="88" ht="33" spans="1:89">
      <c r="A88" s="29" t="s">
        <v>438</v>
      </c>
      <c r="B88" s="30" t="s">
        <v>439</v>
      </c>
      <c r="C88" s="29" t="s">
        <v>440</v>
      </c>
      <c r="D88" s="31"/>
      <c r="E88" s="32">
        <v>46007</v>
      </c>
      <c r="F88" s="33">
        <v>35</v>
      </c>
      <c r="G88" s="34">
        <f t="shared" si="4"/>
        <v>125</v>
      </c>
      <c r="H88" s="35">
        <v>1</v>
      </c>
      <c r="I88" s="36">
        <v>16.9115044247788</v>
      </c>
      <c r="J88" s="35">
        <v>3.8373768448</v>
      </c>
      <c r="K88" s="35">
        <v>47.124</v>
      </c>
      <c r="L88" s="35">
        <v>66.31428</v>
      </c>
      <c r="M88" s="35">
        <v>3.110184</v>
      </c>
      <c r="N88" s="35">
        <v>7.74410934528</v>
      </c>
      <c r="O88" s="35">
        <v>0</v>
      </c>
      <c r="P88" s="35">
        <v>1.74399889380531</v>
      </c>
      <c r="Q88" s="37" t="s">
        <v>93</v>
      </c>
      <c r="R88" s="35" t="s">
        <v>94</v>
      </c>
      <c r="S88" s="35">
        <v>6.8</v>
      </c>
      <c r="T88" s="38" t="s">
        <v>441</v>
      </c>
      <c r="U88" s="39">
        <v>18.6443</v>
      </c>
      <c r="V88" s="38">
        <v>22.0899999999999</v>
      </c>
      <c r="W88" s="40"/>
      <c r="X88" s="35"/>
      <c r="Y88" s="35"/>
      <c r="Z88" s="35"/>
      <c r="AA88" s="35"/>
      <c r="AB88" s="35">
        <v>20.592</v>
      </c>
      <c r="AC88" s="41">
        <v>0.1</v>
      </c>
      <c r="AD88" s="42">
        <v>18.0630915294972</v>
      </c>
      <c r="AE88" s="43">
        <v>0.108696938147745</v>
      </c>
      <c r="AF88" s="43">
        <v>0.0112093717464862</v>
      </c>
      <c r="AG88" s="43">
        <v>0.0246643410941999</v>
      </c>
      <c r="AH88" s="43">
        <v>0.302884615384615</v>
      </c>
      <c r="AI88" s="44">
        <v>0.1769</v>
      </c>
      <c r="AJ88" s="44">
        <v>0.0336</v>
      </c>
      <c r="AK88" s="45">
        <v>0.0006</v>
      </c>
      <c r="AL88" s="45">
        <v>0</v>
      </c>
      <c r="AM88" s="45">
        <v>0.1125</v>
      </c>
      <c r="AN88" s="43">
        <v>0.0199903846153846</v>
      </c>
      <c r="AO88" s="43">
        <v>0.224654349011569</v>
      </c>
      <c r="AP88" s="46"/>
      <c r="AQ88" s="29"/>
      <c r="AR88" s="29"/>
      <c r="AS88" s="29"/>
      <c r="AT88" s="29"/>
      <c r="AU88" s="29"/>
      <c r="AV88" s="29"/>
      <c r="AW88" s="29"/>
      <c r="AX88" s="29"/>
      <c r="AY88" s="29"/>
      <c r="AZ88" s="29"/>
      <c r="BA88" s="29"/>
      <c r="BB88" s="29"/>
      <c r="BC88" s="29"/>
      <c r="BD88" s="29"/>
      <c r="BE88" s="29"/>
      <c r="BF88" s="47">
        <v>0.15</v>
      </c>
      <c r="BG88" s="48">
        <v>10.9014150377124</v>
      </c>
      <c r="BH88" s="48">
        <v>20.592</v>
      </c>
      <c r="BI88" s="48">
        <f t="shared" si="5"/>
        <v>0.529400497169406</v>
      </c>
      <c r="BJ88" s="45">
        <v>0.2652</v>
      </c>
      <c r="BK88" s="45">
        <v>0.211</v>
      </c>
      <c r="BL88" s="45"/>
      <c r="BM88" s="37"/>
      <c r="BN88" s="37"/>
      <c r="BO88" s="49"/>
      <c r="BP88" s="37"/>
      <c r="BQ88" s="37"/>
      <c r="BR88" s="49"/>
      <c r="BS88" s="29"/>
      <c r="BT88" s="29"/>
      <c r="BU88" s="29"/>
      <c r="BV88" s="29"/>
      <c r="BW88" s="29"/>
      <c r="BX88" s="29"/>
      <c r="BY88" s="29"/>
      <c r="BZ88" s="29"/>
      <c r="CA88" s="29"/>
      <c r="CB88" s="29"/>
      <c r="CC88" s="29"/>
      <c r="CD88" s="29"/>
      <c r="CE88" s="29"/>
      <c r="CF88" s="29"/>
      <c r="CG88" s="29"/>
      <c r="CH88" s="29"/>
      <c r="CI88" s="29"/>
      <c r="CJ88" s="29"/>
      <c r="CK88" s="29"/>
    </row>
    <row r="89" ht="33" spans="1:89">
      <c r="A89" s="29" t="s">
        <v>442</v>
      </c>
      <c r="B89" s="30" t="s">
        <v>443</v>
      </c>
      <c r="C89" s="29" t="s">
        <v>444</v>
      </c>
      <c r="D89" s="31"/>
      <c r="E89" s="32">
        <v>46007</v>
      </c>
      <c r="F89" s="33">
        <v>35</v>
      </c>
      <c r="G89" s="34">
        <f t="shared" si="4"/>
        <v>125</v>
      </c>
      <c r="H89" s="35">
        <v>0.833333333333333</v>
      </c>
      <c r="I89" s="36">
        <v>22.7433628318584</v>
      </c>
      <c r="J89" s="35">
        <v>4.6722822856</v>
      </c>
      <c r="K89" s="35">
        <v>47.124</v>
      </c>
      <c r="L89" s="35">
        <v>66.31428</v>
      </c>
      <c r="M89" s="35">
        <v>3.78675</v>
      </c>
      <c r="N89" s="35">
        <v>9.42870456</v>
      </c>
      <c r="O89" s="35">
        <v>0</v>
      </c>
      <c r="P89" s="35">
        <v>2.3454092920354</v>
      </c>
      <c r="Q89" s="37" t="s">
        <v>93</v>
      </c>
      <c r="R89" s="35" t="s">
        <v>94</v>
      </c>
      <c r="S89" s="35">
        <v>6.8</v>
      </c>
      <c r="T89" s="38" t="s">
        <v>445</v>
      </c>
      <c r="U89" s="39">
        <v>18.417799</v>
      </c>
      <c r="V89" s="38">
        <v>2.23000000000002</v>
      </c>
      <c r="W89" s="40"/>
      <c r="X89" s="35"/>
      <c r="Y89" s="35"/>
      <c r="Z89" s="35"/>
      <c r="AA89" s="35"/>
      <c r="AB89" s="35">
        <v>29.682</v>
      </c>
      <c r="AC89" s="41">
        <v>0.1</v>
      </c>
      <c r="AD89" s="42">
        <v>20.0363125290575</v>
      </c>
      <c r="AE89" s="43">
        <v>0.101413346911936</v>
      </c>
      <c r="AF89" s="43">
        <v>0.0104582514002934</v>
      </c>
      <c r="AG89" s="43">
        <v>0.0208338488816752</v>
      </c>
      <c r="AH89" s="43">
        <v>0.210127349909036</v>
      </c>
      <c r="AI89" s="44">
        <v>0.1769</v>
      </c>
      <c r="AJ89" s="44">
        <v>0.0336</v>
      </c>
      <c r="AK89" s="45">
        <v>0.0006</v>
      </c>
      <c r="AL89" s="45">
        <v>0</v>
      </c>
      <c r="AM89" s="45">
        <v>0.1125</v>
      </c>
      <c r="AN89" s="43">
        <v>0.0168852334748332</v>
      </c>
      <c r="AO89" s="43">
        <v>0.332381969422226</v>
      </c>
      <c r="AP89" s="46"/>
      <c r="AQ89" s="29"/>
      <c r="AR89" s="29"/>
      <c r="AS89" s="29"/>
      <c r="AT89" s="29"/>
      <c r="AU89" s="29"/>
      <c r="AV89" s="29"/>
      <c r="AW89" s="29"/>
      <c r="AX89" s="29"/>
      <c r="AY89" s="29"/>
      <c r="AZ89" s="29"/>
      <c r="BA89" s="29"/>
      <c r="BB89" s="29"/>
      <c r="BC89" s="29"/>
      <c r="BD89" s="29"/>
      <c r="BE89" s="29"/>
      <c r="BF89" s="47">
        <v>0.15</v>
      </c>
      <c r="BG89" s="48">
        <v>14.4041176036917</v>
      </c>
      <c r="BH89" s="48">
        <v>29.682</v>
      </c>
      <c r="BI89" s="48">
        <f t="shared" si="5"/>
        <v>0.485281234542541</v>
      </c>
      <c r="BJ89" s="45">
        <v>0.2652</v>
      </c>
      <c r="BK89" s="45">
        <v>0.211</v>
      </c>
      <c r="BL89" s="45"/>
      <c r="BM89" s="37"/>
      <c r="BN89" s="37"/>
      <c r="BO89" s="49"/>
      <c r="BP89" s="37"/>
      <c r="BQ89" s="37"/>
      <c r="BR89" s="49"/>
      <c r="BS89" s="29"/>
      <c r="BT89" s="29"/>
      <c r="BU89" s="29"/>
      <c r="BV89" s="29"/>
      <c r="BW89" s="29"/>
      <c r="BX89" s="29"/>
      <c r="BY89" s="29"/>
      <c r="BZ89" s="29"/>
      <c r="CA89" s="29"/>
      <c r="CB89" s="29"/>
      <c r="CC89" s="29"/>
      <c r="CD89" s="29"/>
      <c r="CE89" s="29"/>
      <c r="CF89" s="29"/>
      <c r="CG89" s="29"/>
      <c r="CH89" s="29"/>
      <c r="CI89" s="29"/>
      <c r="CJ89" s="29"/>
      <c r="CK89" s="29"/>
    </row>
    <row r="90" ht="33" spans="1:89">
      <c r="A90" s="29" t="s">
        <v>446</v>
      </c>
      <c r="B90" s="30" t="s">
        <v>447</v>
      </c>
      <c r="C90" s="29" t="s">
        <v>448</v>
      </c>
      <c r="D90" s="31"/>
      <c r="E90" s="32">
        <v>46007</v>
      </c>
      <c r="F90" s="33">
        <v>40</v>
      </c>
      <c r="G90" s="34">
        <f t="shared" si="4"/>
        <v>130</v>
      </c>
      <c r="H90" s="35">
        <v>1.66666666666667</v>
      </c>
      <c r="I90" s="36">
        <v>20.2566371681416</v>
      </c>
      <c r="J90" s="35">
        <v>4.4159212925</v>
      </c>
      <c r="K90" s="35">
        <v>47.124</v>
      </c>
      <c r="L90" s="35">
        <v>66.31428</v>
      </c>
      <c r="M90" s="35">
        <v>3.57918</v>
      </c>
      <c r="N90" s="35">
        <v>8.9118718656</v>
      </c>
      <c r="O90" s="35">
        <v>0</v>
      </c>
      <c r="P90" s="35">
        <v>2.0889657079646</v>
      </c>
      <c r="Q90" s="37" t="s">
        <v>93</v>
      </c>
      <c r="R90" s="35" t="s">
        <v>94</v>
      </c>
      <c r="S90" s="35">
        <v>6.8</v>
      </c>
      <c r="T90" s="38" t="s">
        <v>449</v>
      </c>
      <c r="U90" s="39">
        <v>16.2169</v>
      </c>
      <c r="V90" s="38">
        <v>11.53</v>
      </c>
      <c r="W90" s="40"/>
      <c r="X90" s="35"/>
      <c r="Y90" s="35"/>
      <c r="Z90" s="35"/>
      <c r="AA90" s="35"/>
      <c r="AB90" s="35">
        <v>24.282</v>
      </c>
      <c r="AC90" s="41">
        <v>0.1</v>
      </c>
      <c r="AD90" s="42">
        <v>19.239770748335</v>
      </c>
      <c r="AE90" s="43">
        <v>0.110412054507378</v>
      </c>
      <c r="AF90" s="43">
        <v>0.0113862431210734</v>
      </c>
      <c r="AG90" s="43">
        <v>0.0240696882903458</v>
      </c>
      <c r="AH90" s="43">
        <v>0.256856931060044</v>
      </c>
      <c r="AI90" s="44">
        <v>0.1769</v>
      </c>
      <c r="AJ90" s="44">
        <v>0.0336</v>
      </c>
      <c r="AK90" s="45">
        <v>0.0006</v>
      </c>
      <c r="AL90" s="45">
        <v>0</v>
      </c>
      <c r="AM90" s="45">
        <v>0.1125</v>
      </c>
      <c r="AN90" s="43">
        <v>0.0195088954781319</v>
      </c>
      <c r="AO90" s="43">
        <v>0.269866187543026</v>
      </c>
      <c r="AP90" s="46"/>
      <c r="AQ90" s="29"/>
      <c r="AR90" s="29"/>
      <c r="AS90" s="29"/>
      <c r="AT90" s="29"/>
      <c r="AU90" s="29"/>
      <c r="AV90" s="29"/>
      <c r="AW90" s="29"/>
      <c r="AX90" s="29"/>
      <c r="AY90" s="29"/>
      <c r="AZ90" s="29"/>
      <c r="BA90" s="29"/>
      <c r="BB90" s="29"/>
      <c r="BC90" s="29"/>
      <c r="BD90" s="29"/>
      <c r="BE90" s="29"/>
      <c r="BF90" s="47">
        <v>0.15</v>
      </c>
      <c r="BG90" s="48">
        <v>12.9629061117634</v>
      </c>
      <c r="BH90" s="48">
        <v>24.282</v>
      </c>
      <c r="BI90" s="48">
        <f t="shared" si="5"/>
        <v>0.533848369646792</v>
      </c>
      <c r="BJ90" s="45">
        <v>0.2652</v>
      </c>
      <c r="BK90" s="45">
        <v>0.211</v>
      </c>
      <c r="BL90" s="45"/>
      <c r="BM90" s="37"/>
      <c r="BN90" s="37"/>
      <c r="BO90" s="49"/>
      <c r="BP90" s="37"/>
      <c r="BQ90" s="37"/>
      <c r="BR90" s="49"/>
      <c r="BS90" s="29"/>
      <c r="BT90" s="29"/>
      <c r="BU90" s="29"/>
      <c r="BV90" s="29"/>
      <c r="BW90" s="29"/>
      <c r="BX90" s="29"/>
      <c r="BY90" s="29"/>
      <c r="BZ90" s="29"/>
      <c r="CA90" s="29"/>
      <c r="CB90" s="29"/>
      <c r="CC90" s="29"/>
      <c r="CD90" s="29"/>
      <c r="CE90" s="29"/>
      <c r="CF90" s="29"/>
      <c r="CG90" s="29"/>
      <c r="CH90" s="29"/>
      <c r="CI90" s="29"/>
      <c r="CJ90" s="29"/>
      <c r="CK90" s="29"/>
    </row>
    <row r="91" ht="33" spans="1:89">
      <c r="A91" s="29" t="s">
        <v>450</v>
      </c>
      <c r="B91" s="30" t="s">
        <v>451</v>
      </c>
      <c r="C91" s="29" t="s">
        <v>452</v>
      </c>
      <c r="D91" s="31"/>
      <c r="E91" s="32">
        <v>46007</v>
      </c>
      <c r="F91" s="33">
        <v>35</v>
      </c>
      <c r="G91" s="34">
        <f t="shared" si="4"/>
        <v>125</v>
      </c>
      <c r="H91" s="35">
        <v>0.833333333333333</v>
      </c>
      <c r="I91" s="36">
        <v>20.9203539823009</v>
      </c>
      <c r="J91" s="35">
        <v>4.3192594209</v>
      </c>
      <c r="K91" s="35">
        <v>47.124</v>
      </c>
      <c r="L91" s="35">
        <v>66.31428</v>
      </c>
      <c r="M91" s="35">
        <v>3.50064</v>
      </c>
      <c r="N91" s="35">
        <v>8.7163135488</v>
      </c>
      <c r="O91" s="35">
        <v>0</v>
      </c>
      <c r="P91" s="35">
        <v>2.15741150442478</v>
      </c>
      <c r="Q91" s="37" t="s">
        <v>93</v>
      </c>
      <c r="R91" s="35" t="s">
        <v>94</v>
      </c>
      <c r="S91" s="35">
        <v>6.8</v>
      </c>
      <c r="T91" s="38" t="s">
        <v>453</v>
      </c>
      <c r="U91" s="39">
        <v>15.6161</v>
      </c>
      <c r="V91" s="38">
        <v>1.58999999999992</v>
      </c>
      <c r="W91" s="40"/>
      <c r="X91" s="35"/>
      <c r="Y91" s="35"/>
      <c r="Z91" s="35"/>
      <c r="AA91" s="35"/>
      <c r="AB91" s="35">
        <v>22.482</v>
      </c>
      <c r="AC91" s="41">
        <v>0.1</v>
      </c>
      <c r="AD91" s="42">
        <v>19.3781020961348</v>
      </c>
      <c r="AE91" s="43">
        <v>0.1231594333249</v>
      </c>
      <c r="AF91" s="43">
        <v>0.0127008165616304</v>
      </c>
      <c r="AG91" s="43">
        <v>0.0254277505586822</v>
      </c>
      <c r="AH91" s="43">
        <v>0.27742193755004</v>
      </c>
      <c r="AI91" s="44">
        <v>0.1769</v>
      </c>
      <c r="AJ91" s="44">
        <v>0.0336</v>
      </c>
      <c r="AK91" s="45">
        <v>0.0006</v>
      </c>
      <c r="AL91" s="45">
        <v>0</v>
      </c>
      <c r="AM91" s="45">
        <v>0.1125</v>
      </c>
      <c r="AN91" s="43">
        <v>0.0206084867894315</v>
      </c>
      <c r="AO91" s="43">
        <v>0.232781575215315</v>
      </c>
      <c r="AP91" s="46"/>
      <c r="AQ91" s="29"/>
      <c r="AR91" s="29"/>
      <c r="AS91" s="29"/>
      <c r="AT91" s="29"/>
      <c r="AU91" s="29"/>
      <c r="AV91" s="29"/>
      <c r="AW91" s="29"/>
      <c r="AX91" s="29"/>
      <c r="AY91" s="29"/>
      <c r="AZ91" s="29"/>
      <c r="BA91" s="29"/>
      <c r="BB91" s="29"/>
      <c r="BC91" s="29"/>
      <c r="BD91" s="29"/>
      <c r="BE91" s="29"/>
      <c r="BF91" s="47">
        <v>0.15</v>
      </c>
      <c r="BG91" s="48">
        <v>13.2608354891457</v>
      </c>
      <c r="BH91" s="48">
        <v>22.482</v>
      </c>
      <c r="BI91" s="48">
        <f t="shared" si="5"/>
        <v>0.589842340056298</v>
      </c>
      <c r="BJ91" s="45">
        <v>0.2652</v>
      </c>
      <c r="BK91" s="45">
        <v>0.211</v>
      </c>
      <c r="BL91" s="45"/>
      <c r="BM91" s="37"/>
      <c r="BN91" s="37"/>
      <c r="BO91" s="49"/>
      <c r="BP91" s="37"/>
      <c r="BQ91" s="37"/>
      <c r="BR91" s="49"/>
      <c r="BS91" s="29"/>
      <c r="BT91" s="29"/>
      <c r="BU91" s="29"/>
      <c r="BV91" s="29"/>
      <c r="BW91" s="29"/>
      <c r="BX91" s="29"/>
      <c r="BY91" s="29"/>
      <c r="BZ91" s="29"/>
      <c r="CA91" s="29"/>
      <c r="CB91" s="29"/>
      <c r="CC91" s="29"/>
      <c r="CD91" s="29"/>
      <c r="CE91" s="29"/>
      <c r="CF91" s="29"/>
      <c r="CG91" s="29"/>
      <c r="CH91" s="29"/>
      <c r="CI91" s="29"/>
      <c r="CJ91" s="29"/>
      <c r="CK91" s="29"/>
    </row>
    <row r="92" ht="33" spans="1:89">
      <c r="A92" s="29" t="s">
        <v>454</v>
      </c>
      <c r="B92" s="30" t="s">
        <v>455</v>
      </c>
      <c r="C92" s="29" t="s">
        <v>456</v>
      </c>
      <c r="D92" s="31"/>
      <c r="E92" s="32">
        <v>46007</v>
      </c>
      <c r="F92" s="33">
        <v>35</v>
      </c>
      <c r="G92" s="34">
        <f t="shared" si="4"/>
        <v>125</v>
      </c>
      <c r="H92" s="35">
        <v>1.25</v>
      </c>
      <c r="I92" s="36">
        <v>20.4867256637168</v>
      </c>
      <c r="J92" s="35">
        <v>4.4989406128</v>
      </c>
      <c r="K92" s="35">
        <v>47.124</v>
      </c>
      <c r="L92" s="35">
        <v>66.31428</v>
      </c>
      <c r="M92" s="35">
        <v>3.6465</v>
      </c>
      <c r="N92" s="35">
        <v>9.07949328</v>
      </c>
      <c r="O92" s="35">
        <v>0</v>
      </c>
      <c r="P92" s="35">
        <v>2.1126935840708</v>
      </c>
      <c r="Q92" s="37" t="s">
        <v>93</v>
      </c>
      <c r="R92" s="35" t="s">
        <v>94</v>
      </c>
      <c r="S92" s="35">
        <v>6.8</v>
      </c>
      <c r="T92" s="38" t="s">
        <v>457</v>
      </c>
      <c r="U92" s="39">
        <v>14.5849</v>
      </c>
      <c r="V92" s="38">
        <v>13.1500000000001</v>
      </c>
      <c r="W92" s="40"/>
      <c r="X92" s="35"/>
      <c r="Y92" s="35"/>
      <c r="Z92" s="35"/>
      <c r="AA92" s="35"/>
      <c r="AB92" s="35">
        <v>24.282</v>
      </c>
      <c r="AC92" s="41">
        <v>0.1</v>
      </c>
      <c r="AD92" s="42">
        <v>19.3401501784743</v>
      </c>
      <c r="AE92" s="43">
        <v>0.11166618880934</v>
      </c>
      <c r="AF92" s="43">
        <v>0.0115155757209632</v>
      </c>
      <c r="AG92" s="43">
        <v>0.0245221984302097</v>
      </c>
      <c r="AH92" s="43">
        <v>0.256856931060045</v>
      </c>
      <c r="AI92" s="44">
        <v>0.1769</v>
      </c>
      <c r="AJ92" s="44">
        <v>0.0336</v>
      </c>
      <c r="AK92" s="45">
        <v>0.0006</v>
      </c>
      <c r="AL92" s="45">
        <v>0</v>
      </c>
      <c r="AM92" s="45">
        <v>0.1125</v>
      </c>
      <c r="AN92" s="43">
        <v>0.0198758339510749</v>
      </c>
      <c r="AO92" s="43">
        <v>0.267663272028367</v>
      </c>
      <c r="AP92" s="46"/>
      <c r="AQ92" s="29"/>
      <c r="AR92" s="29"/>
      <c r="AS92" s="29"/>
      <c r="AT92" s="29"/>
      <c r="AU92" s="29"/>
      <c r="AV92" s="29"/>
      <c r="AW92" s="29"/>
      <c r="AX92" s="29"/>
      <c r="AY92" s="29"/>
      <c r="AZ92" s="29"/>
      <c r="BA92" s="29"/>
      <c r="BB92" s="29"/>
      <c r="BC92" s="29"/>
      <c r="BD92" s="29"/>
      <c r="BE92" s="29"/>
      <c r="BF92" s="47">
        <v>0.15</v>
      </c>
      <c r="BG92" s="48">
        <v>13.1274122462417</v>
      </c>
      <c r="BH92" s="48">
        <v>24.282</v>
      </c>
      <c r="BI92" s="48">
        <f t="shared" si="5"/>
        <v>0.540623187803381</v>
      </c>
      <c r="BJ92" s="45">
        <v>0.2652</v>
      </c>
      <c r="BK92" s="45">
        <v>0.211</v>
      </c>
      <c r="BL92" s="45"/>
      <c r="BM92" s="37"/>
      <c r="BN92" s="37"/>
      <c r="BO92" s="49"/>
      <c r="BP92" s="37"/>
      <c r="BQ92" s="37"/>
      <c r="BR92" s="49"/>
      <c r="BS92" s="29"/>
      <c r="BT92" s="29"/>
      <c r="BU92" s="29"/>
      <c r="BV92" s="29"/>
      <c r="BW92" s="29"/>
      <c r="BX92" s="29"/>
      <c r="BY92" s="29"/>
      <c r="BZ92" s="29"/>
      <c r="CA92" s="29"/>
      <c r="CB92" s="29"/>
      <c r="CC92" s="29"/>
      <c r="CD92" s="29"/>
      <c r="CE92" s="29"/>
      <c r="CF92" s="29"/>
      <c r="CG92" s="29"/>
      <c r="CH92" s="29"/>
      <c r="CI92" s="29"/>
      <c r="CJ92" s="29"/>
      <c r="CK92" s="29"/>
    </row>
    <row r="93" ht="33" spans="1:89">
      <c r="A93" s="29" t="s">
        <v>458</v>
      </c>
      <c r="B93" s="30" t="s">
        <v>459</v>
      </c>
      <c r="C93" s="29" t="s">
        <v>460</v>
      </c>
      <c r="D93" s="31"/>
      <c r="E93" s="32">
        <v>46007</v>
      </c>
      <c r="F93" s="33">
        <v>40</v>
      </c>
      <c r="G93" s="34">
        <f t="shared" si="4"/>
        <v>130</v>
      </c>
      <c r="H93" s="35">
        <v>0.833333333333333</v>
      </c>
      <c r="I93" s="36">
        <v>17.141592920354</v>
      </c>
      <c r="J93" s="35">
        <v>4.8282255986</v>
      </c>
      <c r="K93" s="35">
        <v>51.34</v>
      </c>
      <c r="L93" s="35">
        <v>66.31428</v>
      </c>
      <c r="M93" s="35">
        <v>3.912975</v>
      </c>
      <c r="N93" s="35">
        <v>9.742994712</v>
      </c>
      <c r="O93" s="35">
        <v>0</v>
      </c>
      <c r="P93" s="35">
        <v>1.7677267699115</v>
      </c>
      <c r="Q93" s="37" t="s">
        <v>93</v>
      </c>
      <c r="R93" s="35" t="s">
        <v>94</v>
      </c>
      <c r="S93" s="35">
        <v>6.8</v>
      </c>
      <c r="T93" s="38" t="s">
        <v>461</v>
      </c>
      <c r="U93" s="39">
        <v>14.3268</v>
      </c>
      <c r="V93" s="38">
        <v>16.1300000000001</v>
      </c>
      <c r="W93" s="40"/>
      <c r="X93" s="35"/>
      <c r="Y93" s="35"/>
      <c r="Z93" s="35"/>
      <c r="AA93" s="35"/>
      <c r="AB93" s="35">
        <v>26.082</v>
      </c>
      <c r="AC93" s="41">
        <v>0.1</v>
      </c>
      <c r="AD93" s="42">
        <v>19.6187349833756</v>
      </c>
      <c r="AE93" s="43">
        <v>0.0869849029774793</v>
      </c>
      <c r="AF93" s="43">
        <v>0.00897031811955256</v>
      </c>
      <c r="AG93" s="43">
        <v>0.0245007997330816</v>
      </c>
      <c r="AH93" s="43">
        <v>0.260524499654935</v>
      </c>
      <c r="AI93" s="44">
        <v>0.1769</v>
      </c>
      <c r="AJ93" s="44">
        <v>0.0336</v>
      </c>
      <c r="AK93" s="45">
        <v>0.0006</v>
      </c>
      <c r="AL93" s="45">
        <v>0</v>
      </c>
      <c r="AM93" s="45">
        <v>0.1125</v>
      </c>
      <c r="AN93" s="43">
        <v>0.0198563664596273</v>
      </c>
      <c r="AO93" s="43">
        <v>0.291263113055325</v>
      </c>
      <c r="AP93" s="46"/>
      <c r="AQ93" s="29"/>
      <c r="AR93" s="29"/>
      <c r="AS93" s="29"/>
      <c r="AT93" s="29"/>
      <c r="AU93" s="29"/>
      <c r="AV93" s="29"/>
      <c r="AW93" s="29"/>
      <c r="AX93" s="29"/>
      <c r="AY93" s="29"/>
      <c r="AZ93" s="29"/>
      <c r="BA93" s="29"/>
      <c r="BB93" s="29"/>
      <c r="BC93" s="29"/>
      <c r="BD93" s="29"/>
      <c r="BE93" s="29"/>
      <c r="BF93" s="47">
        <v>0.15</v>
      </c>
      <c r="BG93" s="48">
        <v>11.5428926922189</v>
      </c>
      <c r="BH93" s="48">
        <v>26.082</v>
      </c>
      <c r="BI93" s="48">
        <f t="shared" si="5"/>
        <v>0.442561639913308</v>
      </c>
      <c r="BJ93" s="45">
        <v>0.2652</v>
      </c>
      <c r="BK93" s="45">
        <v>0.211</v>
      </c>
      <c r="BL93" s="45"/>
      <c r="BM93" s="37"/>
      <c r="BN93" s="37"/>
      <c r="BO93" s="49"/>
      <c r="BP93" s="37"/>
      <c r="BQ93" s="37"/>
      <c r="BR93" s="49"/>
      <c r="BS93" s="29"/>
      <c r="BT93" s="29"/>
      <c r="BU93" s="29"/>
      <c r="BV93" s="29"/>
      <c r="BW93" s="29"/>
      <c r="BX93" s="29"/>
      <c r="BY93" s="29"/>
      <c r="BZ93" s="29"/>
      <c r="CA93" s="29"/>
      <c r="CB93" s="29"/>
      <c r="CC93" s="29"/>
      <c r="CD93" s="29"/>
      <c r="CE93" s="29"/>
      <c r="CF93" s="29"/>
      <c r="CG93" s="29"/>
      <c r="CH93" s="29"/>
      <c r="CI93" s="29"/>
      <c r="CJ93" s="29"/>
      <c r="CK93" s="29"/>
    </row>
    <row r="94" ht="33" spans="1:89">
      <c r="A94" s="29" t="s">
        <v>462</v>
      </c>
      <c r="B94" s="30" t="s">
        <v>463</v>
      </c>
      <c r="C94" s="29" t="s">
        <v>464</v>
      </c>
      <c r="D94" s="31"/>
      <c r="E94" s="32">
        <v>46007</v>
      </c>
      <c r="F94" s="33">
        <v>35</v>
      </c>
      <c r="G94" s="34">
        <f t="shared" si="4"/>
        <v>125</v>
      </c>
      <c r="H94" s="35">
        <v>1.66666666666667</v>
      </c>
      <c r="I94" s="36">
        <v>18.5398230088496</v>
      </c>
      <c r="J94" s="35">
        <v>3.5024839337</v>
      </c>
      <c r="K94" s="35">
        <v>47.124</v>
      </c>
      <c r="L94" s="35">
        <v>66.31428</v>
      </c>
      <c r="M94" s="35">
        <v>2.83866</v>
      </c>
      <c r="N94" s="35">
        <v>7.0680363072</v>
      </c>
      <c r="O94" s="35">
        <v>0</v>
      </c>
      <c r="P94" s="35">
        <v>1.91191924778761</v>
      </c>
      <c r="Q94" s="37" t="s">
        <v>93</v>
      </c>
      <c r="R94" s="35" t="s">
        <v>94</v>
      </c>
      <c r="S94" s="35">
        <v>6.8</v>
      </c>
      <c r="T94" s="38" t="s">
        <v>465</v>
      </c>
      <c r="U94" s="39">
        <v>13.5675</v>
      </c>
      <c r="V94" s="38">
        <v>1.56999999999994</v>
      </c>
      <c r="W94" s="40"/>
      <c r="X94" s="35"/>
      <c r="Y94" s="35"/>
      <c r="Z94" s="35"/>
      <c r="AA94" s="35"/>
      <c r="AB94" s="35">
        <v>23.112</v>
      </c>
      <c r="AC94" s="41">
        <v>0.1</v>
      </c>
      <c r="AD94" s="42">
        <v>18.3586055093876</v>
      </c>
      <c r="AE94" s="43">
        <v>0.106169959506423</v>
      </c>
      <c r="AF94" s="43">
        <v>0.0109487770740998</v>
      </c>
      <c r="AG94" s="43">
        <v>0.0200572884236989</v>
      </c>
      <c r="AH94" s="43">
        <v>0.269859813084112</v>
      </c>
      <c r="AI94" s="44">
        <v>0.1769</v>
      </c>
      <c r="AJ94" s="44">
        <v>0.0336</v>
      </c>
      <c r="AK94" s="45">
        <v>0.0006</v>
      </c>
      <c r="AL94" s="45">
        <v>0</v>
      </c>
      <c r="AM94" s="45">
        <v>0.1125</v>
      </c>
      <c r="AN94" s="43">
        <v>0.0162558411214953</v>
      </c>
      <c r="AO94" s="43">
        <v>0.268808320790171</v>
      </c>
      <c r="AP94" s="46"/>
      <c r="AQ94" s="29"/>
      <c r="AR94" s="29"/>
      <c r="AS94" s="29"/>
      <c r="AT94" s="29"/>
      <c r="AU94" s="29"/>
      <c r="AV94" s="29"/>
      <c r="AW94" s="29"/>
      <c r="AX94" s="29"/>
      <c r="AY94" s="29"/>
      <c r="AZ94" s="29"/>
      <c r="BA94" s="29"/>
      <c r="BB94" s="29"/>
      <c r="BC94" s="29"/>
      <c r="BD94" s="29"/>
      <c r="BE94" s="29"/>
      <c r="BF94" s="47">
        <v>0.15</v>
      </c>
      <c r="BG94" s="48">
        <v>11.580977945143</v>
      </c>
      <c r="BH94" s="48">
        <v>23.112</v>
      </c>
      <c r="BI94" s="48">
        <f t="shared" si="5"/>
        <v>0.501080734905807</v>
      </c>
      <c r="BJ94" s="45">
        <v>0.2652</v>
      </c>
      <c r="BK94" s="45">
        <v>0.211</v>
      </c>
      <c r="BL94" s="45"/>
      <c r="BM94" s="37"/>
      <c r="BN94" s="37"/>
      <c r="BO94" s="49"/>
      <c r="BP94" s="37"/>
      <c r="BQ94" s="37"/>
      <c r="BR94" s="49"/>
      <c r="BS94" s="29"/>
      <c r="BT94" s="29"/>
      <c r="BU94" s="29"/>
      <c r="BV94" s="29"/>
      <c r="BW94" s="29"/>
      <c r="BX94" s="29"/>
      <c r="BY94" s="29"/>
      <c r="BZ94" s="29"/>
      <c r="CA94" s="29"/>
      <c r="CB94" s="29"/>
      <c r="CC94" s="29"/>
      <c r="CD94" s="29"/>
      <c r="CE94" s="29"/>
      <c r="CF94" s="29"/>
      <c r="CG94" s="29"/>
      <c r="CH94" s="29"/>
      <c r="CI94" s="29"/>
      <c r="CJ94" s="29"/>
      <c r="CK94" s="29"/>
    </row>
    <row r="95" ht="33" spans="1:89">
      <c r="A95" s="29" t="s">
        <v>466</v>
      </c>
      <c r="B95" s="30" t="s">
        <v>467</v>
      </c>
      <c r="C95" s="29" t="s">
        <v>468</v>
      </c>
      <c r="D95" s="31"/>
      <c r="E95" s="32">
        <v>46007</v>
      </c>
      <c r="F95" s="33">
        <v>40</v>
      </c>
      <c r="G95" s="34">
        <f t="shared" si="4"/>
        <v>130</v>
      </c>
      <c r="H95" s="35">
        <v>1.25</v>
      </c>
      <c r="I95" s="36">
        <v>18.0884955752212</v>
      </c>
      <c r="J95" s="35">
        <v>4.8282255986</v>
      </c>
      <c r="K95" s="35">
        <v>51.34</v>
      </c>
      <c r="L95" s="35">
        <v>66.31428</v>
      </c>
      <c r="M95" s="35">
        <v>3.912975</v>
      </c>
      <c r="N95" s="35">
        <v>9.742994712</v>
      </c>
      <c r="O95" s="35">
        <v>0</v>
      </c>
      <c r="P95" s="35">
        <v>1.86537610619469</v>
      </c>
      <c r="Q95" s="37" t="s">
        <v>93</v>
      </c>
      <c r="R95" s="35" t="s">
        <v>94</v>
      </c>
      <c r="S95" s="35">
        <v>6.8</v>
      </c>
      <c r="T95" s="38" t="s">
        <v>469</v>
      </c>
      <c r="U95" s="39">
        <v>13.5243</v>
      </c>
      <c r="V95" s="38">
        <v>12.53</v>
      </c>
      <c r="W95" s="40"/>
      <c r="X95" s="35"/>
      <c r="Y95" s="35"/>
      <c r="Z95" s="35"/>
      <c r="AA95" s="35"/>
      <c r="AB95" s="35">
        <v>23.283</v>
      </c>
      <c r="AC95" s="41">
        <v>0.1</v>
      </c>
      <c r="AD95" s="42">
        <v>19.8781685029397</v>
      </c>
      <c r="AE95" s="43">
        <v>0.102824618427097</v>
      </c>
      <c r="AF95" s="43">
        <v>0.0106037887752944</v>
      </c>
      <c r="AG95" s="43">
        <v>0.0274461993144455</v>
      </c>
      <c r="AH95" s="43">
        <v>0.291843834557402</v>
      </c>
      <c r="AI95" s="44">
        <v>0.1769</v>
      </c>
      <c r="AJ95" s="44">
        <v>0.0336</v>
      </c>
      <c r="AK95" s="45">
        <v>0.0006</v>
      </c>
      <c r="AL95" s="45">
        <v>0</v>
      </c>
      <c r="AM95" s="45">
        <v>0.1125</v>
      </c>
      <c r="AN95" s="43">
        <v>0.0222434286818709</v>
      </c>
      <c r="AO95" s="43">
        <v>0.237138130243889</v>
      </c>
      <c r="AP95" s="46"/>
      <c r="AQ95" s="29"/>
      <c r="AR95" s="29"/>
      <c r="AS95" s="29"/>
      <c r="AT95" s="29"/>
      <c r="AU95" s="29"/>
      <c r="AV95" s="29"/>
      <c r="AW95" s="29"/>
      <c r="AX95" s="29"/>
      <c r="AY95" s="29"/>
      <c r="AZ95" s="29"/>
      <c r="BA95" s="29"/>
      <c r="BB95" s="29"/>
      <c r="BC95" s="29"/>
      <c r="BD95" s="29"/>
      <c r="BE95" s="29"/>
      <c r="BF95" s="47">
        <v>0.15</v>
      </c>
      <c r="BG95" s="48">
        <v>12.0403931939039</v>
      </c>
      <c r="BH95" s="48">
        <v>23.283</v>
      </c>
      <c r="BI95" s="48">
        <f t="shared" si="5"/>
        <v>0.517132379586132</v>
      </c>
      <c r="BJ95" s="45">
        <v>0.2652</v>
      </c>
      <c r="BK95" s="45">
        <v>0.211</v>
      </c>
      <c r="BL95" s="45"/>
      <c r="BM95" s="37"/>
      <c r="BN95" s="37"/>
      <c r="BO95" s="49"/>
      <c r="BP95" s="37"/>
      <c r="BQ95" s="37"/>
      <c r="BR95" s="49"/>
      <c r="BS95" s="29"/>
      <c r="BT95" s="29"/>
      <c r="BU95" s="29"/>
      <c r="BV95" s="29"/>
      <c r="BW95" s="29"/>
      <c r="BX95" s="29"/>
      <c r="BY95" s="29"/>
      <c r="BZ95" s="29"/>
      <c r="CA95" s="29"/>
      <c r="CB95" s="29"/>
      <c r="CC95" s="29"/>
      <c r="CD95" s="29"/>
      <c r="CE95" s="29"/>
      <c r="CF95" s="29"/>
      <c r="CG95" s="29"/>
      <c r="CH95" s="29"/>
      <c r="CI95" s="29"/>
      <c r="CJ95" s="29"/>
      <c r="CK95" s="29"/>
    </row>
    <row r="96" ht="33" spans="1:89">
      <c r="A96" s="29" t="s">
        <v>470</v>
      </c>
      <c r="B96" s="30" t="s">
        <v>471</v>
      </c>
      <c r="C96" s="29" t="s">
        <v>472</v>
      </c>
      <c r="D96" s="31"/>
      <c r="E96" s="32">
        <v>46007</v>
      </c>
      <c r="F96" s="33">
        <v>35</v>
      </c>
      <c r="G96" s="34">
        <f t="shared" si="4"/>
        <v>125</v>
      </c>
      <c r="H96" s="35">
        <v>1.25</v>
      </c>
      <c r="I96" s="36">
        <v>19.1238938053097</v>
      </c>
      <c r="J96" s="35">
        <v>4.2486926176</v>
      </c>
      <c r="K96" s="35">
        <v>47.124</v>
      </c>
      <c r="L96" s="35">
        <v>66.31428</v>
      </c>
      <c r="M96" s="35">
        <v>3.443418</v>
      </c>
      <c r="N96" s="35">
        <v>8.57383534656</v>
      </c>
      <c r="O96" s="35">
        <v>0</v>
      </c>
      <c r="P96" s="35">
        <v>1.97215154867257</v>
      </c>
      <c r="Q96" s="37" t="s">
        <v>93</v>
      </c>
      <c r="R96" s="35" t="s">
        <v>94</v>
      </c>
      <c r="S96" s="35">
        <v>6.8</v>
      </c>
      <c r="T96" s="38" t="s">
        <v>473</v>
      </c>
      <c r="U96" s="39">
        <v>12.9472</v>
      </c>
      <c r="V96" s="38">
        <v>17.72</v>
      </c>
      <c r="W96" s="40"/>
      <c r="X96" s="35"/>
      <c r="Y96" s="35"/>
      <c r="Z96" s="35"/>
      <c r="AA96" s="35"/>
      <c r="AB96" s="35">
        <v>25.182</v>
      </c>
      <c r="AC96" s="41">
        <v>0.1</v>
      </c>
      <c r="AD96" s="42">
        <v>18.8541671149503</v>
      </c>
      <c r="AE96" s="43">
        <v>0.100512413306299</v>
      </c>
      <c r="AF96" s="43">
        <v>0.0103653426222121</v>
      </c>
      <c r="AG96" s="43">
        <v>0.0223305124332506</v>
      </c>
      <c r="AH96" s="43">
        <v>0.247676912080057</v>
      </c>
      <c r="AI96" s="44">
        <v>0.1769</v>
      </c>
      <c r="AJ96" s="44">
        <v>0.0336</v>
      </c>
      <c r="AK96" s="45">
        <v>0.0006</v>
      </c>
      <c r="AL96" s="45">
        <v>0</v>
      </c>
      <c r="AM96" s="45">
        <v>0.1125</v>
      </c>
      <c r="AN96" s="43">
        <v>0.0180981057898499</v>
      </c>
      <c r="AO96" s="43">
        <v>0.293116713768331</v>
      </c>
      <c r="AP96" s="46"/>
      <c r="AQ96" s="29"/>
      <c r="AR96" s="29"/>
      <c r="AS96" s="29"/>
      <c r="AT96" s="29"/>
      <c r="AU96" s="29"/>
      <c r="AV96" s="29"/>
      <c r="AW96" s="29"/>
      <c r="AX96" s="29"/>
      <c r="AY96" s="29"/>
      <c r="AZ96" s="29"/>
      <c r="BA96" s="29"/>
      <c r="BB96" s="29"/>
      <c r="BC96" s="29"/>
      <c r="BD96" s="29"/>
      <c r="BE96" s="29"/>
      <c r="BF96" s="47">
        <v>0.15</v>
      </c>
      <c r="BG96" s="48">
        <v>12.2799037591733</v>
      </c>
      <c r="BH96" s="48">
        <v>25.182</v>
      </c>
      <c r="BI96" s="48">
        <f t="shared" si="5"/>
        <v>0.48764608685463</v>
      </c>
      <c r="BJ96" s="45">
        <v>0.2652</v>
      </c>
      <c r="BK96" s="45">
        <v>0.211</v>
      </c>
      <c r="BL96" s="45"/>
      <c r="BM96" s="37"/>
      <c r="BN96" s="37"/>
      <c r="BO96" s="49"/>
      <c r="BP96" s="37"/>
      <c r="BQ96" s="37"/>
      <c r="BR96" s="49"/>
      <c r="BS96" s="29"/>
      <c r="BT96" s="29"/>
      <c r="BU96" s="29"/>
      <c r="BV96" s="29"/>
      <c r="BW96" s="29"/>
      <c r="BX96" s="29"/>
      <c r="BY96" s="29"/>
      <c r="BZ96" s="29"/>
      <c r="CA96" s="29"/>
      <c r="CB96" s="29"/>
      <c r="CC96" s="29"/>
      <c r="CD96" s="29"/>
      <c r="CE96" s="29"/>
      <c r="CF96" s="29"/>
      <c r="CG96" s="29"/>
      <c r="CH96" s="29"/>
      <c r="CI96" s="29"/>
      <c r="CJ96" s="29"/>
      <c r="CK96" s="29"/>
    </row>
    <row r="97" ht="33" spans="1:90">
      <c r="A97" s="29" t="s">
        <v>474</v>
      </c>
      <c r="B97" s="30" t="s">
        <v>475</v>
      </c>
      <c r="C97" s="29" t="s">
        <v>476</v>
      </c>
      <c r="D97" s="31"/>
      <c r="E97" s="32">
        <v>46007</v>
      </c>
      <c r="F97" s="33">
        <v>40</v>
      </c>
      <c r="G97" s="34">
        <f t="shared" si="4"/>
        <v>130</v>
      </c>
      <c r="H97" s="35">
        <v>1.5</v>
      </c>
      <c r="I97" s="36">
        <v>20.0619469026549</v>
      </c>
      <c r="J97" s="35">
        <v>4.263994515</v>
      </c>
      <c r="K97" s="35">
        <v>47.124</v>
      </c>
      <c r="L97" s="35">
        <v>66.31428</v>
      </c>
      <c r="M97" s="35">
        <v>3.45576</v>
      </c>
      <c r="N97" s="35">
        <v>8.6045659392</v>
      </c>
      <c r="O97" s="35">
        <v>0</v>
      </c>
      <c r="P97" s="35">
        <v>2.06888827433628</v>
      </c>
      <c r="Q97" s="37" t="s">
        <v>93</v>
      </c>
      <c r="R97" s="35" t="s">
        <v>94</v>
      </c>
      <c r="S97" s="35">
        <v>6.8</v>
      </c>
      <c r="T97" s="38" t="s">
        <v>477</v>
      </c>
      <c r="U97" s="39">
        <v>12.2075</v>
      </c>
      <c r="V97" s="38">
        <v>9.32999999999993</v>
      </c>
      <c r="W97" s="40"/>
      <c r="X97" s="35"/>
      <c r="Y97" s="35"/>
      <c r="Z97" s="35"/>
      <c r="AA97" s="35"/>
      <c r="AB97" s="35">
        <v>26.982</v>
      </c>
      <c r="AC97" s="41">
        <v>0.1</v>
      </c>
      <c r="AD97" s="42">
        <v>19.118041887795</v>
      </c>
      <c r="AE97" s="43">
        <v>0.0984084826288843</v>
      </c>
      <c r="AF97" s="43">
        <v>0.0101483747711037</v>
      </c>
      <c r="AG97" s="43">
        <v>0.0209158778156026</v>
      </c>
      <c r="AH97" s="43">
        <v>0.231154102735157</v>
      </c>
      <c r="AI97" s="44">
        <v>0.1769</v>
      </c>
      <c r="AJ97" s="44">
        <v>0.0336</v>
      </c>
      <c r="AK97" s="45">
        <v>0.0006</v>
      </c>
      <c r="AL97" s="45">
        <v>0</v>
      </c>
      <c r="AM97" s="45">
        <v>0.1125</v>
      </c>
      <c r="AN97" s="43">
        <v>0.0169513008672448</v>
      </c>
      <c r="AO97" s="43">
        <v>0.314521861182008</v>
      </c>
      <c r="AP97" s="46"/>
      <c r="AQ97" s="29"/>
      <c r="AR97" s="29"/>
      <c r="AS97" s="29"/>
      <c r="AT97" s="29"/>
      <c r="AU97" s="29"/>
      <c r="AV97" s="29"/>
      <c r="AW97" s="29"/>
      <c r="AX97" s="29"/>
      <c r="AY97" s="29"/>
      <c r="AZ97" s="29"/>
      <c r="BA97" s="29"/>
      <c r="BB97" s="29"/>
      <c r="BC97" s="29"/>
      <c r="BD97" s="29"/>
      <c r="BE97" s="29"/>
      <c r="BF97" s="47">
        <v>0.15</v>
      </c>
      <c r="BG97" s="48">
        <v>12.7807943055581</v>
      </c>
      <c r="BH97" s="48">
        <v>26.982</v>
      </c>
      <c r="BI97" s="48">
        <f t="shared" si="5"/>
        <v>0.47367853774954</v>
      </c>
      <c r="BJ97" s="45">
        <v>0.2652</v>
      </c>
      <c r="BK97" s="45">
        <v>0.211</v>
      </c>
      <c r="BL97" s="45"/>
      <c r="BM97" s="37"/>
      <c r="BN97" s="37"/>
      <c r="BO97" s="49"/>
      <c r="BP97" s="37"/>
      <c r="BQ97" s="37"/>
      <c r="BR97" s="49"/>
      <c r="BS97" s="29"/>
      <c r="BT97" s="29"/>
      <c r="BU97" s="29"/>
      <c r="BV97" s="29"/>
      <c r="BW97" s="29"/>
      <c r="BX97" s="29"/>
      <c r="BY97" s="29"/>
      <c r="BZ97" s="29"/>
      <c r="CA97" s="29"/>
      <c r="CB97" s="29"/>
      <c r="CC97" s="29"/>
      <c r="CD97" s="29"/>
      <c r="CE97" s="29"/>
      <c r="CF97" s="29"/>
      <c r="CG97" s="29"/>
      <c r="CH97" s="29"/>
      <c r="CI97" s="29"/>
      <c r="CJ97" s="29"/>
      <c r="CK97" s="29"/>
    </row>
    <row r="98" ht="33" spans="1:90">
      <c r="A98" s="29" t="s">
        <v>478</v>
      </c>
      <c r="B98" s="30" t="s">
        <v>479</v>
      </c>
      <c r="C98" s="29" t="s">
        <v>480</v>
      </c>
      <c r="D98" s="31"/>
      <c r="E98" s="32">
        <v>46007</v>
      </c>
      <c r="F98" s="33">
        <v>40</v>
      </c>
      <c r="G98" s="34">
        <f t="shared" si="4"/>
        <v>130</v>
      </c>
      <c r="H98" s="35">
        <v>1.66666666666667</v>
      </c>
      <c r="I98" s="36">
        <v>16.7964601769912</v>
      </c>
      <c r="J98" s="35">
        <v>3.820756359</v>
      </c>
      <c r="K98" s="35">
        <v>47.124</v>
      </c>
      <c r="L98" s="35">
        <v>66.31428</v>
      </c>
      <c r="M98" s="35">
        <v>3.09672</v>
      </c>
      <c r="N98" s="35">
        <v>7.7105850624</v>
      </c>
      <c r="O98" s="35">
        <v>0</v>
      </c>
      <c r="P98" s="35">
        <v>1.73213495575221</v>
      </c>
      <c r="Q98" s="37" t="s">
        <v>93</v>
      </c>
      <c r="R98" s="35" t="s">
        <v>94</v>
      </c>
      <c r="S98" s="35">
        <v>6.8</v>
      </c>
      <c r="T98" s="38" t="s">
        <v>481</v>
      </c>
      <c r="U98" s="39">
        <v>11.969</v>
      </c>
      <c r="V98" s="38">
        <v>5.23000000000002</v>
      </c>
      <c r="W98" s="40"/>
      <c r="X98" s="35"/>
      <c r="Y98" s="35"/>
      <c r="Z98" s="35"/>
      <c r="AA98" s="35"/>
      <c r="AB98" s="35">
        <v>26.982</v>
      </c>
      <c r="AC98" s="41">
        <v>0.1</v>
      </c>
      <c r="AD98" s="42">
        <v>18.0240995389649</v>
      </c>
      <c r="AE98" s="43">
        <v>0.0823905161136402</v>
      </c>
      <c r="AF98" s="43">
        <v>0.00849652197421915</v>
      </c>
      <c r="AG98" s="43">
        <v>0.0187416922997685</v>
      </c>
      <c r="AH98" s="43">
        <v>0.231154102735157</v>
      </c>
      <c r="AI98" s="44">
        <v>0.1769</v>
      </c>
      <c r="AJ98" s="44">
        <v>0.0336</v>
      </c>
      <c r="AK98" s="45">
        <v>0.0006</v>
      </c>
      <c r="AL98" s="45">
        <v>0</v>
      </c>
      <c r="AM98" s="45">
        <v>0.1125</v>
      </c>
      <c r="AN98" s="43">
        <v>0.0151901267511674</v>
      </c>
      <c r="AO98" s="43">
        <v>0.336127040126048</v>
      </c>
      <c r="AP98" s="46"/>
      <c r="AQ98" s="29"/>
      <c r="AR98" s="29"/>
      <c r="AS98" s="29"/>
      <c r="AT98" s="29"/>
      <c r="AU98" s="29"/>
      <c r="AV98" s="29"/>
      <c r="AW98" s="29"/>
      <c r="AX98" s="29"/>
      <c r="AY98" s="29"/>
      <c r="AZ98" s="29"/>
      <c r="BA98" s="29"/>
      <c r="BB98" s="29"/>
      <c r="BC98" s="29"/>
      <c r="BD98" s="29"/>
      <c r="BE98" s="29"/>
      <c r="BF98" s="47">
        <v>0.15</v>
      </c>
      <c r="BG98" s="48">
        <v>10.8322386860807</v>
      </c>
      <c r="BH98" s="48">
        <v>26.982</v>
      </c>
      <c r="BI98" s="48">
        <f t="shared" si="5"/>
        <v>0.401461666521411</v>
      </c>
      <c r="BJ98" s="45">
        <v>0.2652</v>
      </c>
      <c r="BK98" s="45">
        <v>0.211</v>
      </c>
      <c r="BL98" s="45"/>
      <c r="BM98" s="37"/>
      <c r="BN98" s="37"/>
      <c r="BO98" s="49"/>
      <c r="BP98" s="37"/>
      <c r="BQ98" s="37"/>
      <c r="BR98" s="49"/>
      <c r="BS98" s="29"/>
      <c r="BT98" s="29"/>
      <c r="BU98" s="29"/>
      <c r="BV98" s="29"/>
      <c r="BW98" s="29"/>
      <c r="BX98" s="29"/>
      <c r="BY98" s="29"/>
      <c r="BZ98" s="29"/>
      <c r="CA98" s="29"/>
      <c r="CB98" s="29"/>
      <c r="CC98" s="29"/>
      <c r="CD98" s="29"/>
      <c r="CE98" s="29"/>
      <c r="CF98" s="29"/>
      <c r="CG98" s="29"/>
      <c r="CH98" s="29"/>
      <c r="CI98" s="29"/>
      <c r="CJ98" s="29"/>
      <c r="CK98" s="29"/>
    </row>
    <row r="99" ht="33" spans="1:90">
      <c r="A99" s="29" t="s">
        <v>482</v>
      </c>
      <c r="B99" s="30" t="s">
        <v>483</v>
      </c>
      <c r="C99" s="29" t="s">
        <v>484</v>
      </c>
      <c r="D99" s="31"/>
      <c r="E99" s="32">
        <v>46007</v>
      </c>
      <c r="F99" s="33">
        <v>35</v>
      </c>
      <c r="G99" s="34">
        <f t="shared" si="4"/>
        <v>125</v>
      </c>
      <c r="H99" s="35">
        <v>0.833333333333333</v>
      </c>
      <c r="I99" s="36">
        <v>17.1672920353982</v>
      </c>
      <c r="J99" s="35">
        <v>4.5683799887</v>
      </c>
      <c r="K99" s="35">
        <v>47.124</v>
      </c>
      <c r="L99" s="35">
        <v>66.31428</v>
      </c>
      <c r="M99" s="35">
        <v>3.7026</v>
      </c>
      <c r="N99" s="35">
        <v>9.219177792</v>
      </c>
      <c r="O99" s="35">
        <v>0</v>
      </c>
      <c r="P99" s="35">
        <v>1.77037699115044</v>
      </c>
      <c r="Q99" s="37" t="s">
        <v>93</v>
      </c>
      <c r="R99" s="35" t="s">
        <v>94</v>
      </c>
      <c r="S99" s="35">
        <v>6.8</v>
      </c>
      <c r="T99" s="38" t="s">
        <v>485</v>
      </c>
      <c r="U99" s="39">
        <v>11.747</v>
      </c>
      <c r="V99" s="38">
        <v>19.28</v>
      </c>
      <c r="W99" s="40"/>
      <c r="X99" s="35"/>
      <c r="Y99" s="35"/>
      <c r="Z99" s="35"/>
      <c r="AA99" s="35"/>
      <c r="AB99" s="35">
        <v>23.382</v>
      </c>
      <c r="AC99" s="41">
        <v>0.1</v>
      </c>
      <c r="AD99" s="42">
        <v>18.4618677824813</v>
      </c>
      <c r="AE99" s="43">
        <v>0.0971748179334682</v>
      </c>
      <c r="AF99" s="43">
        <v>0.0100211530993889</v>
      </c>
      <c r="AG99" s="43">
        <v>0.0258591449797355</v>
      </c>
      <c r="AH99" s="43">
        <v>0.266743648960739</v>
      </c>
      <c r="AI99" s="44">
        <v>0.1769</v>
      </c>
      <c r="AJ99" s="44">
        <v>0.0336</v>
      </c>
      <c r="AK99" s="45">
        <v>0.0006</v>
      </c>
      <c r="AL99" s="45">
        <v>0</v>
      </c>
      <c r="AM99" s="45">
        <v>0.1125</v>
      </c>
      <c r="AN99" s="43">
        <v>0.0209584295612009</v>
      </c>
      <c r="AO99" s="43">
        <v>0.271342805465467</v>
      </c>
      <c r="AP99" s="46"/>
      <c r="AQ99" s="29"/>
      <c r="AR99" s="29"/>
      <c r="AS99" s="29"/>
      <c r="AT99" s="29"/>
      <c r="AU99" s="29"/>
      <c r="AV99" s="29"/>
      <c r="AW99" s="29"/>
      <c r="AX99" s="29"/>
      <c r="AY99" s="29"/>
      <c r="AZ99" s="29"/>
      <c r="BA99" s="29"/>
      <c r="BB99" s="29"/>
      <c r="BC99" s="29"/>
      <c r="BD99" s="29"/>
      <c r="BE99" s="29"/>
      <c r="BF99" s="47">
        <v>0.15</v>
      </c>
      <c r="BG99" s="48">
        <v>11.4198726562524</v>
      </c>
      <c r="BH99" s="48">
        <v>23.382</v>
      </c>
      <c r="BI99" s="48">
        <f t="shared" si="5"/>
        <v>0.488404441718091</v>
      </c>
      <c r="BJ99" s="45">
        <v>0.2652</v>
      </c>
      <c r="BK99" s="45">
        <v>0.211</v>
      </c>
      <c r="BL99" s="45"/>
      <c r="BM99" s="37"/>
      <c r="BN99" s="37"/>
      <c r="BO99" s="49"/>
      <c r="BP99" s="37"/>
      <c r="BQ99" s="37"/>
      <c r="BR99" s="49"/>
      <c r="BS99" s="29"/>
      <c r="BT99" s="29"/>
      <c r="BU99" s="29"/>
      <c r="BV99" s="29"/>
      <c r="BW99" s="29"/>
      <c r="BX99" s="29"/>
      <c r="BY99" s="29"/>
      <c r="BZ99" s="29"/>
      <c r="CA99" s="29"/>
      <c r="CB99" s="29"/>
      <c r="CC99" s="29"/>
      <c r="CD99" s="29"/>
      <c r="CE99" s="29"/>
      <c r="CF99" s="29"/>
      <c r="CG99" s="29"/>
      <c r="CH99" s="29"/>
      <c r="CI99" s="29"/>
      <c r="CJ99" s="29"/>
      <c r="CK99" s="29"/>
    </row>
    <row r="100" ht="33" spans="1:90">
      <c r="A100" s="29" t="s">
        <v>486</v>
      </c>
      <c r="B100" s="30" t="s">
        <v>487</v>
      </c>
      <c r="C100" s="29" t="s">
        <v>488</v>
      </c>
      <c r="D100" s="31"/>
      <c r="E100" s="32">
        <v>46007</v>
      </c>
      <c r="F100" s="33">
        <v>35</v>
      </c>
      <c r="G100" s="34">
        <f t="shared" si="4"/>
        <v>125</v>
      </c>
      <c r="H100" s="35">
        <v>1</v>
      </c>
      <c r="I100" s="36">
        <v>17.9380530973451</v>
      </c>
      <c r="J100" s="35">
        <v>3.4886326092</v>
      </c>
      <c r="K100" s="35">
        <v>47.124</v>
      </c>
      <c r="L100" s="35">
        <v>66.31428</v>
      </c>
      <c r="M100" s="35">
        <v>2.82744</v>
      </c>
      <c r="N100" s="35">
        <v>7.0400994048</v>
      </c>
      <c r="O100" s="35">
        <v>0</v>
      </c>
      <c r="P100" s="35">
        <v>1.84986172566372</v>
      </c>
      <c r="Q100" s="37" t="s">
        <v>93</v>
      </c>
      <c r="R100" s="35" t="s">
        <v>94</v>
      </c>
      <c r="S100" s="35">
        <v>6.8</v>
      </c>
      <c r="T100" s="38" t="s">
        <v>489</v>
      </c>
      <c r="U100" s="39">
        <v>11.4002</v>
      </c>
      <c r="V100" s="38">
        <v>18.96</v>
      </c>
      <c r="W100" s="40"/>
      <c r="X100" s="35"/>
      <c r="Y100" s="35"/>
      <c r="Z100" s="35"/>
      <c r="AA100" s="35"/>
      <c r="AB100" s="35">
        <v>23.382</v>
      </c>
      <c r="AC100" s="41">
        <v>0.1</v>
      </c>
      <c r="AD100" s="42">
        <v>18.1875049505272</v>
      </c>
      <c r="AE100" s="43">
        <v>0.101537682251874</v>
      </c>
      <c r="AF100" s="43">
        <v>0.0104710734822245</v>
      </c>
      <c r="AG100" s="43">
        <v>0.0197472751052846</v>
      </c>
      <c r="AH100" s="43">
        <v>0.266743648960739</v>
      </c>
      <c r="AI100" s="44">
        <v>0.1769</v>
      </c>
      <c r="AJ100" s="44">
        <v>0.0336</v>
      </c>
      <c r="AK100" s="45">
        <v>0.0006</v>
      </c>
      <c r="AL100" s="45">
        <v>0</v>
      </c>
      <c r="AM100" s="45">
        <v>0.1125</v>
      </c>
      <c r="AN100" s="43">
        <v>0.0160046189376443</v>
      </c>
      <c r="AO100" s="43">
        <v>0.277595701262233</v>
      </c>
      <c r="AP100" s="46"/>
      <c r="AQ100" s="29"/>
      <c r="AR100" s="29"/>
      <c r="AS100" s="29"/>
      <c r="AT100" s="29"/>
      <c r="AU100" s="29"/>
      <c r="AV100" s="29"/>
      <c r="AW100" s="29"/>
      <c r="AX100" s="29"/>
      <c r="AY100" s="29"/>
      <c r="AZ100" s="29"/>
      <c r="BA100" s="29"/>
      <c r="BB100" s="29"/>
      <c r="BC100" s="29"/>
      <c r="BD100" s="29"/>
      <c r="BE100" s="29"/>
      <c r="BF100" s="47">
        <v>0.15</v>
      </c>
      <c r="BG100" s="48">
        <v>11.2575319476205</v>
      </c>
      <c r="BH100" s="48">
        <v>23.382</v>
      </c>
      <c r="BI100" s="48">
        <f t="shared" si="5"/>
        <v>0.481461463844859</v>
      </c>
      <c r="BJ100" s="45">
        <v>0.2652</v>
      </c>
      <c r="BK100" s="45">
        <v>0.211</v>
      </c>
      <c r="BL100" s="45"/>
      <c r="BM100" s="37"/>
      <c r="BN100" s="37"/>
      <c r="BO100" s="49"/>
      <c r="BP100" s="37"/>
      <c r="BQ100" s="37"/>
      <c r="BR100" s="49"/>
      <c r="BS100" s="29"/>
      <c r="BT100" s="29"/>
      <c r="BU100" s="29"/>
      <c r="BV100" s="29"/>
      <c r="BW100" s="29"/>
      <c r="BX100" s="29"/>
      <c r="BY100" s="29"/>
      <c r="BZ100" s="29"/>
      <c r="CA100" s="29"/>
      <c r="CB100" s="29"/>
      <c r="CC100" s="29"/>
      <c r="CD100" s="29"/>
      <c r="CE100" s="29"/>
      <c r="CF100" s="29"/>
      <c r="CG100" s="29"/>
      <c r="CH100" s="29"/>
      <c r="CI100" s="29"/>
      <c r="CJ100" s="29"/>
      <c r="CK100" s="29"/>
    </row>
    <row r="101" ht="165" spans="1:90">
      <c r="A101" s="29" t="s">
        <v>490</v>
      </c>
      <c r="B101" s="30" t="s">
        <v>491</v>
      </c>
      <c r="C101" s="29" t="s">
        <v>492</v>
      </c>
      <c r="D101" s="31"/>
      <c r="E101" s="32">
        <v>45973</v>
      </c>
      <c r="F101" s="33">
        <v>40</v>
      </c>
      <c r="G101" s="34">
        <f t="shared" si="4"/>
        <v>130</v>
      </c>
      <c r="H101" s="35">
        <v>2.5</v>
      </c>
      <c r="I101" s="36">
        <v>21.8318584070797</v>
      </c>
      <c r="J101" s="35">
        <v>5.0944860297</v>
      </c>
      <c r="K101" s="35">
        <v>51.34</v>
      </c>
      <c r="L101" s="35">
        <v>68.23868</v>
      </c>
      <c r="M101" s="35">
        <v>4.12896</v>
      </c>
      <c r="N101" s="35">
        <v>10.2807800832</v>
      </c>
      <c r="O101" s="35">
        <v>0</v>
      </c>
      <c r="P101" s="35">
        <v>2.25141039823009</v>
      </c>
      <c r="Q101" s="35" t="s">
        <v>93</v>
      </c>
      <c r="R101" s="37" t="s">
        <v>94</v>
      </c>
      <c r="S101" s="35">
        <v>6.8</v>
      </c>
      <c r="T101" s="38" t="s">
        <v>493</v>
      </c>
      <c r="U101" s="38">
        <v>35.9</v>
      </c>
      <c r="V101" s="39">
        <v>2.41</v>
      </c>
      <c r="W101" s="51" t="s">
        <v>494</v>
      </c>
      <c r="X101" s="35">
        <v>29.4391907601316</v>
      </c>
      <c r="Y101" s="35">
        <v>121.641247625127</v>
      </c>
      <c r="Z101" s="35"/>
      <c r="AA101" s="35">
        <v>537.006307895152</v>
      </c>
      <c r="AB101" s="35">
        <v>29.44</v>
      </c>
      <c r="AC101" s="41">
        <v>0.1</v>
      </c>
      <c r="AD101" s="37">
        <v>21.5961941347435</v>
      </c>
      <c r="AE101" s="42">
        <v>0.109054599619763</v>
      </c>
      <c r="AF101" s="43">
        <v>0.0112462555857881</v>
      </c>
      <c r="AG101" s="43">
        <v>0.0254480000684343</v>
      </c>
      <c r="AH101" s="43">
        <v>0.256453804347826</v>
      </c>
      <c r="AI101" s="44">
        <v>0.1769</v>
      </c>
      <c r="AJ101" s="44">
        <v>0.0336</v>
      </c>
      <c r="AK101" s="45">
        <v>0.0006</v>
      </c>
      <c r="AL101" s="45">
        <v>0</v>
      </c>
      <c r="AM101" s="45">
        <v>0.1125</v>
      </c>
      <c r="AN101" s="45">
        <v>0.020625</v>
      </c>
      <c r="AO101" s="43">
        <v>0.253572340378188</v>
      </c>
      <c r="AP101" s="49"/>
      <c r="AQ101" s="46"/>
      <c r="AR101" s="29"/>
      <c r="AS101" s="29"/>
      <c r="AT101" s="29"/>
      <c r="AU101" s="29"/>
      <c r="AV101" s="29"/>
      <c r="AW101" s="29"/>
      <c r="AX101" s="29"/>
      <c r="AY101" s="29"/>
      <c r="AZ101" s="29"/>
      <c r="BA101" s="29"/>
      <c r="BB101" s="29"/>
      <c r="BC101" s="29"/>
      <c r="BD101" s="29"/>
      <c r="BE101" s="29"/>
      <c r="BF101" s="29"/>
      <c r="BG101" s="47"/>
      <c r="BH101" s="48"/>
      <c r="BI101" s="48"/>
      <c r="BJ101" s="48"/>
      <c r="BK101" s="45"/>
      <c r="BL101" s="45"/>
      <c r="BM101" s="45"/>
      <c r="BN101" s="37"/>
      <c r="BO101" s="37"/>
      <c r="BP101" s="49"/>
      <c r="BQ101" s="37"/>
      <c r="BR101" s="37"/>
      <c r="BS101" s="49"/>
      <c r="BT101" s="29"/>
      <c r="BU101" s="29"/>
      <c r="BV101" s="29"/>
      <c r="BW101" s="29"/>
      <c r="BX101" s="29"/>
      <c r="BY101" s="29"/>
      <c r="BZ101" s="29"/>
      <c r="CA101" s="29"/>
      <c r="CB101" s="29"/>
      <c r="CC101" s="29"/>
      <c r="CD101" s="29"/>
      <c r="CE101" s="29"/>
      <c r="CF101" s="29"/>
      <c r="CG101" s="29"/>
      <c r="CH101" s="29"/>
      <c r="CI101" s="29"/>
      <c r="CJ101" s="29"/>
      <c r="CK101" s="29"/>
      <c r="CL101" s="52"/>
    </row>
    <row r="102" ht="165" spans="1:90">
      <c r="A102" s="29" t="s">
        <v>495</v>
      </c>
      <c r="B102" s="30" t="s">
        <v>496</v>
      </c>
      <c r="C102" s="29" t="s">
        <v>497</v>
      </c>
      <c r="D102" s="31"/>
      <c r="E102" s="32">
        <v>45973</v>
      </c>
      <c r="F102" s="33">
        <v>35</v>
      </c>
      <c r="G102" s="34">
        <f t="shared" si="4"/>
        <v>125</v>
      </c>
      <c r="H102" s="35">
        <v>3.5</v>
      </c>
      <c r="I102" s="36">
        <v>18.1327433628319</v>
      </c>
      <c r="J102" s="35">
        <v>5.1165024597</v>
      </c>
      <c r="K102" s="35">
        <v>51.34</v>
      </c>
      <c r="L102" s="35">
        <v>68.23868</v>
      </c>
      <c r="M102" s="35">
        <v>4.146912</v>
      </c>
      <c r="N102" s="35">
        <v>10.32547912704</v>
      </c>
      <c r="O102" s="35">
        <v>0</v>
      </c>
      <c r="P102" s="35">
        <v>1.86993915929204</v>
      </c>
      <c r="Q102" s="35" t="s">
        <v>93</v>
      </c>
      <c r="R102" s="37" t="s">
        <v>94</v>
      </c>
      <c r="S102" s="35">
        <v>6.8</v>
      </c>
      <c r="T102" s="38" t="s">
        <v>498</v>
      </c>
      <c r="U102" s="38">
        <v>160.6</v>
      </c>
      <c r="V102" s="39">
        <v>4.71</v>
      </c>
      <c r="W102" s="51" t="s">
        <v>499</v>
      </c>
      <c r="X102" s="35">
        <v>25.0568239930424</v>
      </c>
      <c r="Y102" s="35">
        <v>96.9243068288752</v>
      </c>
      <c r="Z102" s="35"/>
      <c r="AA102" s="35">
        <v>503.131048055556</v>
      </c>
      <c r="AB102" s="35">
        <v>24.99</v>
      </c>
      <c r="AC102" s="41">
        <v>0.1</v>
      </c>
      <c r="AD102" s="37">
        <v>20.5652980420623</v>
      </c>
      <c r="AE102" s="42">
        <v>0.106705878603393</v>
      </c>
      <c r="AF102" s="43">
        <v>0.011004043730975</v>
      </c>
      <c r="AG102" s="43">
        <v>0.0301091169391286</v>
      </c>
      <c r="AH102" s="43">
        <v>0.302120848339336</v>
      </c>
      <c r="AI102" s="44">
        <v>0.1769</v>
      </c>
      <c r="AJ102" s="44">
        <v>0.0336</v>
      </c>
      <c r="AK102" s="45">
        <v>0.0006</v>
      </c>
      <c r="AL102" s="45">
        <v>0</v>
      </c>
      <c r="AM102" s="45">
        <v>0.1125</v>
      </c>
      <c r="AN102" s="45">
        <v>0.0244033613445378</v>
      </c>
      <c r="AO102" s="43">
        <v>0.202056751042629</v>
      </c>
      <c r="AP102" s="49"/>
      <c r="AQ102" s="46"/>
      <c r="AR102" s="29"/>
      <c r="AS102" s="29"/>
      <c r="AT102" s="29"/>
      <c r="AU102" s="29"/>
      <c r="AV102" s="29"/>
      <c r="AW102" s="29"/>
      <c r="AX102" s="29"/>
      <c r="AY102" s="29"/>
      <c r="AZ102" s="29"/>
      <c r="BA102" s="29"/>
      <c r="BB102" s="29"/>
      <c r="BC102" s="29"/>
      <c r="BD102" s="29"/>
      <c r="BE102" s="29"/>
      <c r="BF102" s="29"/>
      <c r="BG102" s="47"/>
      <c r="BH102" s="48"/>
      <c r="BI102" s="48"/>
      <c r="BJ102" s="48"/>
      <c r="BK102" s="45"/>
      <c r="BL102" s="45"/>
      <c r="BM102" s="45"/>
      <c r="BN102" s="37"/>
      <c r="BO102" s="37"/>
      <c r="BP102" s="49"/>
      <c r="BQ102" s="37"/>
      <c r="BR102" s="37"/>
      <c r="BS102" s="49"/>
      <c r="BT102" s="29"/>
      <c r="BU102" s="29"/>
      <c r="BV102" s="29"/>
      <c r="BW102" s="29"/>
      <c r="BX102" s="29"/>
      <c r="BY102" s="29"/>
      <c r="BZ102" s="29"/>
      <c r="CA102" s="29"/>
      <c r="CB102" s="29"/>
      <c r="CC102" s="29"/>
      <c r="CD102" s="29"/>
      <c r="CE102" s="29"/>
      <c r="CF102" s="29"/>
      <c r="CG102" s="29"/>
      <c r="CH102" s="29"/>
      <c r="CI102" s="29"/>
      <c r="CJ102" s="29"/>
      <c r="CK102" s="29"/>
      <c r="CL102" s="52"/>
    </row>
    <row r="103" ht="132" spans="1:90">
      <c r="A103" s="29" t="s">
        <v>500</v>
      </c>
      <c r="B103" s="30" t="s">
        <v>501</v>
      </c>
      <c r="C103" s="29" t="s">
        <v>502</v>
      </c>
      <c r="D103" s="31"/>
      <c r="E103" s="32">
        <v>45973</v>
      </c>
      <c r="F103" s="33">
        <v>35</v>
      </c>
      <c r="G103" s="34">
        <f t="shared" si="4"/>
        <v>125</v>
      </c>
      <c r="H103" s="35">
        <v>3.3</v>
      </c>
      <c r="I103" s="36">
        <v>21.3805309734513</v>
      </c>
      <c r="J103" s="35">
        <v>3.4886326092</v>
      </c>
      <c r="K103" s="35">
        <v>47.124</v>
      </c>
      <c r="L103" s="35">
        <v>66.31428</v>
      </c>
      <c r="M103" s="35">
        <v>2.82744</v>
      </c>
      <c r="N103" s="35">
        <v>7.0400994048</v>
      </c>
      <c r="O103" s="35">
        <v>0</v>
      </c>
      <c r="P103" s="35">
        <v>2.20486725663717</v>
      </c>
      <c r="Q103" s="35" t="s">
        <v>93</v>
      </c>
      <c r="R103" s="37" t="s">
        <v>94</v>
      </c>
      <c r="S103" s="35">
        <v>6.8</v>
      </c>
      <c r="T103" s="38" t="s">
        <v>503</v>
      </c>
      <c r="U103" s="38">
        <v>320.8</v>
      </c>
      <c r="V103" s="39">
        <v>2.78</v>
      </c>
      <c r="W103" s="51" t="s">
        <v>504</v>
      </c>
      <c r="X103" s="35">
        <v>27.0617041288687</v>
      </c>
      <c r="Y103" s="35">
        <v>128.824962253396</v>
      </c>
      <c r="Z103" s="35"/>
      <c r="AA103" s="35">
        <v>488.999161833333</v>
      </c>
      <c r="AB103" s="35">
        <v>27.06</v>
      </c>
      <c r="AC103" s="41">
        <v>0.1</v>
      </c>
      <c r="AD103" s="37">
        <v>19.6517611440402</v>
      </c>
      <c r="AE103" s="42">
        <v>0.116193486008496</v>
      </c>
      <c r="AF103" s="43">
        <v>0.0119824532446262</v>
      </c>
      <c r="AG103" s="43">
        <v>0.0189591355223686</v>
      </c>
      <c r="AH103" s="43">
        <v>0.25609756097561</v>
      </c>
      <c r="AI103" s="44">
        <v>0.1769</v>
      </c>
      <c r="AJ103" s="44">
        <v>0.0336</v>
      </c>
      <c r="AK103" s="45">
        <v>0.0006</v>
      </c>
      <c r="AL103" s="45">
        <v>0</v>
      </c>
      <c r="AM103" s="45">
        <v>0.1125</v>
      </c>
      <c r="AN103" s="45">
        <v>0.0153658536585366</v>
      </c>
      <c r="AO103" s="43">
        <v>0.257801510590363</v>
      </c>
      <c r="AP103" s="49"/>
      <c r="AQ103" s="46"/>
      <c r="AR103" s="29"/>
      <c r="AS103" s="29"/>
      <c r="AT103" s="29"/>
      <c r="AU103" s="29"/>
      <c r="AV103" s="29"/>
      <c r="AW103" s="29"/>
      <c r="AX103" s="29"/>
      <c r="AY103" s="29"/>
      <c r="AZ103" s="29"/>
      <c r="BA103" s="29"/>
      <c r="BB103" s="29"/>
      <c r="BC103" s="29"/>
      <c r="BD103" s="29"/>
      <c r="BE103" s="29"/>
      <c r="BF103" s="29"/>
      <c r="BG103" s="47"/>
      <c r="BH103" s="48"/>
      <c r="BI103" s="48"/>
      <c r="BJ103" s="48"/>
      <c r="BK103" s="45"/>
      <c r="BL103" s="45"/>
      <c r="BM103" s="45"/>
      <c r="BN103" s="37"/>
      <c r="BO103" s="37"/>
      <c r="BP103" s="49"/>
      <c r="BQ103" s="37"/>
      <c r="BR103" s="37"/>
      <c r="BS103" s="49"/>
      <c r="BT103" s="29"/>
      <c r="BU103" s="29"/>
      <c r="BV103" s="29"/>
      <c r="BW103" s="29"/>
      <c r="BX103" s="29"/>
      <c r="BY103" s="29"/>
      <c r="BZ103" s="29"/>
      <c r="CA103" s="29"/>
      <c r="CB103" s="29"/>
      <c r="CC103" s="29"/>
      <c r="CD103" s="29"/>
      <c r="CE103" s="29"/>
      <c r="CF103" s="29"/>
      <c r="CG103" s="29"/>
      <c r="CH103" s="29"/>
      <c r="CI103" s="29"/>
      <c r="CJ103" s="29"/>
      <c r="CK103" s="29"/>
      <c r="CL103" s="52"/>
    </row>
    <row r="104" ht="165" spans="1:90">
      <c r="A104" s="29" t="s">
        <v>505</v>
      </c>
      <c r="B104" s="30" t="s">
        <v>506</v>
      </c>
      <c r="C104" s="29" t="s">
        <v>507</v>
      </c>
      <c r="D104" s="31"/>
      <c r="E104" s="32">
        <v>45973</v>
      </c>
      <c r="F104" s="33">
        <v>35</v>
      </c>
      <c r="G104" s="34">
        <f t="shared" si="4"/>
        <v>125</v>
      </c>
      <c r="H104" s="35">
        <v>1.96</v>
      </c>
      <c r="I104" s="36">
        <v>21.212389380531</v>
      </c>
      <c r="J104" s="35">
        <v>6.8248492306</v>
      </c>
      <c r="K104" s="35">
        <v>53.516</v>
      </c>
      <c r="L104" s="35">
        <v>68.23868</v>
      </c>
      <c r="M104" s="35">
        <v>5.53146</v>
      </c>
      <c r="N104" s="35">
        <v>13.7728928832</v>
      </c>
      <c r="O104" s="35">
        <v>0</v>
      </c>
      <c r="P104" s="35">
        <v>2.18752765486726</v>
      </c>
      <c r="Q104" s="35" t="s">
        <v>93</v>
      </c>
      <c r="R104" s="37" t="s">
        <v>94</v>
      </c>
      <c r="S104" s="35">
        <v>6.8</v>
      </c>
      <c r="T104" s="38" t="s">
        <v>508</v>
      </c>
      <c r="U104" s="38">
        <v>165.3</v>
      </c>
      <c r="V104" s="39">
        <v>4.34</v>
      </c>
      <c r="W104" s="51" t="s">
        <v>509</v>
      </c>
      <c r="X104" s="35">
        <v>25.7494916517601</v>
      </c>
      <c r="Y104" s="35">
        <v>60.7741731153846</v>
      </c>
      <c r="Z104" s="35"/>
      <c r="AA104" s="35">
        <v>338.602243730769</v>
      </c>
      <c r="AB104" s="35">
        <v>25.7494916517601</v>
      </c>
      <c r="AC104" s="41">
        <v>0.1</v>
      </c>
      <c r="AD104" s="37">
        <v>22.7763160453316</v>
      </c>
      <c r="AE104" s="42">
        <v>0.121146819857139</v>
      </c>
      <c r="AF104" s="43">
        <v>0.0124932657977674</v>
      </c>
      <c r="AG104" s="43">
        <v>0.0389776354497096</v>
      </c>
      <c r="AH104" s="43">
        <v>0.305637101750785</v>
      </c>
      <c r="AI104" s="44">
        <v>0.1769</v>
      </c>
      <c r="AJ104" s="44">
        <v>0.0336</v>
      </c>
      <c r="AK104" s="45">
        <v>0.0006</v>
      </c>
      <c r="AL104" s="45">
        <v>0</v>
      </c>
      <c r="AM104" s="45">
        <v>0.1125</v>
      </c>
      <c r="AN104" s="45">
        <v>0.0315909149198445</v>
      </c>
      <c r="AO104" s="43">
        <v>0.166554262224755</v>
      </c>
      <c r="AP104" s="49"/>
      <c r="AQ104" s="46"/>
      <c r="AR104" s="29"/>
      <c r="AS104" s="29"/>
      <c r="AT104" s="29"/>
      <c r="AU104" s="29"/>
      <c r="AV104" s="29"/>
      <c r="AW104" s="29"/>
      <c r="AX104" s="29"/>
      <c r="AY104" s="29"/>
      <c r="AZ104" s="29"/>
      <c r="BA104" s="29"/>
      <c r="BB104" s="29"/>
      <c r="BC104" s="29"/>
      <c r="BD104" s="29"/>
      <c r="BE104" s="29"/>
      <c r="BF104" s="29"/>
      <c r="BG104" s="47"/>
      <c r="BH104" s="48"/>
      <c r="BI104" s="48"/>
      <c r="BJ104" s="48"/>
      <c r="BK104" s="45"/>
      <c r="BL104" s="45"/>
      <c r="BM104" s="45"/>
      <c r="BN104" s="37"/>
      <c r="BO104" s="37"/>
      <c r="BP104" s="49"/>
      <c r="BQ104" s="37"/>
      <c r="BR104" s="37"/>
      <c r="BS104" s="49"/>
      <c r="BT104" s="29"/>
      <c r="BU104" s="29"/>
      <c r="BV104" s="29"/>
      <c r="BW104" s="29"/>
      <c r="BX104" s="29"/>
      <c r="BY104" s="29"/>
      <c r="BZ104" s="29"/>
      <c r="CA104" s="29"/>
      <c r="CB104" s="29"/>
      <c r="CC104" s="29"/>
      <c r="CD104" s="29"/>
      <c r="CE104" s="29"/>
      <c r="CF104" s="29"/>
      <c r="CG104" s="29"/>
      <c r="CH104" s="29"/>
      <c r="CI104" s="29"/>
      <c r="CJ104" s="29"/>
      <c r="CK104" s="29"/>
      <c r="CL104" s="52"/>
    </row>
    <row r="105" ht="132" spans="1:90">
      <c r="A105" s="29" t="s">
        <v>510</v>
      </c>
      <c r="B105" s="30" t="s">
        <v>511</v>
      </c>
      <c r="C105" s="29" t="s">
        <v>512</v>
      </c>
      <c r="D105" s="31"/>
      <c r="E105" s="32">
        <v>45973</v>
      </c>
      <c r="F105" s="33">
        <v>35</v>
      </c>
      <c r="G105" s="34">
        <f t="shared" si="4"/>
        <v>125</v>
      </c>
      <c r="H105" s="35">
        <v>3.3</v>
      </c>
      <c r="I105" s="36">
        <v>18.0619469026549</v>
      </c>
      <c r="J105" s="35">
        <v>5.0944860297</v>
      </c>
      <c r="K105" s="35">
        <v>51.34</v>
      </c>
      <c r="L105" s="35">
        <v>68.23868</v>
      </c>
      <c r="M105" s="35">
        <v>4.12896</v>
      </c>
      <c r="N105" s="35">
        <v>10.2807800832</v>
      </c>
      <c r="O105" s="35">
        <v>0</v>
      </c>
      <c r="P105" s="35">
        <v>1.86263827433628</v>
      </c>
      <c r="Q105" s="35" t="s">
        <v>93</v>
      </c>
      <c r="R105" s="37" t="s">
        <v>94</v>
      </c>
      <c r="S105" s="35">
        <v>6.8</v>
      </c>
      <c r="T105" s="38" t="s">
        <v>513</v>
      </c>
      <c r="U105" s="38">
        <v>61.4</v>
      </c>
      <c r="V105" s="39">
        <v>3.74</v>
      </c>
      <c r="W105" s="51" t="s">
        <v>514</v>
      </c>
      <c r="X105" s="35">
        <v>28.1276402690686</v>
      </c>
      <c r="Y105" s="35">
        <v>93.686223203942</v>
      </c>
      <c r="Z105" s="35"/>
      <c r="AA105" s="35">
        <v>335.84974</v>
      </c>
      <c r="AB105" s="35">
        <v>28.13</v>
      </c>
      <c r="AC105" s="41">
        <v>0.1</v>
      </c>
      <c r="AD105" s="37">
        <v>20.5351755334049</v>
      </c>
      <c r="AE105" s="42">
        <v>0.09442476580715</v>
      </c>
      <c r="AF105" s="43">
        <v>0.00973755397386234</v>
      </c>
      <c r="AG105" s="43">
        <v>0.0266331006759583</v>
      </c>
      <c r="AH105" s="43">
        <v>0.268396729470316</v>
      </c>
      <c r="AI105" s="44">
        <v>0.1769</v>
      </c>
      <c r="AJ105" s="44">
        <v>0.0336</v>
      </c>
      <c r="AK105" s="45">
        <v>0.0006</v>
      </c>
      <c r="AL105" s="45">
        <v>0</v>
      </c>
      <c r="AM105" s="45">
        <v>0.1125</v>
      </c>
      <c r="AN105" s="45">
        <v>0.0215854959118379</v>
      </c>
      <c r="AO105" s="43">
        <v>0.255622354160876</v>
      </c>
      <c r="AP105" s="49"/>
      <c r="AQ105" s="46"/>
      <c r="AR105" s="29"/>
      <c r="AS105" s="29"/>
      <c r="AT105" s="29"/>
      <c r="AU105" s="29"/>
      <c r="AV105" s="29"/>
      <c r="AW105" s="29"/>
      <c r="AX105" s="29"/>
      <c r="AY105" s="29"/>
      <c r="AZ105" s="29"/>
      <c r="BA105" s="29"/>
      <c r="BB105" s="29"/>
      <c r="BC105" s="29"/>
      <c r="BD105" s="29"/>
      <c r="BE105" s="29"/>
      <c r="BF105" s="29"/>
      <c r="BG105" s="47"/>
      <c r="BH105" s="48"/>
      <c r="BI105" s="48"/>
      <c r="BJ105" s="48"/>
      <c r="BK105" s="45"/>
      <c r="BL105" s="45"/>
      <c r="BM105" s="45"/>
      <c r="BN105" s="37"/>
      <c r="BO105" s="37"/>
      <c r="BP105" s="49"/>
      <c r="BQ105" s="37"/>
      <c r="BR105" s="37"/>
      <c r="BS105" s="49"/>
      <c r="BT105" s="29"/>
      <c r="BU105" s="29"/>
      <c r="BV105" s="29"/>
      <c r="BW105" s="29"/>
      <c r="BX105" s="29"/>
      <c r="BY105" s="29"/>
      <c r="BZ105" s="29"/>
      <c r="CA105" s="29"/>
      <c r="CB105" s="29"/>
      <c r="CC105" s="29"/>
      <c r="CD105" s="29"/>
      <c r="CE105" s="29"/>
      <c r="CF105" s="29"/>
      <c r="CG105" s="29"/>
      <c r="CH105" s="29"/>
      <c r="CI105" s="29"/>
      <c r="CJ105" s="29"/>
      <c r="CK105" s="29"/>
      <c r="CL105" s="52"/>
    </row>
    <row r="106" ht="99" spans="1:90">
      <c r="A106" s="29" t="s">
        <v>515</v>
      </c>
      <c r="B106" s="30" t="s">
        <v>516</v>
      </c>
      <c r="C106" s="29" t="s">
        <v>517</v>
      </c>
      <c r="D106" s="31"/>
      <c r="E106" s="32">
        <v>45973</v>
      </c>
      <c r="F106" s="33">
        <v>40</v>
      </c>
      <c r="G106" s="34">
        <f t="shared" si="4"/>
        <v>130</v>
      </c>
      <c r="H106" s="35">
        <v>2.7</v>
      </c>
      <c r="I106" s="36">
        <v>27.5663716814159</v>
      </c>
      <c r="J106" s="35">
        <v>7.1948514518</v>
      </c>
      <c r="K106" s="35">
        <v>53.516</v>
      </c>
      <c r="L106" s="35">
        <v>68.23868</v>
      </c>
      <c r="M106" s="35">
        <v>5.831595</v>
      </c>
      <c r="N106" s="35">
        <v>14.5202050224</v>
      </c>
      <c r="O106" s="35">
        <v>0</v>
      </c>
      <c r="P106" s="35">
        <v>2.84278207964602</v>
      </c>
      <c r="Q106" s="35" t="s">
        <v>93</v>
      </c>
      <c r="R106" s="37" t="s">
        <v>94</v>
      </c>
      <c r="S106" s="35">
        <v>6.8</v>
      </c>
      <c r="T106" s="38" t="s">
        <v>518</v>
      </c>
      <c r="U106" s="38">
        <v>427.5</v>
      </c>
      <c r="V106" s="39">
        <v>2.73</v>
      </c>
      <c r="W106" s="51" t="s">
        <v>519</v>
      </c>
      <c r="X106" s="35">
        <v>28.0043924404215</v>
      </c>
      <c r="Y106" s="35">
        <v>97.5857384567901</v>
      </c>
      <c r="Z106" s="35"/>
      <c r="AA106" s="35">
        <v>325.674524285714</v>
      </c>
      <c r="AB106" s="35">
        <v>28.0043924404215</v>
      </c>
      <c r="AC106" s="41">
        <v>0.1</v>
      </c>
      <c r="AD106" s="37">
        <v>24.7355799212306</v>
      </c>
      <c r="AE106" s="42">
        <v>0.144758655166972</v>
      </c>
      <c r="AF106" s="43">
        <v>0.0149282363140939</v>
      </c>
      <c r="AG106" s="43">
        <v>0.0377821583603927</v>
      </c>
      <c r="AH106" s="43">
        <v>0.281027343004966</v>
      </c>
      <c r="AI106" s="44">
        <v>0.1769</v>
      </c>
      <c r="AJ106" s="44">
        <v>0.0336</v>
      </c>
      <c r="AK106" s="45">
        <v>0.0006</v>
      </c>
      <c r="AL106" s="45">
        <v>0</v>
      </c>
      <c r="AM106" s="45">
        <v>0.1125</v>
      </c>
      <c r="AN106" s="45">
        <v>0.0306233210316736</v>
      </c>
      <c r="AO106" s="43">
        <v>0.167280286121902</v>
      </c>
      <c r="AP106" s="49"/>
      <c r="AQ106" s="46"/>
      <c r="AR106" s="29"/>
      <c r="AS106" s="29"/>
      <c r="AT106" s="29"/>
      <c r="AU106" s="29"/>
      <c r="AV106" s="29"/>
      <c r="AW106" s="29"/>
      <c r="AX106" s="29"/>
      <c r="AY106" s="29"/>
      <c r="AZ106" s="29"/>
      <c r="BA106" s="29"/>
      <c r="BB106" s="29"/>
      <c r="BC106" s="29"/>
      <c r="BD106" s="29"/>
      <c r="BE106" s="29"/>
      <c r="BF106" s="29"/>
      <c r="BG106" s="47"/>
      <c r="BH106" s="48"/>
      <c r="BI106" s="48"/>
      <c r="BJ106" s="48"/>
      <c r="BK106" s="45"/>
      <c r="BL106" s="45"/>
      <c r="BM106" s="45"/>
      <c r="BN106" s="37"/>
      <c r="BO106" s="37"/>
      <c r="BP106" s="49"/>
      <c r="BQ106" s="37"/>
      <c r="BR106" s="37"/>
      <c r="BS106" s="49"/>
      <c r="BT106" s="29"/>
      <c r="BU106" s="29"/>
      <c r="BV106" s="29"/>
      <c r="BW106" s="29"/>
      <c r="BX106" s="29"/>
      <c r="BY106" s="29"/>
      <c r="BZ106" s="29"/>
      <c r="CA106" s="29"/>
      <c r="CB106" s="29"/>
      <c r="CC106" s="29"/>
      <c r="CD106" s="29"/>
      <c r="CE106" s="29"/>
      <c r="CF106" s="29"/>
      <c r="CG106" s="29"/>
      <c r="CH106" s="29"/>
      <c r="CI106" s="29"/>
      <c r="CJ106" s="29"/>
      <c r="CK106" s="29"/>
      <c r="CL106" s="52"/>
    </row>
    <row r="107" ht="165" spans="1:90">
      <c r="A107" s="29" t="s">
        <v>520</v>
      </c>
      <c r="B107" s="30" t="s">
        <v>521</v>
      </c>
      <c r="C107" s="29" t="s">
        <v>522</v>
      </c>
      <c r="D107" s="31"/>
      <c r="E107" s="32">
        <v>45973</v>
      </c>
      <c r="F107" s="33">
        <v>35</v>
      </c>
      <c r="G107" s="34">
        <f t="shared" si="4"/>
        <v>125</v>
      </c>
      <c r="H107" s="35">
        <v>1.7</v>
      </c>
      <c r="I107" s="36">
        <v>19.4955752212389</v>
      </c>
      <c r="J107" s="35">
        <v>3.4028746788</v>
      </c>
      <c r="K107" s="35">
        <v>47.124</v>
      </c>
      <c r="L107" s="35">
        <v>66.31428</v>
      </c>
      <c r="M107" s="35">
        <v>2.75801625</v>
      </c>
      <c r="N107" s="35">
        <v>6.8672398212</v>
      </c>
      <c r="O107" s="35">
        <v>0</v>
      </c>
      <c r="P107" s="35">
        <v>2.01048119469027</v>
      </c>
      <c r="Q107" s="35" t="s">
        <v>93</v>
      </c>
      <c r="R107" s="37" t="s">
        <v>94</v>
      </c>
      <c r="S107" s="35">
        <v>6.8</v>
      </c>
      <c r="T107" s="38" t="s">
        <v>523</v>
      </c>
      <c r="U107" s="38">
        <v>11.6</v>
      </c>
      <c r="V107" s="39">
        <v>1.76</v>
      </c>
      <c r="W107" s="51" t="s">
        <v>524</v>
      </c>
      <c r="X107" s="35">
        <v>23.134112135167</v>
      </c>
      <c r="Y107" s="35">
        <v>60.2003982478633</v>
      </c>
      <c r="Z107" s="35"/>
      <c r="AA107" s="35">
        <v>311.980527931324</v>
      </c>
      <c r="AB107" s="35">
        <v>23.13</v>
      </c>
      <c r="AC107" s="41">
        <v>0.1</v>
      </c>
      <c r="AD107" s="37">
        <v>19.0816598320022</v>
      </c>
      <c r="AE107" s="42">
        <v>0.123951420495657</v>
      </c>
      <c r="AF107" s="43">
        <v>0.0127824902386146</v>
      </c>
      <c r="AG107" s="43">
        <v>0.0216352246814679</v>
      </c>
      <c r="AH107" s="43">
        <v>0.299610894941634</v>
      </c>
      <c r="AI107" s="44">
        <v>0.1769</v>
      </c>
      <c r="AJ107" s="44">
        <v>0.0336</v>
      </c>
      <c r="AK107" s="45">
        <v>0.0006</v>
      </c>
      <c r="AL107" s="45">
        <v>0</v>
      </c>
      <c r="AM107" s="45">
        <v>0.1125</v>
      </c>
      <c r="AN107" s="45">
        <v>0.0175352626459144</v>
      </c>
      <c r="AO107" s="43">
        <v>0.200884706996712</v>
      </c>
      <c r="AP107" s="49"/>
      <c r="AQ107" s="46"/>
      <c r="AR107" s="29"/>
      <c r="AS107" s="29"/>
      <c r="AT107" s="29"/>
      <c r="AU107" s="29"/>
      <c r="AV107" s="29"/>
      <c r="AW107" s="29"/>
      <c r="AX107" s="29"/>
      <c r="AY107" s="29"/>
      <c r="AZ107" s="29"/>
      <c r="BA107" s="29"/>
      <c r="BB107" s="29"/>
      <c r="BC107" s="29"/>
      <c r="BD107" s="29"/>
      <c r="BE107" s="29"/>
      <c r="BF107" s="29"/>
      <c r="BG107" s="47"/>
      <c r="BH107" s="48"/>
      <c r="BI107" s="48"/>
      <c r="BJ107" s="48"/>
      <c r="BK107" s="45"/>
      <c r="BL107" s="45"/>
      <c r="BM107" s="45"/>
      <c r="BN107" s="37"/>
      <c r="BO107" s="37"/>
      <c r="BP107" s="49"/>
      <c r="BQ107" s="37"/>
      <c r="BR107" s="37"/>
      <c r="BS107" s="49"/>
      <c r="BT107" s="29"/>
      <c r="BU107" s="29"/>
      <c r="BV107" s="29"/>
      <c r="BW107" s="29"/>
      <c r="BX107" s="29"/>
      <c r="BY107" s="29"/>
      <c r="BZ107" s="29"/>
      <c r="CA107" s="29"/>
      <c r="CB107" s="29"/>
      <c r="CC107" s="29"/>
      <c r="CD107" s="29"/>
      <c r="CE107" s="29"/>
      <c r="CF107" s="29"/>
      <c r="CG107" s="29"/>
      <c r="CH107" s="29"/>
      <c r="CI107" s="29"/>
      <c r="CJ107" s="29"/>
      <c r="CK107" s="29"/>
      <c r="CL107" s="52"/>
    </row>
    <row r="108" ht="66" spans="1:90">
      <c r="A108" s="29" t="s">
        <v>525</v>
      </c>
      <c r="B108" s="30" t="s">
        <v>526</v>
      </c>
      <c r="C108" s="29" t="s">
        <v>527</v>
      </c>
      <c r="D108" s="31"/>
      <c r="E108" s="32">
        <v>45973</v>
      </c>
      <c r="F108" s="33">
        <v>35</v>
      </c>
      <c r="G108" s="34">
        <f t="shared" si="4"/>
        <v>125</v>
      </c>
      <c r="H108" s="35">
        <v>3.3</v>
      </c>
      <c r="I108" s="36">
        <v>28.4247787610619</v>
      </c>
      <c r="J108" s="35">
        <v>6.6287617693</v>
      </c>
      <c r="K108" s="35">
        <v>53.516</v>
      </c>
      <c r="L108" s="35">
        <v>68.23868</v>
      </c>
      <c r="M108" s="35">
        <v>5.372136</v>
      </c>
      <c r="N108" s="35">
        <v>13.37618886912</v>
      </c>
      <c r="O108" s="35">
        <v>0</v>
      </c>
      <c r="P108" s="35">
        <v>2.93130530973451</v>
      </c>
      <c r="Q108" s="35" t="s">
        <v>93</v>
      </c>
      <c r="R108" s="37" t="s">
        <v>94</v>
      </c>
      <c r="S108" s="35">
        <v>6.8</v>
      </c>
      <c r="T108" s="38" t="s">
        <v>528</v>
      </c>
      <c r="U108" s="38">
        <v>244</v>
      </c>
      <c r="V108" s="39">
        <v>3.86</v>
      </c>
      <c r="W108" s="51" t="s">
        <v>529</v>
      </c>
      <c r="X108" s="35">
        <v>27.2180444331446</v>
      </c>
      <c r="Y108" s="35">
        <v>104.748051410935</v>
      </c>
      <c r="Z108" s="35"/>
      <c r="AA108" s="35">
        <v>247.42890925</v>
      </c>
      <c r="AB108" s="35">
        <v>27.2180444331446</v>
      </c>
      <c r="AC108" s="41">
        <v>0.1</v>
      </c>
      <c r="AD108" s="37">
        <v>24.7155217577909</v>
      </c>
      <c r="AE108" s="42">
        <v>0.153578797108409</v>
      </c>
      <c r="AF108" s="43">
        <v>0.0158378134518047</v>
      </c>
      <c r="AG108" s="43">
        <v>0.0358151339507302</v>
      </c>
      <c r="AH108" s="43">
        <v>0.289146416059794</v>
      </c>
      <c r="AI108" s="44">
        <v>0.1769</v>
      </c>
      <c r="AJ108" s="44">
        <v>0.0336</v>
      </c>
      <c r="AK108" s="45">
        <v>0.0006</v>
      </c>
      <c r="AL108" s="45">
        <v>0</v>
      </c>
      <c r="AM108" s="45">
        <v>0.1125</v>
      </c>
      <c r="AN108" s="45">
        <v>0.029025597409855</v>
      </c>
      <c r="AO108" s="43">
        <v>0.152996242019407</v>
      </c>
      <c r="AP108" s="49"/>
      <c r="AQ108" s="46"/>
      <c r="AR108" s="29"/>
      <c r="AS108" s="29"/>
      <c r="AT108" s="29"/>
      <c r="AU108" s="29"/>
      <c r="AV108" s="29"/>
      <c r="AW108" s="29"/>
      <c r="AX108" s="29"/>
      <c r="AY108" s="29"/>
      <c r="AZ108" s="29"/>
      <c r="BA108" s="29"/>
      <c r="BB108" s="29"/>
      <c r="BC108" s="29"/>
      <c r="BD108" s="29"/>
      <c r="BE108" s="29"/>
      <c r="BF108" s="29"/>
      <c r="BG108" s="47"/>
      <c r="BH108" s="48"/>
      <c r="BI108" s="48"/>
      <c r="BJ108" s="48"/>
      <c r="BK108" s="45"/>
      <c r="BL108" s="45"/>
      <c r="BM108" s="45"/>
      <c r="BN108" s="37"/>
      <c r="BO108" s="37"/>
      <c r="BP108" s="49"/>
      <c r="BQ108" s="37"/>
      <c r="BR108" s="37"/>
      <c r="BS108" s="49"/>
      <c r="BT108" s="29"/>
      <c r="BU108" s="29"/>
      <c r="BV108" s="29"/>
      <c r="BW108" s="29"/>
      <c r="BX108" s="29"/>
      <c r="BY108" s="29"/>
      <c r="BZ108" s="29"/>
      <c r="CA108" s="29"/>
      <c r="CB108" s="29"/>
      <c r="CC108" s="29"/>
      <c r="CD108" s="29"/>
      <c r="CE108" s="29"/>
      <c r="CF108" s="29"/>
      <c r="CG108" s="29"/>
      <c r="CH108" s="29"/>
      <c r="CI108" s="29"/>
      <c r="CJ108" s="29"/>
      <c r="CK108" s="29"/>
      <c r="CL108" s="52"/>
    </row>
    <row r="109" ht="99" spans="1:90">
      <c r="A109" s="29" t="s">
        <v>530</v>
      </c>
      <c r="B109" s="30" t="s">
        <v>531</v>
      </c>
      <c r="C109" s="29" t="s">
        <v>532</v>
      </c>
      <c r="D109" s="31"/>
      <c r="E109" s="32">
        <v>45973</v>
      </c>
      <c r="F109" s="33">
        <v>35</v>
      </c>
      <c r="G109" s="34">
        <f t="shared" si="4"/>
        <v>125</v>
      </c>
      <c r="H109" s="35">
        <v>2.74</v>
      </c>
      <c r="I109" s="36">
        <v>24.5132743362832</v>
      </c>
      <c r="J109" s="35">
        <v>5.5508212373</v>
      </c>
      <c r="K109" s="35">
        <v>51.34</v>
      </c>
      <c r="L109" s="35">
        <v>68.23868</v>
      </c>
      <c r="M109" s="35">
        <v>4.498659</v>
      </c>
      <c r="N109" s="35">
        <v>11.20130101728</v>
      </c>
      <c r="O109" s="35">
        <v>0</v>
      </c>
      <c r="P109" s="35">
        <v>2.5279314159292</v>
      </c>
      <c r="Q109" s="35" t="s">
        <v>93</v>
      </c>
      <c r="R109" s="37" t="s">
        <v>94</v>
      </c>
      <c r="S109" s="35">
        <v>6.8</v>
      </c>
      <c r="T109" s="38" t="s">
        <v>533</v>
      </c>
      <c r="U109" s="38">
        <v>85.8</v>
      </c>
      <c r="V109" s="39">
        <v>3.18</v>
      </c>
      <c r="W109" s="51" t="s">
        <v>534</v>
      </c>
      <c r="X109" s="35">
        <v>25.7045151128524</v>
      </c>
      <c r="Y109" s="35">
        <v>84.9944026554003</v>
      </c>
      <c r="Z109" s="35"/>
      <c r="AA109" s="35">
        <v>247.419284032634</v>
      </c>
      <c r="AB109" s="35">
        <v>25.7</v>
      </c>
      <c r="AC109" s="41">
        <v>0.1</v>
      </c>
      <c r="AD109" s="37">
        <v>22.5616111129711</v>
      </c>
      <c r="AE109" s="42">
        <v>0.140268221196402</v>
      </c>
      <c r="AF109" s="43">
        <v>0.0144651603108789</v>
      </c>
      <c r="AG109" s="43">
        <v>0.0317625385517281</v>
      </c>
      <c r="AH109" s="43">
        <v>0.293774319066148</v>
      </c>
      <c r="AI109" s="44">
        <v>0.1769</v>
      </c>
      <c r="AJ109" s="44">
        <v>0.0336</v>
      </c>
      <c r="AK109" s="45">
        <v>0.0006</v>
      </c>
      <c r="AL109" s="45">
        <v>0</v>
      </c>
      <c r="AM109" s="45">
        <v>0.1125</v>
      </c>
      <c r="AN109" s="45">
        <v>0.0257419260700389</v>
      </c>
      <c r="AO109" s="43">
        <v>0.170387834804804</v>
      </c>
      <c r="AP109" s="49"/>
      <c r="AQ109" s="46"/>
      <c r="AR109" s="29"/>
      <c r="AS109" s="29"/>
      <c r="AT109" s="29"/>
      <c r="AU109" s="29"/>
      <c r="AV109" s="29"/>
      <c r="AW109" s="29"/>
      <c r="AX109" s="29"/>
      <c r="AY109" s="29"/>
      <c r="AZ109" s="29"/>
      <c r="BA109" s="29"/>
      <c r="BB109" s="29"/>
      <c r="BC109" s="29"/>
      <c r="BD109" s="29"/>
      <c r="BE109" s="29"/>
      <c r="BF109" s="29"/>
      <c r="BG109" s="47"/>
      <c r="BH109" s="48"/>
      <c r="BI109" s="48"/>
      <c r="BJ109" s="48"/>
      <c r="BK109" s="45"/>
      <c r="BL109" s="45"/>
      <c r="BM109" s="45"/>
      <c r="BN109" s="37"/>
      <c r="BO109" s="37"/>
      <c r="BP109" s="49"/>
      <c r="BQ109" s="37"/>
      <c r="BR109" s="37"/>
      <c r="BS109" s="49"/>
      <c r="BT109" s="29"/>
      <c r="BU109" s="29"/>
      <c r="BV109" s="29"/>
      <c r="BW109" s="29"/>
      <c r="BX109" s="29"/>
      <c r="BY109" s="29"/>
      <c r="BZ109" s="29"/>
      <c r="CA109" s="29"/>
      <c r="CB109" s="29"/>
      <c r="CC109" s="29"/>
      <c r="CD109" s="29"/>
      <c r="CE109" s="29"/>
      <c r="CF109" s="29"/>
      <c r="CG109" s="29"/>
      <c r="CH109" s="29"/>
      <c r="CI109" s="29"/>
      <c r="CJ109" s="29"/>
      <c r="CK109" s="29"/>
      <c r="CL109" s="52"/>
    </row>
    <row r="110" ht="132" spans="1:90">
      <c r="A110" s="29" t="s">
        <v>535</v>
      </c>
      <c r="B110" s="30" t="s">
        <v>536</v>
      </c>
      <c r="C110" s="29" t="s">
        <v>537</v>
      </c>
      <c r="D110" s="31"/>
      <c r="E110" s="32">
        <v>45973</v>
      </c>
      <c r="F110" s="33">
        <v>35</v>
      </c>
      <c r="G110" s="34">
        <f t="shared" si="4"/>
        <v>125</v>
      </c>
      <c r="H110" s="35">
        <v>1.95</v>
      </c>
      <c r="I110" s="36">
        <v>29.5575221238938</v>
      </c>
      <c r="J110" s="35">
        <v>6.990274414</v>
      </c>
      <c r="K110" s="35">
        <v>53.516</v>
      </c>
      <c r="L110" s="35">
        <v>68.23868</v>
      </c>
      <c r="M110" s="35">
        <v>5.664978</v>
      </c>
      <c r="N110" s="35">
        <v>14.10534202176</v>
      </c>
      <c r="O110" s="35">
        <v>0</v>
      </c>
      <c r="P110" s="35">
        <v>3.04811946902655</v>
      </c>
      <c r="Q110" s="35" t="s">
        <v>93</v>
      </c>
      <c r="R110" s="37" t="s">
        <v>94</v>
      </c>
      <c r="S110" s="35">
        <v>6.8</v>
      </c>
      <c r="T110" s="38" t="s">
        <v>538</v>
      </c>
      <c r="U110" s="38">
        <v>347.5</v>
      </c>
      <c r="V110" s="39">
        <v>2.84</v>
      </c>
      <c r="W110" s="51" t="s">
        <v>539</v>
      </c>
      <c r="X110" s="35">
        <v>24.2135593726053</v>
      </c>
      <c r="Y110" s="35">
        <v>60.5400229833103</v>
      </c>
      <c r="Z110" s="35"/>
      <c r="AA110" s="35">
        <v>244.717522060714</v>
      </c>
      <c r="AB110" s="35">
        <v>26.99</v>
      </c>
      <c r="AC110" s="41">
        <v>0.1</v>
      </c>
      <c r="AD110" s="37">
        <v>25.2012731168409</v>
      </c>
      <c r="AE110" s="42">
        <v>0.161048330121689</v>
      </c>
      <c r="AF110" s="43">
        <v>0.0166081090437992</v>
      </c>
      <c r="AG110" s="43">
        <v>0.0380874965346643</v>
      </c>
      <c r="AH110" s="43">
        <v>0.29158947758429</v>
      </c>
      <c r="AI110" s="44">
        <v>0.1769</v>
      </c>
      <c r="AJ110" s="44">
        <v>0.0336</v>
      </c>
      <c r="AK110" s="45">
        <v>0.0006</v>
      </c>
      <c r="AL110" s="45">
        <v>0</v>
      </c>
      <c r="AM110" s="45">
        <v>0.1125</v>
      </c>
      <c r="AN110" s="45">
        <v>0.0308664320118562</v>
      </c>
      <c r="AO110" s="43">
        <v>0.138200154703701</v>
      </c>
      <c r="AP110" s="49"/>
      <c r="AQ110" s="46"/>
      <c r="AR110" s="29"/>
      <c r="AS110" s="29"/>
      <c r="AT110" s="29"/>
      <c r="AU110" s="29"/>
      <c r="AV110" s="29"/>
      <c r="AW110" s="29"/>
      <c r="AX110" s="29"/>
      <c r="AY110" s="29"/>
      <c r="AZ110" s="29"/>
      <c r="BA110" s="29"/>
      <c r="BB110" s="29"/>
      <c r="BC110" s="29"/>
      <c r="BD110" s="29"/>
      <c r="BE110" s="29"/>
      <c r="BF110" s="29"/>
      <c r="BG110" s="47"/>
      <c r="BH110" s="48"/>
      <c r="BI110" s="48"/>
      <c r="BJ110" s="48"/>
      <c r="BK110" s="45"/>
      <c r="BL110" s="45"/>
      <c r="BM110" s="45"/>
      <c r="BN110" s="37"/>
      <c r="BO110" s="37"/>
      <c r="BP110" s="49"/>
      <c r="BQ110" s="37"/>
      <c r="BR110" s="37"/>
      <c r="BS110" s="49"/>
      <c r="BT110" s="29"/>
      <c r="BU110" s="29"/>
      <c r="BV110" s="29"/>
      <c r="BW110" s="29"/>
      <c r="BX110" s="29"/>
      <c r="BY110" s="29"/>
      <c r="BZ110" s="29"/>
      <c r="CA110" s="29"/>
      <c r="CB110" s="29"/>
      <c r="CC110" s="29"/>
      <c r="CD110" s="29"/>
      <c r="CE110" s="29"/>
      <c r="CF110" s="29"/>
      <c r="CG110" s="29"/>
      <c r="CH110" s="29"/>
      <c r="CI110" s="29"/>
      <c r="CJ110" s="29"/>
      <c r="CK110" s="29"/>
      <c r="CL110" s="52"/>
    </row>
    <row r="111" ht="33" spans="1:90">
      <c r="A111" s="29" t="s">
        <v>540</v>
      </c>
      <c r="B111" s="30" t="s">
        <v>541</v>
      </c>
      <c r="C111" s="29" t="s">
        <v>542</v>
      </c>
      <c r="D111" s="31"/>
      <c r="E111" s="32">
        <v>45973</v>
      </c>
      <c r="F111" s="33">
        <v>40</v>
      </c>
      <c r="G111" s="34">
        <f t="shared" si="4"/>
        <v>130</v>
      </c>
      <c r="H111" s="35">
        <v>3</v>
      </c>
      <c r="I111" s="36">
        <v>23.8495575221239</v>
      </c>
      <c r="J111" s="35">
        <v>5.3495132138</v>
      </c>
      <c r="K111" s="35">
        <v>51.34</v>
      </c>
      <c r="L111" s="35">
        <v>68.23868</v>
      </c>
      <c r="M111" s="35">
        <v>4.335408</v>
      </c>
      <c r="N111" s="35">
        <v>10.79481908736</v>
      </c>
      <c r="O111" s="35">
        <v>0</v>
      </c>
      <c r="P111" s="35">
        <v>2.45948561946903</v>
      </c>
      <c r="Q111" s="35" t="s">
        <v>93</v>
      </c>
      <c r="R111" s="37" t="s">
        <v>94</v>
      </c>
      <c r="S111" s="35">
        <v>6.8</v>
      </c>
      <c r="T111" s="38" t="s">
        <v>543</v>
      </c>
      <c r="U111" s="38">
        <v>67.7</v>
      </c>
      <c r="V111" s="39">
        <v>3.13000000000011</v>
      </c>
      <c r="W111" s="51" t="s">
        <v>544</v>
      </c>
      <c r="X111" s="35">
        <v>29.5544499727709</v>
      </c>
      <c r="Y111" s="35">
        <v>102.715180928054</v>
      </c>
      <c r="Z111" s="35"/>
      <c r="AA111" s="35">
        <v>239.408955555556</v>
      </c>
      <c r="AB111" s="35">
        <v>29.55</v>
      </c>
      <c r="AC111" s="41">
        <v>0.1</v>
      </c>
      <c r="AD111" s="37">
        <v>22.2818009234276</v>
      </c>
      <c r="AE111" s="42">
        <v>0.118689944869732</v>
      </c>
      <c r="AF111" s="43">
        <v>0.0122399005646911</v>
      </c>
      <c r="AG111" s="43">
        <v>0.0266224405981885</v>
      </c>
      <c r="AH111" s="43">
        <v>0.255499153976311</v>
      </c>
      <c r="AI111" s="44">
        <v>0.1769</v>
      </c>
      <c r="AJ111" s="44">
        <v>0.0336</v>
      </c>
      <c r="AK111" s="45">
        <v>0.0006</v>
      </c>
      <c r="AL111" s="45">
        <v>0</v>
      </c>
      <c r="AM111" s="45">
        <v>0.1125</v>
      </c>
      <c r="AN111" s="45">
        <v>0.0215756345177665</v>
      </c>
      <c r="AO111" s="43">
        <v>0.241772925473311</v>
      </c>
      <c r="AP111" s="49"/>
      <c r="AQ111" s="46"/>
      <c r="AR111" s="29"/>
      <c r="AS111" s="29"/>
      <c r="AT111" s="29"/>
      <c r="AU111" s="29"/>
      <c r="AV111" s="29"/>
      <c r="AW111" s="29"/>
      <c r="AX111" s="29"/>
      <c r="AY111" s="29"/>
      <c r="AZ111" s="29"/>
      <c r="BA111" s="29"/>
      <c r="BB111" s="29"/>
      <c r="BC111" s="29"/>
      <c r="BD111" s="29"/>
      <c r="BE111" s="29"/>
      <c r="BF111" s="29"/>
      <c r="BG111" s="47"/>
      <c r="BH111" s="48"/>
      <c r="BI111" s="48"/>
      <c r="BJ111" s="48"/>
      <c r="BK111" s="45"/>
      <c r="BL111" s="45"/>
      <c r="BM111" s="45"/>
      <c r="BN111" s="37"/>
      <c r="BO111" s="37"/>
      <c r="BP111" s="49"/>
      <c r="BQ111" s="37"/>
      <c r="BR111" s="37"/>
      <c r="BS111" s="49"/>
      <c r="BT111" s="29"/>
      <c r="BU111" s="29"/>
      <c r="BV111" s="29"/>
      <c r="BW111" s="29"/>
      <c r="BX111" s="29"/>
      <c r="BY111" s="29"/>
      <c r="BZ111" s="29"/>
      <c r="CA111" s="29"/>
      <c r="CB111" s="29"/>
      <c r="CC111" s="29"/>
      <c r="CD111" s="29"/>
      <c r="CE111" s="29"/>
      <c r="CF111" s="29"/>
      <c r="CG111" s="29"/>
      <c r="CH111" s="29"/>
      <c r="CI111" s="29"/>
      <c r="CJ111" s="29"/>
      <c r="CK111" s="29"/>
      <c r="CL111" s="52"/>
    </row>
    <row r="112" ht="132" spans="1:90">
      <c r="A112" s="29" t="s">
        <v>545</v>
      </c>
      <c r="B112" s="30" t="s">
        <v>546</v>
      </c>
      <c r="C112" s="29" t="s">
        <v>547</v>
      </c>
      <c r="D112" s="31"/>
      <c r="E112" s="32">
        <v>45973</v>
      </c>
      <c r="F112" s="33">
        <v>35</v>
      </c>
      <c r="G112" s="34">
        <f t="shared" si="4"/>
        <v>125</v>
      </c>
      <c r="H112" s="35">
        <v>2.1</v>
      </c>
      <c r="I112" s="36">
        <v>18.9911504424779</v>
      </c>
      <c r="J112" s="35">
        <v>5.0944860297</v>
      </c>
      <c r="K112" s="35">
        <v>51.34</v>
      </c>
      <c r="L112" s="35">
        <v>68.23868</v>
      </c>
      <c r="M112" s="35">
        <v>4.12896</v>
      </c>
      <c r="N112" s="35">
        <v>10.2807800832</v>
      </c>
      <c r="O112" s="35">
        <v>0</v>
      </c>
      <c r="P112" s="35">
        <v>1.95846238938053</v>
      </c>
      <c r="Q112" s="35" t="s">
        <v>93</v>
      </c>
      <c r="R112" s="37" t="s">
        <v>94</v>
      </c>
      <c r="S112" s="35">
        <v>6.8</v>
      </c>
      <c r="T112" s="38" t="s">
        <v>548</v>
      </c>
      <c r="U112" s="38">
        <v>266</v>
      </c>
      <c r="V112" s="39">
        <v>8.94</v>
      </c>
      <c r="W112" s="51" t="s">
        <v>549</v>
      </c>
      <c r="X112" s="35">
        <v>24.7190872597665</v>
      </c>
      <c r="Y112" s="35">
        <v>61.6699942917627</v>
      </c>
      <c r="Z112" s="35"/>
      <c r="AA112" s="35">
        <v>214.086503152381</v>
      </c>
      <c r="AB112" s="35">
        <v>24.72</v>
      </c>
      <c r="AC112" s="41">
        <v>0.1</v>
      </c>
      <c r="AD112" s="37">
        <v>20.7966942027489</v>
      </c>
      <c r="AE112" s="42">
        <v>0.112978003298579</v>
      </c>
      <c r="AF112" s="43">
        <v>0.0116508565901659</v>
      </c>
      <c r="AG112" s="43">
        <v>0.030307003317747</v>
      </c>
      <c r="AH112" s="43">
        <v>0.30542071197411</v>
      </c>
      <c r="AI112" s="44">
        <v>0.1769</v>
      </c>
      <c r="AJ112" s="44">
        <v>0.0336</v>
      </c>
      <c r="AK112" s="45">
        <v>0.0006</v>
      </c>
      <c r="AL112" s="45">
        <v>0</v>
      </c>
      <c r="AM112" s="45">
        <v>0.1125</v>
      </c>
      <c r="AN112" s="45">
        <v>0.0245631067961165</v>
      </c>
      <c r="AO112" s="43">
        <v>0.191480318023282</v>
      </c>
      <c r="AP112" s="49"/>
      <c r="AQ112" s="46"/>
      <c r="AR112" s="29"/>
      <c r="AS112" s="29"/>
      <c r="AT112" s="29"/>
      <c r="AU112" s="29"/>
      <c r="AV112" s="29"/>
      <c r="AW112" s="29"/>
      <c r="AX112" s="29"/>
      <c r="AY112" s="29"/>
      <c r="AZ112" s="29"/>
      <c r="BA112" s="29"/>
      <c r="BB112" s="29"/>
      <c r="BC112" s="29"/>
      <c r="BD112" s="29"/>
      <c r="BE112" s="29"/>
      <c r="BF112" s="29"/>
      <c r="BG112" s="47"/>
      <c r="BH112" s="48"/>
      <c r="BI112" s="48"/>
      <c r="BJ112" s="48"/>
      <c r="BK112" s="45"/>
      <c r="BL112" s="45"/>
      <c r="BM112" s="45"/>
      <c r="BN112" s="37"/>
      <c r="BO112" s="37"/>
      <c r="BP112" s="49"/>
      <c r="BQ112" s="37"/>
      <c r="BR112" s="37"/>
      <c r="BS112" s="49"/>
      <c r="BT112" s="29"/>
      <c r="BU112" s="29"/>
      <c r="BV112" s="29"/>
      <c r="BW112" s="29"/>
      <c r="BX112" s="29"/>
      <c r="BY112" s="29"/>
      <c r="BZ112" s="29"/>
      <c r="CA112" s="29"/>
      <c r="CB112" s="29"/>
      <c r="CC112" s="29"/>
      <c r="CD112" s="29"/>
      <c r="CE112" s="29"/>
      <c r="CF112" s="29"/>
      <c r="CG112" s="29"/>
      <c r="CH112" s="29"/>
      <c r="CI112" s="29"/>
      <c r="CJ112" s="29"/>
      <c r="CK112" s="29"/>
      <c r="CL112" s="52"/>
    </row>
    <row r="113" ht="132" spans="1:90">
      <c r="A113" s="29" t="s">
        <v>550</v>
      </c>
      <c r="B113" s="30" t="s">
        <v>551</v>
      </c>
      <c r="C113" s="29" t="s">
        <v>552</v>
      </c>
      <c r="D113" s="31"/>
      <c r="E113" s="32">
        <v>45973</v>
      </c>
      <c r="F113" s="33">
        <v>35</v>
      </c>
      <c r="G113" s="34">
        <f t="shared" si="4"/>
        <v>125</v>
      </c>
      <c r="H113" s="35">
        <v>2.1</v>
      </c>
      <c r="I113" s="36">
        <v>24.3008849557522</v>
      </c>
      <c r="J113" s="35">
        <v>5.0944860297</v>
      </c>
      <c r="K113" s="35">
        <v>51.34</v>
      </c>
      <c r="L113" s="35">
        <v>68.23868</v>
      </c>
      <c r="M113" s="35">
        <v>4.12896</v>
      </c>
      <c r="N113" s="35">
        <v>10.2807800832</v>
      </c>
      <c r="O113" s="35">
        <v>0</v>
      </c>
      <c r="P113" s="35">
        <v>2.50602876106195</v>
      </c>
      <c r="Q113" s="35" t="s">
        <v>93</v>
      </c>
      <c r="R113" s="37" t="s">
        <v>94</v>
      </c>
      <c r="S113" s="35">
        <v>6.8</v>
      </c>
      <c r="T113" s="38" t="s">
        <v>553</v>
      </c>
      <c r="U113" s="38">
        <v>225.1</v>
      </c>
      <c r="V113" s="39">
        <v>3.9</v>
      </c>
      <c r="W113" s="51" t="s">
        <v>554</v>
      </c>
      <c r="X113" s="35">
        <v>22.4673664332077</v>
      </c>
      <c r="Y113" s="35">
        <v>45.5561330678884</v>
      </c>
      <c r="Z113" s="35"/>
      <c r="AA113" s="35">
        <v>184.960568974359</v>
      </c>
      <c r="AB113" s="35">
        <v>22.47</v>
      </c>
      <c r="AC113" s="41">
        <v>0.1</v>
      </c>
      <c r="AD113" s="37">
        <v>22.2910865990004</v>
      </c>
      <c r="AE113" s="42">
        <v>0.159041368594415</v>
      </c>
      <c r="AF113" s="43">
        <v>0.016401141136299</v>
      </c>
      <c r="AG113" s="43">
        <v>0.0333417499784026</v>
      </c>
      <c r="AH113" s="43">
        <v>0.336003560302626</v>
      </c>
      <c r="AI113" s="44">
        <v>0.1769</v>
      </c>
      <c r="AJ113" s="44">
        <v>0.0336</v>
      </c>
      <c r="AK113" s="45">
        <v>0.0006</v>
      </c>
      <c r="AL113" s="45">
        <v>0</v>
      </c>
      <c r="AM113" s="45">
        <v>0.1125</v>
      </c>
      <c r="AN113" s="45">
        <v>0.027022696929239</v>
      </c>
      <c r="AO113" s="43">
        <v>0.104589483059018</v>
      </c>
      <c r="AP113" s="49"/>
      <c r="AQ113" s="46"/>
      <c r="AR113" s="29"/>
      <c r="AS113" s="29"/>
      <c r="AT113" s="29"/>
      <c r="AU113" s="29"/>
      <c r="AV113" s="29"/>
      <c r="AW113" s="29"/>
      <c r="AX113" s="29"/>
      <c r="AY113" s="29"/>
      <c r="AZ113" s="29"/>
      <c r="BA113" s="29"/>
      <c r="BB113" s="29"/>
      <c r="BC113" s="29"/>
      <c r="BD113" s="29"/>
      <c r="BE113" s="29"/>
      <c r="BF113" s="29"/>
      <c r="BG113" s="47"/>
      <c r="BH113" s="48"/>
      <c r="BI113" s="48"/>
      <c r="BJ113" s="48"/>
      <c r="BK113" s="45"/>
      <c r="BL113" s="45"/>
      <c r="BM113" s="45"/>
      <c r="BN113" s="37"/>
      <c r="BO113" s="37"/>
      <c r="BP113" s="49"/>
      <c r="BQ113" s="37"/>
      <c r="BR113" s="37"/>
      <c r="BS113" s="49"/>
      <c r="BT113" s="29"/>
      <c r="BU113" s="29"/>
      <c r="BV113" s="29"/>
      <c r="BW113" s="29"/>
      <c r="BX113" s="29"/>
      <c r="BY113" s="29"/>
      <c r="BZ113" s="29"/>
      <c r="CA113" s="29"/>
      <c r="CB113" s="29"/>
      <c r="CC113" s="29"/>
      <c r="CD113" s="29"/>
      <c r="CE113" s="29"/>
      <c r="CF113" s="29"/>
      <c r="CG113" s="29"/>
      <c r="CH113" s="29"/>
      <c r="CI113" s="29"/>
      <c r="CJ113" s="29"/>
      <c r="CK113" s="29"/>
      <c r="CL113" s="52"/>
    </row>
    <row r="114" ht="165" spans="1:90">
      <c r="A114" s="29" t="s">
        <v>555</v>
      </c>
      <c r="B114" s="30" t="s">
        <v>556</v>
      </c>
      <c r="C114" s="29" t="s">
        <v>557</v>
      </c>
      <c r="D114" s="31"/>
      <c r="E114" s="32">
        <v>45973</v>
      </c>
      <c r="F114" s="33">
        <v>35</v>
      </c>
      <c r="G114" s="34">
        <f t="shared" si="4"/>
        <v>125</v>
      </c>
      <c r="H114" s="35">
        <v>1.3</v>
      </c>
      <c r="I114" s="36">
        <v>19.3893805309735</v>
      </c>
      <c r="J114" s="35">
        <v>3.820756359</v>
      </c>
      <c r="K114" s="35">
        <v>47.124</v>
      </c>
      <c r="L114" s="35">
        <v>66.31428</v>
      </c>
      <c r="M114" s="35">
        <v>3.09672</v>
      </c>
      <c r="N114" s="35">
        <v>7.7105850624</v>
      </c>
      <c r="O114" s="35">
        <v>0</v>
      </c>
      <c r="P114" s="35">
        <v>1.99952986725664</v>
      </c>
      <c r="Q114" s="35" t="s">
        <v>93</v>
      </c>
      <c r="R114" s="37" t="s">
        <v>94</v>
      </c>
      <c r="S114" s="35">
        <v>6.8</v>
      </c>
      <c r="T114" s="38" t="s">
        <v>558</v>
      </c>
      <c r="U114" s="38">
        <v>87.6</v>
      </c>
      <c r="V114" s="39">
        <v>1.40000000000009</v>
      </c>
      <c r="W114" s="51" t="s">
        <v>559</v>
      </c>
      <c r="X114" s="35">
        <v>19.3329409231203</v>
      </c>
      <c r="Y114" s="35">
        <v>34.9582152388889</v>
      </c>
      <c r="Z114" s="35"/>
      <c r="AA114" s="35">
        <v>172.451847852778</v>
      </c>
      <c r="AB114" s="35">
        <v>21.99</v>
      </c>
      <c r="AC114" s="41">
        <v>0.1</v>
      </c>
      <c r="AD114" s="37">
        <v>19.2448021077148</v>
      </c>
      <c r="AE114" s="42">
        <v>0.129667098219602</v>
      </c>
      <c r="AF114" s="43">
        <v>0.0133719195038964</v>
      </c>
      <c r="AG114" s="43">
        <v>0.0255514295201027</v>
      </c>
      <c r="AH114" s="43">
        <v>0.315143246930423</v>
      </c>
      <c r="AI114" s="44">
        <v>0.1769</v>
      </c>
      <c r="AJ114" s="44">
        <v>0.0336</v>
      </c>
      <c r="AK114" s="45">
        <v>0.0006</v>
      </c>
      <c r="AL114" s="45">
        <v>0</v>
      </c>
      <c r="AM114" s="45">
        <v>0.1125</v>
      </c>
      <c r="AN114" s="45">
        <v>0.0207094133697135</v>
      </c>
      <c r="AO114" s="43">
        <v>0.171956892456263</v>
      </c>
      <c r="AP114" s="49"/>
      <c r="AQ114" s="46"/>
      <c r="AR114" s="29"/>
      <c r="AS114" s="29"/>
      <c r="AT114" s="29"/>
      <c r="AU114" s="29"/>
      <c r="AV114" s="29"/>
      <c r="AW114" s="29"/>
      <c r="AX114" s="29"/>
      <c r="AY114" s="29"/>
      <c r="AZ114" s="29"/>
      <c r="BA114" s="29"/>
      <c r="BB114" s="29"/>
      <c r="BC114" s="29"/>
      <c r="BD114" s="29"/>
      <c r="BE114" s="29"/>
      <c r="BF114" s="29"/>
      <c r="BG114" s="47"/>
      <c r="BH114" s="48"/>
      <c r="BI114" s="48"/>
      <c r="BJ114" s="48"/>
      <c r="BK114" s="45"/>
      <c r="BL114" s="45"/>
      <c r="BM114" s="45"/>
      <c r="BN114" s="37"/>
      <c r="BO114" s="37"/>
      <c r="BP114" s="49"/>
      <c r="BQ114" s="37"/>
      <c r="BR114" s="37"/>
      <c r="BS114" s="49"/>
      <c r="BT114" s="29"/>
      <c r="BU114" s="29"/>
      <c r="BV114" s="29"/>
      <c r="BW114" s="29"/>
      <c r="BX114" s="29"/>
      <c r="BY114" s="29"/>
      <c r="BZ114" s="29"/>
      <c r="CA114" s="29"/>
      <c r="CB114" s="29"/>
      <c r="CC114" s="29"/>
      <c r="CD114" s="29"/>
      <c r="CE114" s="29"/>
      <c r="CF114" s="29"/>
      <c r="CG114" s="29"/>
      <c r="CH114" s="29"/>
      <c r="CI114" s="29"/>
      <c r="CJ114" s="29"/>
      <c r="CK114" s="29"/>
      <c r="CL114" s="52"/>
    </row>
    <row r="115" ht="66" spans="1:90">
      <c r="A115" s="29" t="s">
        <v>560</v>
      </c>
      <c r="B115" s="30" t="s">
        <v>561</v>
      </c>
      <c r="C115" s="29" t="s">
        <v>562</v>
      </c>
      <c r="D115" s="31"/>
      <c r="E115" s="32">
        <v>45973</v>
      </c>
      <c r="F115" s="33">
        <v>35</v>
      </c>
      <c r="G115" s="34">
        <f t="shared" si="4"/>
        <v>125</v>
      </c>
      <c r="H115" s="35">
        <v>1.99</v>
      </c>
      <c r="I115" s="36">
        <v>22.9469026548673</v>
      </c>
      <c r="J115" s="35">
        <v>6.1553435666</v>
      </c>
      <c r="K115" s="35">
        <v>51.34</v>
      </c>
      <c r="L115" s="35">
        <v>68.23868</v>
      </c>
      <c r="M115" s="35">
        <v>4.988412</v>
      </c>
      <c r="N115" s="35">
        <v>12.42074680704</v>
      </c>
      <c r="O115" s="35">
        <v>0</v>
      </c>
      <c r="P115" s="35">
        <v>2.36639933628319</v>
      </c>
      <c r="Q115" s="35" t="s">
        <v>93</v>
      </c>
      <c r="R115" s="37" t="s">
        <v>94</v>
      </c>
      <c r="S115" s="35">
        <v>6.8</v>
      </c>
      <c r="T115" s="38" t="s">
        <v>563</v>
      </c>
      <c r="U115" s="38">
        <v>150.5</v>
      </c>
      <c r="V115" s="39">
        <v>6.14</v>
      </c>
      <c r="W115" s="51" t="s">
        <v>564</v>
      </c>
      <c r="X115" s="35">
        <v>25.342650259793</v>
      </c>
      <c r="Y115" s="35">
        <v>61.7691897788631</v>
      </c>
      <c r="Z115" s="35"/>
      <c r="AA115" s="35">
        <v>166.472524285714</v>
      </c>
      <c r="AB115" s="35">
        <v>25.99</v>
      </c>
      <c r="AC115" s="41">
        <v>0.1</v>
      </c>
      <c r="AD115" s="37">
        <v>22.3999514118439</v>
      </c>
      <c r="AE115" s="42">
        <v>0.129840111891832</v>
      </c>
      <c r="AF115" s="43">
        <v>0.0133897615388452</v>
      </c>
      <c r="AG115" s="43">
        <v>0.034828687315257</v>
      </c>
      <c r="AH115" s="43">
        <v>0.29049634474798</v>
      </c>
      <c r="AI115" s="44">
        <v>0.1769</v>
      </c>
      <c r="AJ115" s="44">
        <v>0.0336</v>
      </c>
      <c r="AK115" s="45">
        <v>0.0006</v>
      </c>
      <c r="AL115" s="45">
        <v>0</v>
      </c>
      <c r="AM115" s="45">
        <v>0.1125</v>
      </c>
      <c r="AN115" s="45">
        <v>0.0282258560984994</v>
      </c>
      <c r="AO115" s="43">
        <v>0.179619238407586</v>
      </c>
      <c r="AP115" s="49"/>
      <c r="AQ115" s="46"/>
      <c r="AR115" s="29"/>
      <c r="AS115" s="29"/>
      <c r="AT115" s="29"/>
      <c r="AU115" s="29"/>
      <c r="AV115" s="29"/>
      <c r="AW115" s="29"/>
      <c r="AX115" s="29"/>
      <c r="AY115" s="29"/>
      <c r="AZ115" s="29"/>
      <c r="BA115" s="29"/>
      <c r="BB115" s="29"/>
      <c r="BC115" s="29"/>
      <c r="BD115" s="29"/>
      <c r="BE115" s="29"/>
      <c r="BF115" s="29"/>
      <c r="BG115" s="47"/>
      <c r="BH115" s="48"/>
      <c r="BI115" s="48"/>
      <c r="BJ115" s="48"/>
      <c r="BK115" s="45"/>
      <c r="BL115" s="45"/>
      <c r="BM115" s="45"/>
      <c r="BN115" s="37"/>
      <c r="BO115" s="37"/>
      <c r="BP115" s="49"/>
      <c r="BQ115" s="37"/>
      <c r="BR115" s="37"/>
      <c r="BS115" s="49"/>
      <c r="BT115" s="29"/>
      <c r="BU115" s="29"/>
      <c r="BV115" s="29"/>
      <c r="BW115" s="29"/>
      <c r="BX115" s="29"/>
      <c r="BY115" s="29"/>
      <c r="BZ115" s="29"/>
      <c r="CA115" s="29"/>
      <c r="CB115" s="29"/>
      <c r="CC115" s="29"/>
      <c r="CD115" s="29"/>
      <c r="CE115" s="29"/>
      <c r="CF115" s="29"/>
      <c r="CG115" s="29"/>
      <c r="CH115" s="29"/>
      <c r="CI115" s="29"/>
      <c r="CJ115" s="29"/>
      <c r="CK115" s="29"/>
      <c r="CL115" s="52"/>
    </row>
    <row r="116" ht="66" spans="1:90">
      <c r="A116" s="29" t="s">
        <v>565</v>
      </c>
      <c r="B116" s="30" t="s">
        <v>566</v>
      </c>
      <c r="C116" s="29" t="s">
        <v>567</v>
      </c>
      <c r="D116" s="31"/>
      <c r="E116" s="32">
        <v>45973</v>
      </c>
      <c r="F116" s="33">
        <v>35</v>
      </c>
      <c r="G116" s="34">
        <f t="shared" si="4"/>
        <v>125</v>
      </c>
      <c r="H116" s="35">
        <v>2</v>
      </c>
      <c r="I116" s="36">
        <v>22.1238938053097</v>
      </c>
      <c r="J116" s="35">
        <v>5.0944860297</v>
      </c>
      <c r="K116" s="35">
        <v>51.34</v>
      </c>
      <c r="L116" s="35">
        <v>68.23868</v>
      </c>
      <c r="M116" s="35">
        <v>4.12896</v>
      </c>
      <c r="N116" s="35">
        <v>10.2807800832</v>
      </c>
      <c r="O116" s="35">
        <v>0</v>
      </c>
      <c r="P116" s="35">
        <v>2.28152654867257</v>
      </c>
      <c r="Q116" s="35" t="s">
        <v>93</v>
      </c>
      <c r="R116" s="37" t="s">
        <v>94</v>
      </c>
      <c r="S116" s="35">
        <v>6.8</v>
      </c>
      <c r="T116" s="38" t="s">
        <v>568</v>
      </c>
      <c r="U116" s="38">
        <v>57.2</v>
      </c>
      <c r="V116" s="39">
        <v>1.9</v>
      </c>
      <c r="W116" s="51" t="s">
        <v>569</v>
      </c>
      <c r="X116" s="35">
        <v>27.0948000597652</v>
      </c>
      <c r="Y116" s="35">
        <v>67.4692768959436</v>
      </c>
      <c r="Z116" s="35"/>
      <c r="AA116" s="35">
        <v>157.672025</v>
      </c>
      <c r="AB116" s="35">
        <v>27.09</v>
      </c>
      <c r="AC116" s="41">
        <v>0.1</v>
      </c>
      <c r="AD116" s="37">
        <v>21.6783857165373</v>
      </c>
      <c r="AE116" s="42">
        <v>0.120100176998837</v>
      </c>
      <c r="AF116" s="43">
        <v>0.0123853307530051</v>
      </c>
      <c r="AG116" s="43">
        <v>0.0276555600596052</v>
      </c>
      <c r="AH116" s="43">
        <v>0.278700627537837</v>
      </c>
      <c r="AI116" s="44">
        <v>0.1769</v>
      </c>
      <c r="AJ116" s="44">
        <v>0.0336</v>
      </c>
      <c r="AK116" s="45">
        <v>0.0006</v>
      </c>
      <c r="AL116" s="45">
        <v>0</v>
      </c>
      <c r="AM116" s="45">
        <v>0.1125</v>
      </c>
      <c r="AN116" s="45">
        <v>0.0224141749723145</v>
      </c>
      <c r="AO116" s="43">
        <v>0.215144129678401</v>
      </c>
      <c r="AP116" s="49"/>
      <c r="AQ116" s="46"/>
      <c r="AR116" s="29"/>
      <c r="AS116" s="29"/>
      <c r="AT116" s="29"/>
      <c r="AU116" s="29"/>
      <c r="AV116" s="29"/>
      <c r="AW116" s="29"/>
      <c r="AX116" s="29"/>
      <c r="AY116" s="29"/>
      <c r="AZ116" s="29"/>
      <c r="BA116" s="29"/>
      <c r="BB116" s="29"/>
      <c r="BC116" s="29"/>
      <c r="BD116" s="29"/>
      <c r="BE116" s="29"/>
      <c r="BF116" s="29"/>
      <c r="BG116" s="47"/>
      <c r="BH116" s="48"/>
      <c r="BI116" s="48"/>
      <c r="BJ116" s="48"/>
      <c r="BK116" s="45"/>
      <c r="BL116" s="45"/>
      <c r="BM116" s="45"/>
      <c r="BN116" s="37"/>
      <c r="BO116" s="37"/>
      <c r="BP116" s="49"/>
      <c r="BQ116" s="37"/>
      <c r="BR116" s="37"/>
      <c r="BS116" s="49"/>
      <c r="BT116" s="29"/>
      <c r="BU116" s="29"/>
      <c r="BV116" s="29"/>
      <c r="BW116" s="29"/>
      <c r="BX116" s="29"/>
      <c r="BY116" s="29"/>
      <c r="BZ116" s="29"/>
      <c r="CA116" s="29"/>
      <c r="CB116" s="29"/>
      <c r="CC116" s="29"/>
      <c r="CD116" s="29"/>
      <c r="CE116" s="29"/>
      <c r="CF116" s="29"/>
      <c r="CG116" s="29"/>
      <c r="CH116" s="29"/>
      <c r="CI116" s="29"/>
      <c r="CJ116" s="29"/>
      <c r="CK116" s="29"/>
      <c r="CL116" s="52"/>
    </row>
    <row r="117" ht="99" spans="1:90">
      <c r="A117" s="29" t="s">
        <v>570</v>
      </c>
      <c r="B117" s="30" t="s">
        <v>571</v>
      </c>
      <c r="C117" s="29" t="s">
        <v>572</v>
      </c>
      <c r="D117" s="31"/>
      <c r="E117" s="32">
        <v>45973</v>
      </c>
      <c r="F117" s="33">
        <v>35</v>
      </c>
      <c r="G117" s="34">
        <f t="shared" si="4"/>
        <v>125</v>
      </c>
      <c r="H117" s="35">
        <v>1.62</v>
      </c>
      <c r="I117" s="36">
        <v>19.7787610619469</v>
      </c>
      <c r="J117" s="35">
        <v>4.1403834095</v>
      </c>
      <c r="K117" s="35">
        <v>47.124</v>
      </c>
      <c r="L117" s="35">
        <v>66.31428</v>
      </c>
      <c r="M117" s="35">
        <v>3.35576736</v>
      </c>
      <c r="N117" s="35">
        <v>8.3555922650112</v>
      </c>
      <c r="O117" s="35">
        <v>0</v>
      </c>
      <c r="P117" s="35">
        <v>2.03968473451327</v>
      </c>
      <c r="Q117" s="35" t="s">
        <v>93</v>
      </c>
      <c r="R117" s="37" t="s">
        <v>94</v>
      </c>
      <c r="S117" s="35">
        <v>6.8</v>
      </c>
      <c r="T117" s="38" t="s">
        <v>573</v>
      </c>
      <c r="U117" s="38">
        <v>84.6</v>
      </c>
      <c r="V117" s="39">
        <v>4.38</v>
      </c>
      <c r="W117" s="51" t="s">
        <v>574</v>
      </c>
      <c r="X117" s="35">
        <v>22.2574130209069</v>
      </c>
      <c r="Y117" s="35">
        <v>50.0890372006987</v>
      </c>
      <c r="Z117" s="35"/>
      <c r="AA117" s="35">
        <v>153.412531722222</v>
      </c>
      <c r="AB117" s="35">
        <v>22.5</v>
      </c>
      <c r="AC117" s="41">
        <v>0.1</v>
      </c>
      <c r="AD117" s="37">
        <v>19.5020299847839</v>
      </c>
      <c r="AE117" s="42">
        <v>0.1292729481173</v>
      </c>
      <c r="AF117" s="43">
        <v>0.0133312727745966</v>
      </c>
      <c r="AG117" s="43">
        <v>0.0270613294738562</v>
      </c>
      <c r="AH117" s="43">
        <v>0.308</v>
      </c>
      <c r="AI117" s="44">
        <v>0.1769</v>
      </c>
      <c r="AJ117" s="44">
        <v>0.0336</v>
      </c>
      <c r="AK117" s="45">
        <v>0.0006</v>
      </c>
      <c r="AL117" s="45">
        <v>0</v>
      </c>
      <c r="AM117" s="45">
        <v>0.1125</v>
      </c>
      <c r="AN117" s="45">
        <v>0.02193312</v>
      </c>
      <c r="AO117" s="43">
        <v>0.176801329634247</v>
      </c>
      <c r="AP117" s="49"/>
      <c r="AQ117" s="46"/>
      <c r="AR117" s="29"/>
      <c r="AS117" s="29"/>
      <c r="AT117" s="29"/>
      <c r="AU117" s="29"/>
      <c r="AV117" s="29"/>
      <c r="AW117" s="29"/>
      <c r="AX117" s="29"/>
      <c r="AY117" s="29"/>
      <c r="AZ117" s="29"/>
      <c r="BA117" s="29"/>
      <c r="BB117" s="29"/>
      <c r="BC117" s="29"/>
      <c r="BD117" s="29"/>
      <c r="BE117" s="29"/>
      <c r="BF117" s="29"/>
      <c r="BG117" s="47"/>
      <c r="BH117" s="48"/>
      <c r="BI117" s="48"/>
      <c r="BJ117" s="48"/>
      <c r="BK117" s="45"/>
      <c r="BL117" s="45"/>
      <c r="BM117" s="45"/>
      <c r="BN117" s="37"/>
      <c r="BO117" s="37"/>
      <c r="BP117" s="49"/>
      <c r="BQ117" s="37"/>
      <c r="BR117" s="37"/>
      <c r="BS117" s="49"/>
      <c r="BT117" s="29"/>
      <c r="BU117" s="29"/>
      <c r="BV117" s="29"/>
      <c r="BW117" s="29"/>
      <c r="BX117" s="29"/>
      <c r="BY117" s="29"/>
      <c r="BZ117" s="29"/>
      <c r="CA117" s="29"/>
      <c r="CB117" s="29"/>
      <c r="CC117" s="29"/>
      <c r="CD117" s="29"/>
      <c r="CE117" s="29"/>
      <c r="CF117" s="29"/>
      <c r="CG117" s="29"/>
      <c r="CH117" s="29"/>
      <c r="CI117" s="29"/>
      <c r="CJ117" s="29"/>
      <c r="CK117" s="29"/>
      <c r="CL117" s="52"/>
    </row>
    <row r="118" ht="165" spans="1:90">
      <c r="A118" s="29" t="s">
        <v>575</v>
      </c>
      <c r="B118" s="30" t="s">
        <v>576</v>
      </c>
      <c r="C118" s="29" t="s">
        <v>577</v>
      </c>
      <c r="D118" s="31"/>
      <c r="E118" s="32">
        <v>45973</v>
      </c>
      <c r="F118" s="33">
        <v>35</v>
      </c>
      <c r="G118" s="34">
        <f t="shared" si="4"/>
        <v>125</v>
      </c>
      <c r="H118" s="35">
        <v>2.2</v>
      </c>
      <c r="I118" s="36">
        <v>18.1769911504425</v>
      </c>
      <c r="J118" s="35">
        <v>4.9341309638</v>
      </c>
      <c r="K118" s="35">
        <v>51.34</v>
      </c>
      <c r="L118" s="35">
        <v>66.31428</v>
      </c>
      <c r="M118" s="35">
        <v>3.998808</v>
      </c>
      <c r="N118" s="35">
        <v>9.95671201536</v>
      </c>
      <c r="O118" s="35">
        <v>0</v>
      </c>
      <c r="P118" s="35">
        <v>1.87450221238938</v>
      </c>
      <c r="Q118" s="35" t="s">
        <v>93</v>
      </c>
      <c r="R118" s="37" t="s">
        <v>94</v>
      </c>
      <c r="S118" s="35">
        <v>6.8</v>
      </c>
      <c r="T118" s="38" t="s">
        <v>578</v>
      </c>
      <c r="U118" s="38">
        <v>382.9</v>
      </c>
      <c r="V118" s="39">
        <v>8.43</v>
      </c>
      <c r="W118" s="51" t="s">
        <v>579</v>
      </c>
      <c r="X118" s="35">
        <v>21.0327155948862</v>
      </c>
      <c r="Y118" s="35">
        <v>21.6009953238095</v>
      </c>
      <c r="Z118" s="35"/>
      <c r="AA118" s="35">
        <v>143.355753280952</v>
      </c>
      <c r="AB118" s="35">
        <v>22.99</v>
      </c>
      <c r="AC118" s="41">
        <v>0.1</v>
      </c>
      <c r="AD118" s="37">
        <v>20.493436014265</v>
      </c>
      <c r="AE118" s="42">
        <v>0.116271723962097</v>
      </c>
      <c r="AF118" s="43">
        <v>0.0119905215335912</v>
      </c>
      <c r="AG118" s="43">
        <v>0.0315618744965842</v>
      </c>
      <c r="AH118" s="43">
        <v>0.328403653762505</v>
      </c>
      <c r="AI118" s="44">
        <v>0.1769</v>
      </c>
      <c r="AJ118" s="44">
        <v>0.0336</v>
      </c>
      <c r="AK118" s="45">
        <v>0.0006</v>
      </c>
      <c r="AL118" s="45">
        <v>0</v>
      </c>
      <c r="AM118" s="45">
        <v>0.1125</v>
      </c>
      <c r="AN118" s="45">
        <v>0.0255789473684211</v>
      </c>
      <c r="AO118" s="43">
        <v>0.162593278876802</v>
      </c>
      <c r="AP118" s="49"/>
      <c r="AQ118" s="46"/>
      <c r="AR118" s="29"/>
      <c r="AS118" s="29"/>
      <c r="AT118" s="29"/>
      <c r="AU118" s="29"/>
      <c r="AV118" s="29"/>
      <c r="AW118" s="29"/>
      <c r="AX118" s="29"/>
      <c r="AY118" s="29"/>
      <c r="AZ118" s="29"/>
      <c r="BA118" s="29"/>
      <c r="BB118" s="29"/>
      <c r="BC118" s="29"/>
      <c r="BD118" s="29"/>
      <c r="BE118" s="29"/>
      <c r="BF118" s="29"/>
      <c r="BG118" s="47"/>
      <c r="BH118" s="48"/>
      <c r="BI118" s="48"/>
      <c r="BJ118" s="48"/>
      <c r="BK118" s="45"/>
      <c r="BL118" s="45"/>
      <c r="BM118" s="45"/>
      <c r="BN118" s="37"/>
      <c r="BO118" s="37"/>
      <c r="BP118" s="49"/>
      <c r="BQ118" s="37"/>
      <c r="BR118" s="37"/>
      <c r="BS118" s="49"/>
      <c r="BT118" s="29"/>
      <c r="BU118" s="29"/>
      <c r="BV118" s="29"/>
      <c r="BW118" s="29"/>
      <c r="BX118" s="29"/>
      <c r="BY118" s="29"/>
      <c r="BZ118" s="29"/>
      <c r="CA118" s="29"/>
      <c r="CB118" s="29"/>
      <c r="CC118" s="29"/>
      <c r="CD118" s="29"/>
      <c r="CE118" s="29"/>
      <c r="CF118" s="29"/>
      <c r="CG118" s="29"/>
      <c r="CH118" s="29"/>
      <c r="CI118" s="29"/>
      <c r="CJ118" s="29"/>
      <c r="CK118" s="29"/>
      <c r="CL118" s="52"/>
    </row>
    <row r="119" ht="165" spans="1:90">
      <c r="A119" s="29" t="s">
        <v>580</v>
      </c>
      <c r="B119" s="30" t="s">
        <v>581</v>
      </c>
      <c r="C119" s="29" t="s">
        <v>582</v>
      </c>
      <c r="D119" s="31"/>
      <c r="E119" s="32">
        <v>45973</v>
      </c>
      <c r="F119" s="33">
        <v>35</v>
      </c>
      <c r="G119" s="34">
        <f t="shared" si="4"/>
        <v>125</v>
      </c>
      <c r="H119" s="35">
        <v>3.23</v>
      </c>
      <c r="I119" s="36">
        <v>25.070796460177</v>
      </c>
      <c r="J119" s="35">
        <v>5.9620204251</v>
      </c>
      <c r="K119" s="35">
        <v>51.34</v>
      </c>
      <c r="L119" s="35">
        <v>68.23868</v>
      </c>
      <c r="M119" s="35">
        <v>4.831893</v>
      </c>
      <c r="N119" s="35">
        <v>12.03102701856</v>
      </c>
      <c r="O119" s="35">
        <v>0</v>
      </c>
      <c r="P119" s="35">
        <v>2.58542588495575</v>
      </c>
      <c r="Q119" s="35" t="s">
        <v>93</v>
      </c>
      <c r="R119" s="37" t="s">
        <v>94</v>
      </c>
      <c r="S119" s="35">
        <v>6.8</v>
      </c>
      <c r="T119" s="38" t="s">
        <v>583</v>
      </c>
      <c r="U119" s="38">
        <v>538.2</v>
      </c>
      <c r="V119" s="39">
        <v>5.12</v>
      </c>
      <c r="W119" s="51" t="s">
        <v>584</v>
      </c>
      <c r="X119" s="35">
        <v>23.036176441141</v>
      </c>
      <c r="Y119" s="35">
        <v>100.120864642857</v>
      </c>
      <c r="Z119" s="35"/>
      <c r="AA119" s="35">
        <v>815.294572975667</v>
      </c>
      <c r="AB119" s="35">
        <v>26.99</v>
      </c>
      <c r="AC119" s="41">
        <v>0.1</v>
      </c>
      <c r="AD119" s="37">
        <v>22.9084519967324</v>
      </c>
      <c r="AE119" s="42">
        <v>0.136601772225971</v>
      </c>
      <c r="AF119" s="43">
        <v>0.0140870577608033</v>
      </c>
      <c r="AG119" s="43">
        <v>0.0324849095803457</v>
      </c>
      <c r="AH119" s="43">
        <v>0.279733234531308</v>
      </c>
      <c r="AI119" s="44">
        <v>0.1769</v>
      </c>
      <c r="AJ119" s="44">
        <v>0.0336</v>
      </c>
      <c r="AK119" s="45">
        <v>0.0006</v>
      </c>
      <c r="AL119" s="45">
        <v>0</v>
      </c>
      <c r="AM119" s="45">
        <v>0.1125</v>
      </c>
      <c r="AN119" s="45">
        <v>0.0263272508336421</v>
      </c>
      <c r="AO119" s="43">
        <v>0.187165775067929</v>
      </c>
      <c r="AP119" s="49"/>
      <c r="AQ119" s="46"/>
      <c r="AR119" s="29"/>
      <c r="AS119" s="29"/>
      <c r="AT119" s="29"/>
      <c r="AU119" s="29"/>
      <c r="AV119" s="29"/>
      <c r="AW119" s="29"/>
      <c r="AX119" s="29"/>
      <c r="AY119" s="29"/>
      <c r="AZ119" s="29"/>
      <c r="BA119" s="29"/>
      <c r="BB119" s="29"/>
      <c r="BC119" s="29"/>
      <c r="BD119" s="29"/>
      <c r="BE119" s="29"/>
      <c r="BF119" s="29"/>
      <c r="BG119" s="47"/>
      <c r="BH119" s="48"/>
      <c r="BI119" s="48"/>
      <c r="BJ119" s="48"/>
      <c r="BK119" s="45"/>
      <c r="BL119" s="45"/>
      <c r="BM119" s="45"/>
      <c r="BN119" s="37"/>
      <c r="BO119" s="37"/>
      <c r="BP119" s="49"/>
      <c r="BQ119" s="37"/>
      <c r="BR119" s="37"/>
      <c r="BS119" s="49"/>
      <c r="BT119" s="29"/>
      <c r="BU119" s="29"/>
      <c r="BV119" s="29"/>
      <c r="BW119" s="29"/>
      <c r="BX119" s="29"/>
      <c r="BY119" s="29"/>
      <c r="BZ119" s="29"/>
      <c r="CA119" s="29"/>
      <c r="CB119" s="29"/>
      <c r="CC119" s="29"/>
      <c r="CD119" s="29"/>
      <c r="CE119" s="29"/>
      <c r="CF119" s="29"/>
      <c r="CG119" s="29"/>
      <c r="CH119" s="29"/>
      <c r="CI119" s="29"/>
      <c r="CJ119" s="29"/>
      <c r="CK119" s="29"/>
      <c r="CL119" s="52"/>
    </row>
    <row r="120" ht="99" spans="1:90">
      <c r="A120" s="53" t="s">
        <v>585</v>
      </c>
      <c r="B120" s="54" t="s">
        <v>586</v>
      </c>
      <c r="C120" s="53" t="s">
        <v>587</v>
      </c>
      <c r="D120" s="53"/>
      <c r="E120" s="32">
        <v>45973</v>
      </c>
      <c r="F120" s="55">
        <v>35</v>
      </c>
      <c r="G120" s="34">
        <f t="shared" si="4"/>
        <v>125</v>
      </c>
      <c r="H120" s="56">
        <v>1.09</v>
      </c>
      <c r="I120" s="56">
        <v>19.1858407079646</v>
      </c>
      <c r="J120" s="56">
        <v>4.7512309777</v>
      </c>
      <c r="K120" s="56">
        <v>51.34</v>
      </c>
      <c r="L120" s="56">
        <v>66.31428</v>
      </c>
      <c r="M120" s="56">
        <v>3.850704</v>
      </c>
      <c r="N120" s="56">
        <v>9.58794490368</v>
      </c>
      <c r="O120" s="35">
        <v>0</v>
      </c>
      <c r="P120" s="56">
        <v>1.97853982300885</v>
      </c>
      <c r="Q120" s="53" t="s">
        <v>93</v>
      </c>
      <c r="R120" s="53" t="s">
        <v>94</v>
      </c>
      <c r="S120" s="35">
        <v>6.8</v>
      </c>
      <c r="T120" s="53" t="s">
        <v>588</v>
      </c>
      <c r="U120" s="53">
        <v>61.7</v>
      </c>
      <c r="V120" s="53">
        <v>2.01</v>
      </c>
      <c r="W120" s="51" t="s">
        <v>589</v>
      </c>
      <c r="X120" s="56">
        <v>23.6188991003875</v>
      </c>
      <c r="Y120" s="56">
        <v>33.742757597552</v>
      </c>
      <c r="Z120" s="53"/>
      <c r="AA120" s="56">
        <v>112.821540581197</v>
      </c>
      <c r="AB120" s="56">
        <v>23.62</v>
      </c>
      <c r="AC120" s="41">
        <v>0.1</v>
      </c>
      <c r="AD120" s="56">
        <v>20.6929204363477</v>
      </c>
      <c r="AE120" s="56">
        <v>0.119451615704317</v>
      </c>
      <c r="AF120" s="57">
        <v>0.0123184478695077</v>
      </c>
      <c r="AG120" s="57">
        <v>0.0295813055841261</v>
      </c>
      <c r="AH120" s="57">
        <v>0.319644369178662</v>
      </c>
      <c r="AI120" s="44">
        <v>0.1769</v>
      </c>
      <c r="AJ120" s="44">
        <v>0.0336</v>
      </c>
      <c r="AK120" s="45">
        <v>0.0006</v>
      </c>
      <c r="AL120" s="45">
        <v>0</v>
      </c>
      <c r="AM120" s="45">
        <v>0.1125</v>
      </c>
      <c r="AN120" s="57">
        <v>0.0239745977984759</v>
      </c>
      <c r="AO120" s="57">
        <v>0.171429663864911</v>
      </c>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3"/>
      <c r="BX120" s="53"/>
      <c r="BY120" s="53"/>
      <c r="BZ120" s="53"/>
      <c r="CA120" s="53"/>
      <c r="CB120" s="53"/>
      <c r="CC120" s="53"/>
      <c r="CD120" s="53"/>
      <c r="CE120" s="53"/>
      <c r="CF120" s="53"/>
      <c r="CG120" s="53"/>
      <c r="CH120" s="53"/>
      <c r="CI120" s="53"/>
      <c r="CJ120" s="53"/>
      <c r="CK120" s="53"/>
    </row>
    <row r="121" ht="66" spans="1:90">
      <c r="A121" s="53" t="s">
        <v>590</v>
      </c>
      <c r="B121" s="54" t="s">
        <v>591</v>
      </c>
      <c r="C121" s="53" t="s">
        <v>592</v>
      </c>
      <c r="D121" s="53"/>
      <c r="E121" s="32">
        <v>45973</v>
      </c>
      <c r="F121" s="55">
        <v>35</v>
      </c>
      <c r="G121" s="34">
        <f t="shared" si="4"/>
        <v>125</v>
      </c>
      <c r="H121" s="56">
        <v>1.48</v>
      </c>
      <c r="I121" s="56">
        <v>23.8849557522124</v>
      </c>
      <c r="J121" s="56">
        <v>4.6515101456</v>
      </c>
      <c r="K121" s="56">
        <v>47.124</v>
      </c>
      <c r="L121" s="56">
        <v>66.31428</v>
      </c>
      <c r="M121" s="56">
        <v>3.76992</v>
      </c>
      <c r="N121" s="56">
        <v>9.3867992064</v>
      </c>
      <c r="O121" s="35">
        <v>0</v>
      </c>
      <c r="P121" s="56">
        <v>2.4631360619469</v>
      </c>
      <c r="Q121" s="53" t="s">
        <v>93</v>
      </c>
      <c r="R121" s="53" t="s">
        <v>94</v>
      </c>
      <c r="S121" s="35">
        <v>6.8</v>
      </c>
      <c r="T121" s="53" t="s">
        <v>593</v>
      </c>
      <c r="U121" s="53">
        <v>95.5</v>
      </c>
      <c r="V121" s="53">
        <v>10.83</v>
      </c>
      <c r="W121" s="51" t="s">
        <v>594</v>
      </c>
      <c r="X121" s="56">
        <v>20.34171003648</v>
      </c>
      <c r="Y121" s="56">
        <v>45.8315664506173</v>
      </c>
      <c r="Z121" s="53"/>
      <c r="AA121" s="56">
        <v>103.011350454545</v>
      </c>
      <c r="AB121" s="56">
        <v>20.34</v>
      </c>
      <c r="AC121" s="41">
        <v>0.1</v>
      </c>
      <c r="AD121" s="56">
        <v>20.8937630015306</v>
      </c>
      <c r="AE121" s="56">
        <v>0.172688962289696</v>
      </c>
      <c r="AF121" s="57">
        <v>0.0178085492361249</v>
      </c>
      <c r="AG121" s="57">
        <v>0.0336305609462664</v>
      </c>
      <c r="AH121" s="57">
        <v>0.34070796460177</v>
      </c>
      <c r="AI121" s="44">
        <v>0.1769</v>
      </c>
      <c r="AJ121" s="44">
        <v>0.0336</v>
      </c>
      <c r="AK121" s="45">
        <v>0.0006</v>
      </c>
      <c r="AL121" s="45">
        <v>0</v>
      </c>
      <c r="AM121" s="45">
        <v>0.1125</v>
      </c>
      <c r="AN121" s="57">
        <v>0.0272566371681416</v>
      </c>
      <c r="AO121" s="57">
        <v>0.0843073257580014</v>
      </c>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3"/>
      <c r="BX121" s="53"/>
      <c r="BY121" s="53"/>
      <c r="BZ121" s="53"/>
      <c r="CA121" s="53"/>
      <c r="CB121" s="53"/>
      <c r="CC121" s="53"/>
      <c r="CD121" s="53"/>
      <c r="CE121" s="53"/>
      <c r="CF121" s="53"/>
      <c r="CG121" s="53"/>
      <c r="CH121" s="53"/>
      <c r="CI121" s="53"/>
      <c r="CJ121" s="53"/>
      <c r="CK121" s="53"/>
    </row>
    <row r="122" ht="33" spans="1:90">
      <c r="A122" s="53" t="s">
        <v>595</v>
      </c>
      <c r="B122" s="54" t="s">
        <v>596</v>
      </c>
      <c r="C122" s="53" t="s">
        <v>597</v>
      </c>
      <c r="D122" s="53"/>
      <c r="E122" s="32">
        <v>45973</v>
      </c>
      <c r="F122" s="55">
        <v>35</v>
      </c>
      <c r="G122" s="34">
        <f t="shared" si="4"/>
        <v>125</v>
      </c>
      <c r="H122" s="56">
        <v>1.9</v>
      </c>
      <c r="I122" s="56">
        <v>22.5929203539823</v>
      </c>
      <c r="J122" s="56">
        <v>5.6068552004</v>
      </c>
      <c r="K122" s="56">
        <v>51.34</v>
      </c>
      <c r="L122" s="56">
        <v>68.23868</v>
      </c>
      <c r="M122" s="56">
        <v>4.5441</v>
      </c>
      <c r="N122" s="56">
        <v>11.314445472</v>
      </c>
      <c r="O122" s="35">
        <v>0</v>
      </c>
      <c r="P122" s="56">
        <v>2.32989491150443</v>
      </c>
      <c r="Q122" s="53" t="s">
        <v>93</v>
      </c>
      <c r="R122" s="53" t="s">
        <v>94</v>
      </c>
      <c r="S122" s="35">
        <v>6.8</v>
      </c>
      <c r="T122" s="53" t="s">
        <v>598</v>
      </c>
      <c r="U122" s="53">
        <v>70.6</v>
      </c>
      <c r="V122" s="53">
        <v>3.18</v>
      </c>
      <c r="W122" s="51" t="s">
        <v>599</v>
      </c>
      <c r="X122" s="56">
        <v>31.6454306028463</v>
      </c>
      <c r="Y122" s="56">
        <v>45.9798736374028</v>
      </c>
      <c r="Z122" s="53"/>
      <c r="AA122" s="56">
        <v>100.810008666667</v>
      </c>
      <c r="AB122" s="56">
        <v>30.99</v>
      </c>
      <c r="AC122" s="41">
        <v>0.1</v>
      </c>
      <c r="AD122" s="56">
        <v>22.0470288366654</v>
      </c>
      <c r="AE122" s="56">
        <v>0.107211625922889</v>
      </c>
      <c r="AF122" s="57">
        <v>0.011056198923298</v>
      </c>
      <c r="AG122" s="57">
        <v>0.0266065675853691</v>
      </c>
      <c r="AH122" s="57">
        <v>0.243626976444014</v>
      </c>
      <c r="AI122" s="44">
        <v>0.1769</v>
      </c>
      <c r="AJ122" s="44">
        <v>0.0336</v>
      </c>
      <c r="AK122" s="45">
        <v>0.0006</v>
      </c>
      <c r="AL122" s="45">
        <v>0</v>
      </c>
      <c r="AM122" s="45">
        <v>0.1125</v>
      </c>
      <c r="AN122" s="57">
        <v>0.0215634075508228</v>
      </c>
      <c r="AO122" s="57">
        <v>0.266335223573607</v>
      </c>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3"/>
      <c r="BX122" s="53"/>
      <c r="BY122" s="53"/>
      <c r="BZ122" s="53"/>
      <c r="CA122" s="53"/>
      <c r="CB122" s="53"/>
      <c r="CC122" s="53"/>
      <c r="CD122" s="53"/>
      <c r="CE122" s="53"/>
      <c r="CF122" s="53"/>
      <c r="CG122" s="53"/>
      <c r="CH122" s="53"/>
      <c r="CI122" s="53"/>
      <c r="CJ122" s="53"/>
      <c r="CK122" s="53"/>
    </row>
    <row r="123" ht="165" spans="1:90">
      <c r="A123" s="53" t="s">
        <v>600</v>
      </c>
      <c r="B123" s="54" t="s">
        <v>601</v>
      </c>
      <c r="C123" s="53" t="s">
        <v>602</v>
      </c>
      <c r="D123" s="53"/>
      <c r="E123" s="32">
        <v>45973</v>
      </c>
      <c r="F123" s="55">
        <v>35</v>
      </c>
      <c r="G123" s="34">
        <f t="shared" si="4"/>
        <v>125</v>
      </c>
      <c r="H123" s="56">
        <v>3.3</v>
      </c>
      <c r="I123" s="56">
        <v>22.1946902654867</v>
      </c>
      <c r="J123" s="56">
        <v>7.0350908723</v>
      </c>
      <c r="K123" s="56">
        <v>53.516</v>
      </c>
      <c r="L123" s="56">
        <v>68.23868</v>
      </c>
      <c r="M123" s="56">
        <v>5.702004</v>
      </c>
      <c r="N123" s="56">
        <v>14.19753379968</v>
      </c>
      <c r="O123" s="35">
        <v>0</v>
      </c>
      <c r="P123" s="56">
        <v>2.28882743362832</v>
      </c>
      <c r="Q123" s="53" t="s">
        <v>93</v>
      </c>
      <c r="R123" s="53" t="s">
        <v>94</v>
      </c>
      <c r="S123" s="35">
        <v>6.8</v>
      </c>
      <c r="T123" s="53" t="s">
        <v>603</v>
      </c>
      <c r="U123" s="53">
        <v>111.6</v>
      </c>
      <c r="V123" s="53">
        <v>6.93</v>
      </c>
      <c r="W123" s="51" t="s">
        <v>604</v>
      </c>
      <c r="X123" s="56">
        <v>25.7720565844533</v>
      </c>
      <c r="Y123" s="56">
        <v>113.649627576264</v>
      </c>
      <c r="Z123" s="53"/>
      <c r="AA123" s="56">
        <v>543.188935608561</v>
      </c>
      <c r="AB123" s="56">
        <v>25.99</v>
      </c>
      <c r="AC123" s="41">
        <v>0.1</v>
      </c>
      <c r="AD123" s="56">
        <v>23.1499297290013</v>
      </c>
      <c r="AE123" s="56">
        <v>0.125583879916974</v>
      </c>
      <c r="AF123" s="57">
        <v>0.012950837616438</v>
      </c>
      <c r="AG123" s="57">
        <v>0.0398065481763348</v>
      </c>
      <c r="AH123" s="57">
        <v>0.302808772604848</v>
      </c>
      <c r="AI123" s="44">
        <v>0.1769</v>
      </c>
      <c r="AJ123" s="44">
        <v>0.0336</v>
      </c>
      <c r="AK123" s="45">
        <v>0.0006</v>
      </c>
      <c r="AL123" s="45">
        <v>0</v>
      </c>
      <c r="AM123" s="45">
        <v>0.1125</v>
      </c>
      <c r="AN123" s="57">
        <v>0.0322635629088111</v>
      </c>
      <c r="AO123" s="57">
        <v>0.162986398776594</v>
      </c>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3"/>
      <c r="BX123" s="53"/>
      <c r="BY123" s="53"/>
      <c r="BZ123" s="53"/>
      <c r="CA123" s="53"/>
      <c r="CB123" s="53"/>
      <c r="CC123" s="53"/>
      <c r="CD123" s="53"/>
      <c r="CE123" s="53"/>
      <c r="CF123" s="53"/>
      <c r="CG123" s="53"/>
      <c r="CH123" s="53"/>
      <c r="CI123" s="53"/>
      <c r="CJ123" s="53"/>
      <c r="CK123" s="53"/>
    </row>
    <row r="124" ht="165" spans="1:90">
      <c r="A124" s="53" t="s">
        <v>605</v>
      </c>
      <c r="B124" s="54" t="s">
        <v>606</v>
      </c>
      <c r="C124" s="53" t="s">
        <v>607</v>
      </c>
      <c r="D124" s="53"/>
      <c r="E124" s="32">
        <v>45973</v>
      </c>
      <c r="F124" s="55">
        <v>35</v>
      </c>
      <c r="G124" s="34">
        <f t="shared" si="4"/>
        <v>125</v>
      </c>
      <c r="H124" s="56">
        <v>2.2</v>
      </c>
      <c r="I124" s="56">
        <v>16.9823008849558</v>
      </c>
      <c r="J124" s="56">
        <v>4.1403834095</v>
      </c>
      <c r="K124" s="56">
        <v>47.124</v>
      </c>
      <c r="L124" s="56">
        <v>66.31428</v>
      </c>
      <c r="M124" s="56">
        <v>3.35576736</v>
      </c>
      <c r="N124" s="56">
        <v>8.3555922650112</v>
      </c>
      <c r="O124" s="35">
        <v>0</v>
      </c>
      <c r="P124" s="56">
        <v>1.75129977876106</v>
      </c>
      <c r="Q124" s="53" t="s">
        <v>93</v>
      </c>
      <c r="R124" s="53" t="s">
        <v>94</v>
      </c>
      <c r="S124" s="35">
        <v>6.8</v>
      </c>
      <c r="T124" s="53" t="s">
        <v>608</v>
      </c>
      <c r="U124" s="53">
        <v>229.4</v>
      </c>
      <c r="V124" s="53">
        <v>6.4</v>
      </c>
      <c r="W124" s="51" t="s">
        <v>609</v>
      </c>
      <c r="X124" s="56">
        <v>21.8459166535928</v>
      </c>
      <c r="Y124" s="56">
        <v>46.4641761488095</v>
      </c>
      <c r="Z124" s="53"/>
      <c r="AA124" s="56">
        <v>251.076941779762</v>
      </c>
      <c r="AB124" s="56">
        <v>21.8459166535928</v>
      </c>
      <c r="AC124" s="41">
        <v>0.1</v>
      </c>
      <c r="AD124" s="56">
        <v>18.7149833227581</v>
      </c>
      <c r="AE124" s="56">
        <v>0.114318718164356</v>
      </c>
      <c r="AF124" s="57">
        <v>0.0117891178106992</v>
      </c>
      <c r="AG124" s="57">
        <v>0.0278715662435537</v>
      </c>
      <c r="AH124" s="57">
        <v>0.317221754064519</v>
      </c>
      <c r="AI124" s="44">
        <v>0.1769</v>
      </c>
      <c r="AJ124" s="44">
        <v>0.0336</v>
      </c>
      <c r="AK124" s="45">
        <v>0.0006</v>
      </c>
      <c r="AL124" s="45">
        <v>0</v>
      </c>
      <c r="AM124" s="45">
        <v>0.1125</v>
      </c>
      <c r="AN124" s="57">
        <v>0.0225898142808688</v>
      </c>
      <c r="AO124" s="57">
        <v>0.182609029436004</v>
      </c>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3"/>
      <c r="BX124" s="53"/>
      <c r="BY124" s="53"/>
      <c r="BZ124" s="53"/>
      <c r="CA124" s="53"/>
      <c r="CB124" s="53"/>
      <c r="CC124" s="53"/>
      <c r="CD124" s="53"/>
      <c r="CE124" s="53"/>
      <c r="CF124" s="53"/>
      <c r="CG124" s="53"/>
      <c r="CH124" s="53"/>
      <c r="CI124" s="53"/>
      <c r="CJ124" s="53"/>
      <c r="CK124" s="53"/>
    </row>
    <row r="125" ht="66" spans="1:90">
      <c r="A125" s="53" t="s">
        <v>610</v>
      </c>
      <c r="B125" s="54" t="s">
        <v>611</v>
      </c>
      <c r="C125" s="53" t="s">
        <v>612</v>
      </c>
      <c r="D125" s="53"/>
      <c r="E125" s="32">
        <v>45973</v>
      </c>
      <c r="F125" s="55">
        <v>40</v>
      </c>
      <c r="G125" s="34">
        <f t="shared" si="4"/>
        <v>130</v>
      </c>
      <c r="H125" s="56">
        <v>2.5</v>
      </c>
      <c r="I125" s="56">
        <v>22.9469026548673</v>
      </c>
      <c r="J125" s="56">
        <v>9.2267034717</v>
      </c>
      <c r="K125" s="56">
        <v>55.692</v>
      </c>
      <c r="L125" s="56">
        <v>69.90468</v>
      </c>
      <c r="M125" s="56">
        <v>7.477008</v>
      </c>
      <c r="N125" s="56">
        <v>18.61715175936</v>
      </c>
      <c r="O125" s="35">
        <v>0</v>
      </c>
      <c r="P125" s="56">
        <v>2.36639933628319</v>
      </c>
      <c r="Q125" s="53" t="s">
        <v>93</v>
      </c>
      <c r="R125" s="53" t="s">
        <v>94</v>
      </c>
      <c r="S125" s="35">
        <v>6.8</v>
      </c>
      <c r="T125" s="53" t="s">
        <v>613</v>
      </c>
      <c r="U125" s="53">
        <v>56</v>
      </c>
      <c r="V125" s="53">
        <v>3.44</v>
      </c>
      <c r="W125" s="51" t="s">
        <v>614</v>
      </c>
      <c r="X125" s="56">
        <v>29.7189603090615</v>
      </c>
      <c r="Y125" s="56">
        <v>18.0638373275236</v>
      </c>
      <c r="Z125" s="53"/>
      <c r="AA125" s="56">
        <v>70.6865087692308</v>
      </c>
      <c r="AB125" s="56">
        <v>29.72</v>
      </c>
      <c r="AC125" s="41">
        <v>0.1</v>
      </c>
      <c r="AD125" s="56">
        <v>24.9288212492475</v>
      </c>
      <c r="AE125" s="56">
        <v>0.113544566220347</v>
      </c>
      <c r="AF125" s="57">
        <v>0.0117092833914733</v>
      </c>
      <c r="AG125" s="57">
        <v>0.0456550524092511</v>
      </c>
      <c r="AH125" s="57">
        <v>0.27557200538358</v>
      </c>
      <c r="AI125" s="44">
        <v>0.1769</v>
      </c>
      <c r="AJ125" s="44">
        <v>0.0336</v>
      </c>
      <c r="AK125" s="45">
        <v>0.0006</v>
      </c>
      <c r="AL125" s="45">
        <v>0</v>
      </c>
      <c r="AM125" s="45">
        <v>0.1125</v>
      </c>
      <c r="AN125" s="57">
        <v>0.0369973082099596</v>
      </c>
      <c r="AO125" s="57">
        <v>0.192921784385389</v>
      </c>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3"/>
      <c r="BX125" s="53"/>
      <c r="BY125" s="53"/>
      <c r="BZ125" s="53"/>
      <c r="CA125" s="53"/>
      <c r="CB125" s="53"/>
      <c r="CC125" s="53"/>
      <c r="CD125" s="53"/>
      <c r="CE125" s="53"/>
      <c r="CF125" s="53"/>
      <c r="CG125" s="53"/>
      <c r="CH125" s="53"/>
      <c r="CI125" s="53"/>
      <c r="CJ125" s="53"/>
      <c r="CK125" s="53"/>
    </row>
    <row r="126" ht="33" spans="1:90">
      <c r="A126" s="53" t="s">
        <v>615</v>
      </c>
      <c r="B126" s="54" t="s">
        <v>616</v>
      </c>
      <c r="C126" s="53" t="s">
        <v>617</v>
      </c>
      <c r="D126" s="53"/>
      <c r="E126" s="32">
        <v>45973</v>
      </c>
      <c r="F126" s="55">
        <v>40</v>
      </c>
      <c r="G126" s="34">
        <f t="shared" si="4"/>
        <v>130</v>
      </c>
      <c r="H126" s="56">
        <v>2.5</v>
      </c>
      <c r="I126" s="56">
        <v>17.8141592920354</v>
      </c>
      <c r="J126" s="56">
        <v>6.2131482017</v>
      </c>
      <c r="K126" s="56">
        <v>51.34</v>
      </c>
      <c r="L126" s="56">
        <v>68.23868</v>
      </c>
      <c r="M126" s="56">
        <v>5.035536</v>
      </c>
      <c r="N126" s="56">
        <v>12.53808179712</v>
      </c>
      <c r="O126" s="35">
        <v>0</v>
      </c>
      <c r="P126" s="56">
        <v>1.83708517699115</v>
      </c>
      <c r="Q126" s="53" t="s">
        <v>93</v>
      </c>
      <c r="R126" s="53" t="s">
        <v>94</v>
      </c>
      <c r="S126" s="35">
        <v>6.8</v>
      </c>
      <c r="T126" s="53" t="s">
        <v>618</v>
      </c>
      <c r="U126" s="53">
        <v>150.4</v>
      </c>
      <c r="V126" s="53">
        <v>8.86</v>
      </c>
      <c r="W126" s="51" t="s">
        <v>619</v>
      </c>
      <c r="X126" s="56">
        <v>24.8057458774945</v>
      </c>
      <c r="Y126" s="56">
        <v>26.510153909465</v>
      </c>
      <c r="Z126" s="53"/>
      <c r="AA126" s="56">
        <v>60.9258841666667</v>
      </c>
      <c r="AB126" s="56">
        <v>24.81</v>
      </c>
      <c r="AC126" s="41">
        <v>0.1</v>
      </c>
      <c r="AD126" s="56">
        <v>20.9821428824771</v>
      </c>
      <c r="AE126" s="56">
        <v>0.105591668990418</v>
      </c>
      <c r="AF126" s="57">
        <v>0.0108891408646368</v>
      </c>
      <c r="AG126" s="57">
        <v>0.0368278220457832</v>
      </c>
      <c r="AH126" s="57">
        <v>0.304312777106006</v>
      </c>
      <c r="AI126" s="44">
        <v>0.1769</v>
      </c>
      <c r="AJ126" s="44">
        <v>0.0336</v>
      </c>
      <c r="AK126" s="45">
        <v>0.0006</v>
      </c>
      <c r="AL126" s="45">
        <v>0</v>
      </c>
      <c r="AM126" s="45">
        <v>0.1125</v>
      </c>
      <c r="AN126" s="57">
        <v>0.0298476420798065</v>
      </c>
      <c r="AO126" s="57">
        <v>0.18893094891335</v>
      </c>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3"/>
      <c r="BX126" s="53"/>
      <c r="BY126" s="53"/>
      <c r="BZ126" s="53"/>
      <c r="CA126" s="53"/>
      <c r="CB126" s="53"/>
      <c r="CC126" s="53"/>
      <c r="CD126" s="53"/>
      <c r="CE126" s="53"/>
      <c r="CF126" s="53"/>
      <c r="CG126" s="53"/>
      <c r="CH126" s="53"/>
      <c r="CI126" s="53"/>
      <c r="CJ126" s="53"/>
      <c r="CK126" s="53"/>
    </row>
    <row r="127" ht="66" spans="1:90">
      <c r="A127" s="53" t="s">
        <v>620</v>
      </c>
      <c r="B127" s="54" t="s">
        <v>621</v>
      </c>
      <c r="C127" s="53" t="s">
        <v>622</v>
      </c>
      <c r="D127" s="53"/>
      <c r="E127" s="32">
        <v>45973</v>
      </c>
      <c r="F127" s="55">
        <v>35</v>
      </c>
      <c r="G127" s="34">
        <f t="shared" si="4"/>
        <v>125</v>
      </c>
      <c r="H127" s="56">
        <v>1.7</v>
      </c>
      <c r="I127" s="56">
        <v>20.9203539823009</v>
      </c>
      <c r="J127" s="56">
        <v>4.1403834095</v>
      </c>
      <c r="K127" s="56">
        <v>47.124</v>
      </c>
      <c r="L127" s="56">
        <v>66.31428</v>
      </c>
      <c r="M127" s="56">
        <v>3.35576736</v>
      </c>
      <c r="N127" s="56">
        <v>8.3555922650112</v>
      </c>
      <c r="O127" s="35">
        <v>0</v>
      </c>
      <c r="P127" s="56">
        <v>2.15741150442478</v>
      </c>
      <c r="Q127" s="53" t="s">
        <v>93</v>
      </c>
      <c r="R127" s="53" t="s">
        <v>94</v>
      </c>
      <c r="S127" s="35">
        <v>6.8</v>
      </c>
      <c r="T127" s="53" t="s">
        <v>623</v>
      </c>
      <c r="U127" s="53">
        <v>72.1</v>
      </c>
      <c r="V127" s="53">
        <v>4.33</v>
      </c>
      <c r="W127" s="51" t="s">
        <v>624</v>
      </c>
      <c r="X127" s="56">
        <v>20.4432670720819</v>
      </c>
      <c r="Y127" s="56">
        <v>49.7048628956848</v>
      </c>
      <c r="Z127" s="53"/>
      <c r="AA127" s="56">
        <v>118.031005672054</v>
      </c>
      <c r="AB127" s="56">
        <v>20.4432670720819</v>
      </c>
      <c r="AC127" s="41">
        <v>0.1</v>
      </c>
      <c r="AD127" s="56">
        <v>19.823324349978</v>
      </c>
      <c r="AE127" s="56">
        <v>0.150490752461843</v>
      </c>
      <c r="AF127" s="57">
        <v>0.0155193588476275</v>
      </c>
      <c r="AG127" s="57">
        <v>0.0297838848856636</v>
      </c>
      <c r="AH127" s="57">
        <v>0.338986913176117</v>
      </c>
      <c r="AI127" s="44">
        <v>0.1769</v>
      </c>
      <c r="AJ127" s="44">
        <v>0.0336</v>
      </c>
      <c r="AK127" s="45">
        <v>0.0006</v>
      </c>
      <c r="AL127" s="45">
        <v>0</v>
      </c>
      <c r="AM127" s="45">
        <v>0.1125</v>
      </c>
      <c r="AN127" s="57">
        <v>0.0241397423542901</v>
      </c>
      <c r="AO127" s="57">
        <v>0.117479348274459</v>
      </c>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3"/>
      <c r="BX127" s="53"/>
      <c r="BY127" s="53"/>
      <c r="BZ127" s="53"/>
      <c r="CA127" s="53"/>
      <c r="CB127" s="53"/>
      <c r="CC127" s="53"/>
      <c r="CD127" s="53"/>
      <c r="CE127" s="53"/>
      <c r="CF127" s="53"/>
      <c r="CG127" s="53"/>
      <c r="CH127" s="53"/>
      <c r="CI127" s="53"/>
      <c r="CJ127" s="53"/>
      <c r="CK127" s="53"/>
    </row>
    <row r="128" ht="66" spans="1:90">
      <c r="A128" s="53" t="s">
        <v>625</v>
      </c>
      <c r="B128" s="54" t="s">
        <v>626</v>
      </c>
      <c r="C128" s="53" t="s">
        <v>627</v>
      </c>
      <c r="D128" s="53"/>
      <c r="E128" s="32">
        <v>45973</v>
      </c>
      <c r="F128" s="55">
        <v>40</v>
      </c>
      <c r="G128" s="34">
        <f t="shared" si="4"/>
        <v>130</v>
      </c>
      <c r="H128" s="56">
        <v>3.3</v>
      </c>
      <c r="I128" s="56">
        <v>16.8318584070796</v>
      </c>
      <c r="J128" s="56">
        <v>6.5563110067</v>
      </c>
      <c r="K128" s="56">
        <v>53.516</v>
      </c>
      <c r="L128" s="56">
        <v>68.23868</v>
      </c>
      <c r="M128" s="56">
        <v>5.313792</v>
      </c>
      <c r="N128" s="56">
        <v>13.23091697664</v>
      </c>
      <c r="O128" s="35">
        <v>0</v>
      </c>
      <c r="P128" s="56">
        <v>1.73578539823009</v>
      </c>
      <c r="Q128" s="53" t="s">
        <v>93</v>
      </c>
      <c r="R128" s="53" t="s">
        <v>94</v>
      </c>
      <c r="S128" s="35">
        <v>6.8</v>
      </c>
      <c r="T128" s="53" t="s">
        <v>628</v>
      </c>
      <c r="U128" s="53">
        <v>212.4</v>
      </c>
      <c r="V128" s="53">
        <v>11.08</v>
      </c>
      <c r="W128" s="51" t="s">
        <v>629</v>
      </c>
      <c r="X128" s="56">
        <v>23.5541640596441</v>
      </c>
      <c r="Y128" s="56">
        <v>19.8852764134908</v>
      </c>
      <c r="Z128" s="53"/>
      <c r="AA128" s="56">
        <v>45.6511275</v>
      </c>
      <c r="AB128" s="56">
        <v>23.55</v>
      </c>
      <c r="AC128" s="41">
        <v>0.1</v>
      </c>
      <c r="AD128" s="56">
        <v>21.4193949289734</v>
      </c>
      <c r="AE128" s="56">
        <v>0.105107146291243</v>
      </c>
      <c r="AF128" s="57">
        <v>0.0108391744612844</v>
      </c>
      <c r="AG128" s="57">
        <v>0.0409411203116023</v>
      </c>
      <c r="AH128" s="57">
        <v>0.334182590233546</v>
      </c>
      <c r="AI128" s="44">
        <v>0.1769</v>
      </c>
      <c r="AJ128" s="44">
        <v>0.0336</v>
      </c>
      <c r="AK128" s="45">
        <v>0.0006</v>
      </c>
      <c r="AL128" s="45">
        <v>0</v>
      </c>
      <c r="AM128" s="45">
        <v>0.1125</v>
      </c>
      <c r="AN128" s="57">
        <v>0.0331821656050955</v>
      </c>
      <c r="AO128" s="57">
        <v>0.152147803097229</v>
      </c>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3"/>
      <c r="BX128" s="53"/>
      <c r="BY128" s="53"/>
      <c r="BZ128" s="53"/>
      <c r="CA128" s="53"/>
      <c r="CB128" s="53"/>
      <c r="CC128" s="53"/>
      <c r="CD128" s="53"/>
      <c r="CE128" s="53"/>
      <c r="CF128" s="53"/>
      <c r="CG128" s="53"/>
      <c r="CH128" s="53"/>
      <c r="CI128" s="53"/>
      <c r="CJ128" s="53"/>
      <c r="CK128" s="53"/>
    </row>
    <row r="129" ht="132" spans="1:89">
      <c r="A129" s="53" t="s">
        <v>630</v>
      </c>
      <c r="B129" s="54" t="s">
        <v>631</v>
      </c>
      <c r="C129" s="53" t="s">
        <v>632</v>
      </c>
      <c r="D129" s="53"/>
      <c r="E129" s="32">
        <v>45973</v>
      </c>
      <c r="F129" s="55">
        <v>40</v>
      </c>
      <c r="G129" s="34">
        <f t="shared" si="4"/>
        <v>130</v>
      </c>
      <c r="H129" s="56">
        <v>1.96</v>
      </c>
      <c r="I129" s="56">
        <v>22.7256637168142</v>
      </c>
      <c r="J129" s="56">
        <v>6.990274414</v>
      </c>
      <c r="K129" s="56">
        <v>53.516</v>
      </c>
      <c r="L129" s="56">
        <v>68.23868</v>
      </c>
      <c r="M129" s="56">
        <v>5.664978</v>
      </c>
      <c r="N129" s="56">
        <v>14.10534202176</v>
      </c>
      <c r="O129" s="35">
        <v>0</v>
      </c>
      <c r="P129" s="56">
        <v>2.34358407079646</v>
      </c>
      <c r="Q129" s="53" t="s">
        <v>93</v>
      </c>
      <c r="R129" s="53" t="s">
        <v>94</v>
      </c>
      <c r="S129" s="35">
        <v>6.8</v>
      </c>
      <c r="T129" s="53" t="s">
        <v>633</v>
      </c>
      <c r="U129" s="53">
        <v>571.3</v>
      </c>
      <c r="V129" s="53">
        <v>7.54</v>
      </c>
      <c r="W129" s="51" t="s">
        <v>634</v>
      </c>
      <c r="X129" s="56">
        <v>27.1272989339499</v>
      </c>
      <c r="Y129" s="56">
        <v>60.6772141286306</v>
      </c>
      <c r="Z129" s="53"/>
      <c r="AA129" s="56">
        <v>225.19343467619</v>
      </c>
      <c r="AB129" s="56">
        <v>27.1272989339499</v>
      </c>
      <c r="AC129" s="41">
        <v>0.1</v>
      </c>
      <c r="AD129" s="56">
        <v>23.278488233664</v>
      </c>
      <c r="AE129" s="56">
        <v>0.123197277335164</v>
      </c>
      <c r="AF129" s="57">
        <v>0.0127047192251888</v>
      </c>
      <c r="AG129" s="57">
        <v>0.0378947249401254</v>
      </c>
      <c r="AH129" s="57">
        <v>0.290113660750451</v>
      </c>
      <c r="AI129" s="44">
        <v>0.1769</v>
      </c>
      <c r="AJ129" s="44">
        <v>0.0336</v>
      </c>
      <c r="AK129" s="45">
        <v>0.0006</v>
      </c>
      <c r="AL129" s="45">
        <v>0</v>
      </c>
      <c r="AM129" s="45">
        <v>0.1125</v>
      </c>
      <c r="AN129" s="57">
        <v>0.0307102082676352</v>
      </c>
      <c r="AO129" s="57">
        <v>0.181779409481435</v>
      </c>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c r="BW129" s="53"/>
      <c r="BX129" s="53"/>
      <c r="BY129" s="53"/>
      <c r="BZ129" s="53"/>
      <c r="CA129" s="53"/>
      <c r="CB129" s="53"/>
      <c r="CC129" s="53"/>
      <c r="CD129" s="53"/>
      <c r="CE129" s="53"/>
      <c r="CF129" s="53"/>
      <c r="CG129" s="53"/>
      <c r="CH129" s="53"/>
      <c r="CI129" s="53"/>
      <c r="CJ129" s="53"/>
      <c r="CK129" s="53"/>
    </row>
    <row r="130" ht="165" spans="1:89">
      <c r="A130" s="53" t="s">
        <v>635</v>
      </c>
      <c r="B130" s="54" t="s">
        <v>636</v>
      </c>
      <c r="C130" s="53" t="s">
        <v>637</v>
      </c>
      <c r="D130" s="53"/>
      <c r="E130" s="32">
        <v>45973</v>
      </c>
      <c r="F130" s="55">
        <v>35</v>
      </c>
      <c r="G130" s="34">
        <f t="shared" si="4"/>
        <v>125</v>
      </c>
      <c r="H130" s="56">
        <v>5.3</v>
      </c>
      <c r="I130" s="56">
        <v>26.5663716814159</v>
      </c>
      <c r="J130" s="56">
        <v>5.0944860297</v>
      </c>
      <c r="K130" s="56">
        <v>51.34</v>
      </c>
      <c r="L130" s="56">
        <v>68.23868</v>
      </c>
      <c r="M130" s="56">
        <v>4.12896</v>
      </c>
      <c r="N130" s="56">
        <v>10.2807800832</v>
      </c>
      <c r="O130" s="35">
        <v>0</v>
      </c>
      <c r="P130" s="56">
        <v>2.73965707964602</v>
      </c>
      <c r="Q130" s="53" t="s">
        <v>93</v>
      </c>
      <c r="R130" s="53" t="s">
        <v>94</v>
      </c>
      <c r="S130" s="35">
        <v>6.8</v>
      </c>
      <c r="T130" s="53" t="s">
        <v>638</v>
      </c>
      <c r="U130" s="53">
        <v>248.6</v>
      </c>
      <c r="V130" s="53">
        <v>6.55</v>
      </c>
      <c r="W130" s="51" t="s">
        <v>639</v>
      </c>
      <c r="X130" s="56">
        <v>23.6956081254886</v>
      </c>
      <c r="Y130" s="56">
        <v>183.81772962963</v>
      </c>
      <c r="Z130" s="53"/>
      <c r="AA130" s="56">
        <v>1173.7020318254</v>
      </c>
      <c r="AB130" s="56">
        <v>26.99</v>
      </c>
      <c r="AC130" s="41">
        <v>0.1</v>
      </c>
      <c r="AD130" s="56">
        <v>22.9286940214011</v>
      </c>
      <c r="AE130" s="56">
        <v>0.144750624857877</v>
      </c>
      <c r="AF130" s="57">
        <v>0.0149274081884686</v>
      </c>
      <c r="AG130" s="57">
        <v>0.0277580260101781</v>
      </c>
      <c r="AH130" s="57">
        <v>0.279733234531308</v>
      </c>
      <c r="AI130" s="44">
        <v>0.1769</v>
      </c>
      <c r="AJ130" s="44">
        <v>0.0336</v>
      </c>
      <c r="AK130" s="45">
        <v>0.0006</v>
      </c>
      <c r="AL130" s="45">
        <v>0</v>
      </c>
      <c r="AM130" s="45">
        <v>0.1125</v>
      </c>
      <c r="AN130" s="57">
        <v>0.0224972211930345</v>
      </c>
      <c r="AO130" s="57">
        <v>0.186733485219133</v>
      </c>
      <c r="AP130" s="53"/>
      <c r="AQ130" s="53"/>
      <c r="AR130" s="53"/>
      <c r="AS130" s="53"/>
      <c r="AT130" s="53"/>
      <c r="AU130" s="53"/>
      <c r="AV130" s="53"/>
      <c r="AW130" s="53"/>
      <c r="AX130" s="53"/>
      <c r="AY130" s="53"/>
      <c r="AZ130" s="53"/>
      <c r="BA130" s="53"/>
      <c r="BB130" s="53"/>
      <c r="BC130" s="53"/>
      <c r="BD130" s="53"/>
      <c r="BE130" s="53"/>
      <c r="BF130" s="53"/>
      <c r="BG130" s="53"/>
      <c r="BH130" s="53"/>
      <c r="BI130" s="53"/>
      <c r="BJ130" s="53"/>
      <c r="BK130" s="53"/>
      <c r="BL130" s="53"/>
      <c r="BM130" s="53"/>
      <c r="BN130" s="53"/>
      <c r="BO130" s="53"/>
      <c r="BP130" s="53"/>
      <c r="BQ130" s="53"/>
      <c r="BR130" s="53"/>
      <c r="BS130" s="53"/>
      <c r="BT130" s="53"/>
      <c r="BU130" s="53"/>
      <c r="BV130" s="53"/>
      <c r="BW130" s="53"/>
      <c r="BX130" s="53"/>
      <c r="BY130" s="53"/>
      <c r="BZ130" s="53"/>
      <c r="CA130" s="53"/>
      <c r="CB130" s="53"/>
      <c r="CC130" s="53"/>
      <c r="CD130" s="53"/>
      <c r="CE130" s="53"/>
      <c r="CF130" s="53"/>
      <c r="CG130" s="53"/>
      <c r="CH130" s="53"/>
      <c r="CI130" s="53"/>
      <c r="CJ130" s="53"/>
      <c r="CK130" s="53"/>
    </row>
    <row r="131" ht="132" spans="1:89">
      <c r="A131" s="53" t="s">
        <v>640</v>
      </c>
      <c r="B131" s="54" t="s">
        <v>641</v>
      </c>
      <c r="C131" s="53" t="s">
        <v>642</v>
      </c>
      <c r="D131" s="53"/>
      <c r="E131" s="32">
        <v>45973</v>
      </c>
      <c r="F131" s="55">
        <v>35</v>
      </c>
      <c r="G131" s="34">
        <f t="shared" ref="G131:G194" si="6">F131+15+15+60</f>
        <v>125</v>
      </c>
      <c r="H131" s="56">
        <v>3.34</v>
      </c>
      <c r="I131" s="56">
        <v>20.2743362831858</v>
      </c>
      <c r="J131" s="56">
        <v>3.3954268776</v>
      </c>
      <c r="K131" s="56">
        <v>47.124</v>
      </c>
      <c r="L131" s="56">
        <v>66.31428</v>
      </c>
      <c r="M131" s="56">
        <v>2.75195184</v>
      </c>
      <c r="N131" s="56">
        <v>6.8521399254528</v>
      </c>
      <c r="O131" s="35">
        <v>0</v>
      </c>
      <c r="P131" s="56">
        <v>2.09079092920354</v>
      </c>
      <c r="Q131" s="53" t="s">
        <v>93</v>
      </c>
      <c r="R131" s="53" t="s">
        <v>94</v>
      </c>
      <c r="S131" s="35">
        <v>6.8</v>
      </c>
      <c r="T131" s="53" t="s">
        <v>643</v>
      </c>
      <c r="U131" s="53">
        <v>34.5</v>
      </c>
      <c r="V131" s="53">
        <v>0.990000000000009</v>
      </c>
      <c r="W131" s="51" t="s">
        <v>644</v>
      </c>
      <c r="X131" s="56">
        <v>27.5333495991316</v>
      </c>
      <c r="Y131" s="56">
        <v>103.641435109559</v>
      </c>
      <c r="Z131" s="53"/>
      <c r="AA131" s="56">
        <v>389.662945714286</v>
      </c>
      <c r="AB131" s="56">
        <v>27.53</v>
      </c>
      <c r="AC131" s="41">
        <v>0.1</v>
      </c>
      <c r="AD131" s="56">
        <v>19.2973899686669</v>
      </c>
      <c r="AE131" s="56">
        <v>0.108300764316926</v>
      </c>
      <c r="AF131" s="57">
        <v>0.011168516320183</v>
      </c>
      <c r="AG131" s="57">
        <v>0.0181375765346894</v>
      </c>
      <c r="AH131" s="57">
        <v>0.251725390483109</v>
      </c>
      <c r="AI131" s="44">
        <v>0.1769</v>
      </c>
      <c r="AJ131" s="44">
        <v>0.0336</v>
      </c>
      <c r="AK131" s="45">
        <v>0.0006</v>
      </c>
      <c r="AL131" s="45">
        <v>0</v>
      </c>
      <c r="AM131" s="45">
        <v>0.1125</v>
      </c>
      <c r="AN131" s="57">
        <v>0.0147002833272793</v>
      </c>
      <c r="AO131" s="57">
        <v>0.272367469017813</v>
      </c>
      <c r="AP131" s="53"/>
      <c r="AQ131" s="53"/>
      <c r="AR131" s="53"/>
      <c r="AS131" s="53"/>
      <c r="AT131" s="53"/>
      <c r="AU131" s="53"/>
      <c r="AV131" s="53"/>
      <c r="AW131" s="53"/>
      <c r="AX131" s="53"/>
      <c r="AY131" s="53"/>
      <c r="AZ131" s="53"/>
      <c r="BA131" s="53"/>
      <c r="BB131" s="53"/>
      <c r="BC131" s="53"/>
      <c r="BD131" s="53"/>
      <c r="BE131" s="53"/>
      <c r="BF131" s="53"/>
      <c r="BG131" s="53"/>
      <c r="BH131" s="53"/>
      <c r="BI131" s="53"/>
      <c r="BJ131" s="53"/>
      <c r="BK131" s="53"/>
      <c r="BL131" s="53"/>
      <c r="BM131" s="53"/>
      <c r="BN131" s="53"/>
      <c r="BO131" s="53"/>
      <c r="BP131" s="53"/>
      <c r="BQ131" s="53"/>
      <c r="BR131" s="53"/>
      <c r="BS131" s="53"/>
      <c r="BT131" s="53"/>
      <c r="BU131" s="53"/>
      <c r="BV131" s="53"/>
      <c r="BW131" s="53"/>
      <c r="BX131" s="53"/>
      <c r="BY131" s="53"/>
      <c r="BZ131" s="53"/>
      <c r="CA131" s="53"/>
      <c r="CB131" s="53"/>
      <c r="CC131" s="53"/>
      <c r="CD131" s="53"/>
      <c r="CE131" s="53"/>
      <c r="CF131" s="53"/>
      <c r="CG131" s="53"/>
      <c r="CH131" s="53"/>
      <c r="CI131" s="53"/>
      <c r="CJ131" s="53"/>
      <c r="CK131" s="53"/>
    </row>
    <row r="132" ht="165" spans="1:89">
      <c r="A132" s="53" t="s">
        <v>645</v>
      </c>
      <c r="B132" s="54" t="s">
        <v>646</v>
      </c>
      <c r="C132" s="53" t="s">
        <v>647</v>
      </c>
      <c r="D132" s="53"/>
      <c r="E132" s="32">
        <v>45973</v>
      </c>
      <c r="F132" s="55">
        <v>35</v>
      </c>
      <c r="G132" s="34">
        <f t="shared" si="6"/>
        <v>125</v>
      </c>
      <c r="H132" s="56">
        <v>3.6</v>
      </c>
      <c r="I132" s="56">
        <v>19.1238938053097</v>
      </c>
      <c r="J132" s="56">
        <v>3.820756359</v>
      </c>
      <c r="K132" s="56">
        <v>47.124</v>
      </c>
      <c r="L132" s="56">
        <v>66.31428</v>
      </c>
      <c r="M132" s="56">
        <v>3.09672</v>
      </c>
      <c r="N132" s="56">
        <v>7.7105850624</v>
      </c>
      <c r="O132" s="35">
        <v>0</v>
      </c>
      <c r="P132" s="56">
        <v>1.97215154867257</v>
      </c>
      <c r="Q132" s="53" t="s">
        <v>93</v>
      </c>
      <c r="R132" s="53" t="s">
        <v>94</v>
      </c>
      <c r="S132" s="35">
        <v>6.8</v>
      </c>
      <c r="T132" s="53" t="s">
        <v>648</v>
      </c>
      <c r="U132" s="53">
        <v>65.71</v>
      </c>
      <c r="V132" s="53">
        <v>0.980000000000018</v>
      </c>
      <c r="W132" s="51" t="s">
        <v>649</v>
      </c>
      <c r="X132" s="56">
        <v>26.7783016517418</v>
      </c>
      <c r="Y132" s="56">
        <v>179.616600880766</v>
      </c>
      <c r="Z132" s="53"/>
      <c r="AA132" s="56">
        <v>778.647001761531</v>
      </c>
      <c r="AB132" s="56">
        <v>26.78</v>
      </c>
      <c r="AC132" s="41">
        <v>0.1</v>
      </c>
      <c r="AD132" s="56">
        <v>19.1700824879022</v>
      </c>
      <c r="AE132" s="56">
        <v>0.105016330258038</v>
      </c>
      <c r="AF132" s="57">
        <v>0.0108298090578602</v>
      </c>
      <c r="AG132" s="57">
        <v>0.0209811775633704</v>
      </c>
      <c r="AH132" s="57">
        <v>0.258775205377147</v>
      </c>
      <c r="AI132" s="44">
        <v>0.1769</v>
      </c>
      <c r="AJ132" s="44">
        <v>0.0336</v>
      </c>
      <c r="AK132" s="45">
        <v>0.0006</v>
      </c>
      <c r="AL132" s="45">
        <v>0</v>
      </c>
      <c r="AM132" s="45">
        <v>0.1125</v>
      </c>
      <c r="AN132" s="57">
        <v>0.0170052277819268</v>
      </c>
      <c r="AO132" s="57">
        <v>0.263792249961658</v>
      </c>
      <c r="AP132" s="53"/>
      <c r="AQ132" s="53"/>
      <c r="AR132" s="53"/>
      <c r="AS132" s="53"/>
      <c r="AT132" s="53"/>
      <c r="AU132" s="53"/>
      <c r="AV132" s="53"/>
      <c r="AW132" s="53"/>
      <c r="AX132" s="53"/>
      <c r="AY132" s="53"/>
      <c r="AZ132" s="53"/>
      <c r="BA132" s="53"/>
      <c r="BB132" s="53"/>
      <c r="BC132" s="53"/>
      <c r="BD132" s="53"/>
      <c r="BE132" s="53"/>
      <c r="BF132" s="53"/>
      <c r="BG132" s="53"/>
      <c r="BH132" s="53"/>
      <c r="BI132" s="53"/>
      <c r="BJ132" s="53"/>
      <c r="BK132" s="53"/>
      <c r="BL132" s="53"/>
      <c r="BM132" s="53"/>
      <c r="BN132" s="53"/>
      <c r="BO132" s="53"/>
      <c r="BP132" s="53"/>
      <c r="BQ132" s="53"/>
      <c r="BR132" s="53"/>
      <c r="BS132" s="53"/>
      <c r="BT132" s="53"/>
      <c r="BU132" s="53"/>
      <c r="BV132" s="53"/>
      <c r="BW132" s="53"/>
      <c r="BX132" s="53"/>
      <c r="BY132" s="53"/>
      <c r="BZ132" s="53"/>
      <c r="CA132" s="53"/>
      <c r="CB132" s="53"/>
      <c r="CC132" s="53"/>
      <c r="CD132" s="53"/>
      <c r="CE132" s="53"/>
      <c r="CF132" s="53"/>
      <c r="CG132" s="53"/>
      <c r="CH132" s="53"/>
      <c r="CI132" s="53"/>
      <c r="CJ132" s="53"/>
      <c r="CK132" s="53"/>
    </row>
    <row r="133" ht="165" spans="1:89">
      <c r="A133" s="53" t="s">
        <v>650</v>
      </c>
      <c r="B133" s="54" t="s">
        <v>651</v>
      </c>
      <c r="C133" s="53" t="s">
        <v>652</v>
      </c>
      <c r="D133" s="53"/>
      <c r="E133" s="32">
        <v>45973</v>
      </c>
      <c r="F133" s="55">
        <v>40</v>
      </c>
      <c r="G133" s="34">
        <f t="shared" si="6"/>
        <v>130</v>
      </c>
      <c r="H133" s="56">
        <v>2.5</v>
      </c>
      <c r="I133" s="56">
        <v>23.2920353982301</v>
      </c>
      <c r="J133" s="56">
        <v>4.3463825841</v>
      </c>
      <c r="K133" s="56">
        <v>47.124</v>
      </c>
      <c r="L133" s="56">
        <v>66.31428</v>
      </c>
      <c r="M133" s="56">
        <v>3.522519</v>
      </c>
      <c r="N133" s="56">
        <v>8.77079050848</v>
      </c>
      <c r="O133" s="35">
        <v>0</v>
      </c>
      <c r="P133" s="56">
        <v>2.40199115044248</v>
      </c>
      <c r="Q133" s="53" t="s">
        <v>93</v>
      </c>
      <c r="R133" s="53" t="s">
        <v>94</v>
      </c>
      <c r="S133" s="35">
        <v>6.8</v>
      </c>
      <c r="T133" s="53" t="s">
        <v>653</v>
      </c>
      <c r="U133" s="53">
        <v>43.26</v>
      </c>
      <c r="V133" s="53">
        <v>1.3599999999999</v>
      </c>
      <c r="W133" s="51" t="s">
        <v>654</v>
      </c>
      <c r="X133" s="56">
        <v>26.0048233909103</v>
      </c>
      <c r="Y133" s="56">
        <v>104.568565018518</v>
      </c>
      <c r="Z133" s="53"/>
      <c r="AA133" s="56">
        <v>691.955656609523</v>
      </c>
      <c r="AB133" s="56">
        <v>26</v>
      </c>
      <c r="AC133" s="41">
        <v>0.1</v>
      </c>
      <c r="AD133" s="56">
        <v>20.5859207588614</v>
      </c>
      <c r="AE133" s="56">
        <v>0.131742281664197</v>
      </c>
      <c r="AF133" s="57">
        <v>0.0135859227966204</v>
      </c>
      <c r="AG133" s="57">
        <v>0.0245836119010181</v>
      </c>
      <c r="AH133" s="57">
        <v>0.266538461538462</v>
      </c>
      <c r="AI133" s="44">
        <v>0.1769</v>
      </c>
      <c r="AJ133" s="44">
        <v>0.0336</v>
      </c>
      <c r="AK133" s="45">
        <v>0.0006</v>
      </c>
      <c r="AL133" s="45">
        <v>0</v>
      </c>
      <c r="AM133" s="45">
        <v>0.1125</v>
      </c>
      <c r="AN133" s="57">
        <v>0.01992375</v>
      </c>
      <c r="AO133" s="57">
        <v>0.220025972099702</v>
      </c>
      <c r="AP133" s="53"/>
      <c r="AQ133" s="53"/>
      <c r="AR133" s="53"/>
      <c r="AS133" s="53"/>
      <c r="AT133" s="53"/>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c r="BS133" s="53"/>
      <c r="BT133" s="53"/>
      <c r="BU133" s="53"/>
      <c r="BV133" s="53"/>
      <c r="BW133" s="53"/>
      <c r="BX133" s="53"/>
      <c r="BY133" s="53"/>
      <c r="BZ133" s="53"/>
      <c r="CA133" s="53"/>
      <c r="CB133" s="53"/>
      <c r="CC133" s="53"/>
      <c r="CD133" s="53"/>
      <c r="CE133" s="53"/>
      <c r="CF133" s="53"/>
      <c r="CG133" s="53"/>
      <c r="CH133" s="53"/>
      <c r="CI133" s="53"/>
      <c r="CJ133" s="53"/>
      <c r="CK133" s="53"/>
    </row>
    <row r="134" ht="99" spans="1:89">
      <c r="A134" s="53" t="s">
        <v>655</v>
      </c>
      <c r="B134" s="54" t="s">
        <v>656</v>
      </c>
      <c r="C134" s="53" t="s">
        <v>657</v>
      </c>
      <c r="D134" s="53"/>
      <c r="E134" s="32">
        <v>45973</v>
      </c>
      <c r="F134" s="55">
        <v>35</v>
      </c>
      <c r="G134" s="34">
        <f t="shared" si="6"/>
        <v>125</v>
      </c>
      <c r="H134" s="56">
        <v>3.3</v>
      </c>
      <c r="I134" s="56">
        <v>23.8849557522124</v>
      </c>
      <c r="J134" s="56">
        <v>5.3160115949</v>
      </c>
      <c r="K134" s="56">
        <v>51.34</v>
      </c>
      <c r="L134" s="56">
        <v>68.23868</v>
      </c>
      <c r="M134" s="56">
        <v>4.30848</v>
      </c>
      <c r="N134" s="56">
        <v>10.7277705216</v>
      </c>
      <c r="O134" s="35">
        <v>0</v>
      </c>
      <c r="P134" s="56">
        <v>2.4631360619469</v>
      </c>
      <c r="Q134" s="53" t="s">
        <v>93</v>
      </c>
      <c r="R134" s="53" t="s">
        <v>94</v>
      </c>
      <c r="S134" s="35">
        <v>6.8</v>
      </c>
      <c r="T134" s="53" t="s">
        <v>658</v>
      </c>
      <c r="U134" s="53">
        <v>175.96</v>
      </c>
      <c r="V134" s="53">
        <v>6.56999999999994</v>
      </c>
      <c r="W134" s="51" t="s">
        <v>659</v>
      </c>
      <c r="X134" s="56">
        <v>25.6339000292299</v>
      </c>
      <c r="Y134" s="56">
        <v>117.411402192422</v>
      </c>
      <c r="Z134" s="53"/>
      <c r="AA134" s="56">
        <v>355.222218333333</v>
      </c>
      <c r="AB134" s="56">
        <v>25.63</v>
      </c>
      <c r="AC134" s="41">
        <v>0.1</v>
      </c>
      <c r="AD134" s="56">
        <v>22.2763459324252</v>
      </c>
      <c r="AE134" s="56">
        <v>0.137046176081639</v>
      </c>
      <c r="AF134" s="57">
        <v>0.014132886908419</v>
      </c>
      <c r="AG134" s="57">
        <v>0.0305020058921071</v>
      </c>
      <c r="AH134" s="57">
        <v>0.294576667967226</v>
      </c>
      <c r="AI134" s="44">
        <v>0.1769</v>
      </c>
      <c r="AJ134" s="44">
        <v>0.0336</v>
      </c>
      <c r="AK134" s="45">
        <v>0.0006</v>
      </c>
      <c r="AL134" s="45">
        <v>0</v>
      </c>
      <c r="AM134" s="45">
        <v>0.1125</v>
      </c>
      <c r="AN134" s="57">
        <v>0.0247210300429185</v>
      </c>
      <c r="AO134" s="57">
        <v>0.17542123310769</v>
      </c>
      <c r="AP134" s="53"/>
      <c r="AQ134" s="53"/>
      <c r="AR134" s="53"/>
      <c r="AS134" s="53"/>
      <c r="AT134" s="53"/>
      <c r="AU134" s="53"/>
      <c r="AV134" s="53"/>
      <c r="AW134" s="53"/>
      <c r="AX134" s="53"/>
      <c r="AY134" s="53"/>
      <c r="AZ134" s="53"/>
      <c r="BA134" s="53"/>
      <c r="BB134" s="53"/>
      <c r="BC134" s="53"/>
      <c r="BD134" s="53"/>
      <c r="BE134" s="53"/>
      <c r="BF134" s="53"/>
      <c r="BG134" s="53"/>
      <c r="BH134" s="53"/>
      <c r="BI134" s="53"/>
      <c r="BJ134" s="53"/>
      <c r="BK134" s="53"/>
      <c r="BL134" s="53"/>
      <c r="BM134" s="53"/>
      <c r="BN134" s="53"/>
      <c r="BO134" s="53"/>
      <c r="BP134" s="53"/>
      <c r="BQ134" s="53"/>
      <c r="BR134" s="53"/>
      <c r="BS134" s="53"/>
      <c r="BT134" s="53"/>
      <c r="BU134" s="53"/>
      <c r="BV134" s="53"/>
      <c r="BW134" s="53"/>
      <c r="BX134" s="53"/>
      <c r="BY134" s="53"/>
      <c r="BZ134" s="53"/>
      <c r="CA134" s="53"/>
      <c r="CB134" s="53"/>
      <c r="CC134" s="53"/>
      <c r="CD134" s="53"/>
      <c r="CE134" s="53"/>
      <c r="CF134" s="53"/>
      <c r="CG134" s="53"/>
      <c r="CH134" s="53"/>
      <c r="CI134" s="53"/>
      <c r="CJ134" s="53"/>
      <c r="CK134" s="53"/>
    </row>
    <row r="135" ht="66" spans="1:89">
      <c r="A135" s="53" t="s">
        <v>660</v>
      </c>
      <c r="B135" s="54" t="s">
        <v>661</v>
      </c>
      <c r="C135" s="53" t="s">
        <v>662</v>
      </c>
      <c r="D135" s="53"/>
      <c r="E135" s="32">
        <v>45973</v>
      </c>
      <c r="F135" s="55">
        <v>35</v>
      </c>
      <c r="G135" s="34">
        <f t="shared" si="6"/>
        <v>125</v>
      </c>
      <c r="H135" s="56">
        <v>2.69</v>
      </c>
      <c r="I135" s="56">
        <v>19.283185840708</v>
      </c>
      <c r="J135" s="56">
        <v>3.820756359</v>
      </c>
      <c r="K135" s="56">
        <v>47.124</v>
      </c>
      <c r="L135" s="56">
        <v>66.31428</v>
      </c>
      <c r="M135" s="56">
        <v>3.09672</v>
      </c>
      <c r="N135" s="56">
        <v>7.7105850624</v>
      </c>
      <c r="O135" s="35">
        <v>0</v>
      </c>
      <c r="P135" s="56">
        <v>1.98857853982301</v>
      </c>
      <c r="Q135" s="53" t="s">
        <v>93</v>
      </c>
      <c r="R135" s="53" t="s">
        <v>94</v>
      </c>
      <c r="S135" s="35">
        <v>6.8</v>
      </c>
      <c r="T135" s="53" t="s">
        <v>663</v>
      </c>
      <c r="U135" s="53">
        <v>84.83</v>
      </c>
      <c r="V135" s="53">
        <v>6.06999999999994</v>
      </c>
      <c r="W135" s="51" t="s">
        <v>664</v>
      </c>
      <c r="X135" s="56">
        <v>28.6421235475508</v>
      </c>
      <c r="Y135" s="56">
        <v>83.4563369341564</v>
      </c>
      <c r="Z135" s="53"/>
      <c r="AA135" s="56">
        <v>182.97645</v>
      </c>
      <c r="AB135" s="56">
        <v>28.64</v>
      </c>
      <c r="AC135" s="41">
        <v>0.1</v>
      </c>
      <c r="AD135" s="56">
        <v>19.2149142597897</v>
      </c>
      <c r="AE135" s="56">
        <v>0.0990140580877627</v>
      </c>
      <c r="AF135" s="57">
        <v>0.0102108247403005</v>
      </c>
      <c r="AG135" s="57">
        <v>0.0196185731545761</v>
      </c>
      <c r="AH135" s="57">
        <v>0.241969273743017</v>
      </c>
      <c r="AI135" s="44">
        <v>0.1769</v>
      </c>
      <c r="AJ135" s="44">
        <v>0.0336</v>
      </c>
      <c r="AK135" s="45">
        <v>0.0006</v>
      </c>
      <c r="AL135" s="45">
        <v>0</v>
      </c>
      <c r="AM135" s="45">
        <v>0.1125</v>
      </c>
      <c r="AN135" s="57">
        <v>0.0159008379888268</v>
      </c>
      <c r="AO135" s="57">
        <v>0.289686432285517</v>
      </c>
      <c r="AP135" s="53"/>
      <c r="AQ135" s="53"/>
      <c r="AR135" s="53"/>
      <c r="AS135" s="53"/>
      <c r="AT135" s="53"/>
      <c r="AU135" s="53"/>
      <c r="AV135" s="53"/>
      <c r="AW135" s="53"/>
      <c r="AX135" s="53"/>
      <c r="AY135" s="53"/>
      <c r="AZ135" s="53"/>
      <c r="BA135" s="53"/>
      <c r="BB135" s="53"/>
      <c r="BC135" s="53"/>
      <c r="BD135" s="53"/>
      <c r="BE135" s="53"/>
      <c r="BF135" s="53"/>
      <c r="BG135" s="53"/>
      <c r="BH135" s="53"/>
      <c r="BI135" s="53"/>
      <c r="BJ135" s="53"/>
      <c r="BK135" s="53"/>
      <c r="BL135" s="53"/>
      <c r="BM135" s="53"/>
      <c r="BN135" s="53"/>
      <c r="BO135" s="53"/>
      <c r="BP135" s="53"/>
      <c r="BQ135" s="53"/>
      <c r="BR135" s="53"/>
      <c r="BS135" s="53"/>
      <c r="BT135" s="53"/>
      <c r="BU135" s="53"/>
      <c r="BV135" s="53"/>
      <c r="BW135" s="53"/>
      <c r="BX135" s="53"/>
      <c r="BY135" s="53"/>
      <c r="BZ135" s="53"/>
      <c r="CA135" s="53"/>
      <c r="CB135" s="53"/>
      <c r="CC135" s="53"/>
      <c r="CD135" s="53"/>
      <c r="CE135" s="53"/>
      <c r="CF135" s="53"/>
      <c r="CG135" s="53"/>
      <c r="CH135" s="53"/>
      <c r="CI135" s="53"/>
      <c r="CJ135" s="53"/>
      <c r="CK135" s="53"/>
    </row>
    <row r="136" ht="33" spans="1:89">
      <c r="A136" s="53" t="s">
        <v>665</v>
      </c>
      <c r="B136" s="54" t="s">
        <v>666</v>
      </c>
      <c r="C136" s="53" t="s">
        <v>667</v>
      </c>
      <c r="D136" s="53"/>
      <c r="E136" s="32">
        <v>45973</v>
      </c>
      <c r="F136" s="55">
        <v>35</v>
      </c>
      <c r="G136" s="34">
        <f t="shared" si="6"/>
        <v>125</v>
      </c>
      <c r="H136" s="56">
        <v>1.9</v>
      </c>
      <c r="I136" s="56">
        <v>21.5309734513274</v>
      </c>
      <c r="J136" s="56">
        <v>5.0944860297</v>
      </c>
      <c r="K136" s="56">
        <v>51.34</v>
      </c>
      <c r="L136" s="56">
        <v>68.23868</v>
      </c>
      <c r="M136" s="56">
        <v>4.12896</v>
      </c>
      <c r="N136" s="56">
        <v>10.2807800832</v>
      </c>
      <c r="O136" s="35">
        <v>0</v>
      </c>
      <c r="P136" s="56">
        <v>2.22038163716814</v>
      </c>
      <c r="Q136" s="53" t="s">
        <v>93</v>
      </c>
      <c r="R136" s="53" t="s">
        <v>94</v>
      </c>
      <c r="S136" s="35">
        <v>6.8</v>
      </c>
      <c r="T136" s="53" t="s">
        <v>668</v>
      </c>
      <c r="U136" s="53">
        <v>34.26</v>
      </c>
      <c r="V136" s="53">
        <v>3.92000000000007</v>
      </c>
      <c r="W136" s="51" t="s">
        <v>669</v>
      </c>
      <c r="X136" s="56">
        <v>26.5512106517719</v>
      </c>
      <c r="Y136" s="56">
        <v>39.4081685660019</v>
      </c>
      <c r="Z136" s="53"/>
      <c r="AA136" s="56">
        <v>91.6655</v>
      </c>
      <c r="AB136" s="56">
        <v>26.55</v>
      </c>
      <c r="AC136" s="41">
        <v>0.1</v>
      </c>
      <c r="AD136" s="56">
        <v>21.5115118989559</v>
      </c>
      <c r="AE136" s="56">
        <v>0.119258742945206</v>
      </c>
      <c r="AF136" s="57">
        <v>0.0122985578662243</v>
      </c>
      <c r="AG136" s="57">
        <v>0.0282180460269192</v>
      </c>
      <c r="AH136" s="57">
        <v>0.284369114877589</v>
      </c>
      <c r="AI136" s="44">
        <v>0.1769</v>
      </c>
      <c r="AJ136" s="44">
        <v>0.0336</v>
      </c>
      <c r="AK136" s="45">
        <v>0.0006</v>
      </c>
      <c r="AL136" s="45">
        <v>0</v>
      </c>
      <c r="AM136" s="45">
        <v>0.1125</v>
      </c>
      <c r="AN136" s="57">
        <v>0.0228700564971751</v>
      </c>
      <c r="AO136" s="57">
        <v>0.209385481786887</v>
      </c>
      <c r="AP136" s="53"/>
      <c r="AQ136" s="53"/>
      <c r="AR136" s="53"/>
      <c r="AS136" s="53"/>
      <c r="AT136" s="53"/>
      <c r="AU136" s="53"/>
      <c r="AV136" s="53"/>
      <c r="AW136" s="53"/>
      <c r="AX136" s="53"/>
      <c r="AY136" s="53"/>
      <c r="AZ136" s="53"/>
      <c r="BA136" s="53"/>
      <c r="BB136" s="53"/>
      <c r="BC136" s="53"/>
      <c r="BD136" s="53"/>
      <c r="BE136" s="53"/>
      <c r="BF136" s="53"/>
      <c r="BG136" s="53"/>
      <c r="BH136" s="53"/>
      <c r="BI136" s="53"/>
      <c r="BJ136" s="53"/>
      <c r="BK136" s="53"/>
      <c r="BL136" s="53"/>
      <c r="BM136" s="53"/>
      <c r="BN136" s="53"/>
      <c r="BO136" s="53"/>
      <c r="BP136" s="53"/>
      <c r="BQ136" s="53"/>
      <c r="BR136" s="53"/>
      <c r="BS136" s="53"/>
      <c r="BT136" s="53"/>
      <c r="BU136" s="53"/>
      <c r="BV136" s="53"/>
      <c r="BW136" s="53"/>
      <c r="BX136" s="53"/>
      <c r="BY136" s="53"/>
      <c r="BZ136" s="53"/>
      <c r="CA136" s="53"/>
      <c r="CB136" s="53"/>
      <c r="CC136" s="53"/>
      <c r="CD136" s="53"/>
      <c r="CE136" s="53"/>
      <c r="CF136" s="53"/>
      <c r="CG136" s="53"/>
      <c r="CH136" s="53"/>
      <c r="CI136" s="53"/>
      <c r="CJ136" s="53"/>
      <c r="CK136" s="53"/>
    </row>
    <row r="137" ht="99" spans="1:89">
      <c r="A137" s="53" t="s">
        <v>670</v>
      </c>
      <c r="B137" s="54" t="s">
        <v>671</v>
      </c>
      <c r="C137" s="53" t="s">
        <v>672</v>
      </c>
      <c r="D137" s="53"/>
      <c r="E137" s="32">
        <v>45973</v>
      </c>
      <c r="F137" s="55">
        <v>35</v>
      </c>
      <c r="G137" s="34">
        <f t="shared" si="6"/>
        <v>125</v>
      </c>
      <c r="H137" s="56">
        <v>2.93</v>
      </c>
      <c r="I137" s="56">
        <v>18.5221238938053</v>
      </c>
      <c r="J137" s="56">
        <v>5.0944860297</v>
      </c>
      <c r="K137" s="56">
        <v>51.34</v>
      </c>
      <c r="L137" s="56">
        <v>68.23868</v>
      </c>
      <c r="M137" s="56">
        <v>4.12896</v>
      </c>
      <c r="N137" s="56">
        <v>10.2807800832</v>
      </c>
      <c r="O137" s="35">
        <v>0</v>
      </c>
      <c r="P137" s="56">
        <v>1.91009402654867</v>
      </c>
      <c r="Q137" s="53" t="s">
        <v>93</v>
      </c>
      <c r="R137" s="53" t="s">
        <v>94</v>
      </c>
      <c r="S137" s="35">
        <v>6.8</v>
      </c>
      <c r="T137" s="53" t="s">
        <v>673</v>
      </c>
      <c r="U137" s="53">
        <v>82.35</v>
      </c>
      <c r="V137" s="53">
        <v>11.1400000000001</v>
      </c>
      <c r="W137" s="51" t="s">
        <v>674</v>
      </c>
      <c r="X137" s="56">
        <v>26.5832165465617</v>
      </c>
      <c r="Y137" s="56">
        <v>90.6883463876782</v>
      </c>
      <c r="Z137" s="53"/>
      <c r="AA137" s="56">
        <v>264.469047083333</v>
      </c>
      <c r="AB137" s="56">
        <v>26.58</v>
      </c>
      <c r="AC137" s="41">
        <v>0.1</v>
      </c>
      <c r="AD137" s="56">
        <v>20.66468954108</v>
      </c>
      <c r="AE137" s="56">
        <v>0.102477116218548</v>
      </c>
      <c r="AF137" s="57">
        <v>0.0105679526100378</v>
      </c>
      <c r="AG137" s="57">
        <v>0.0281861972165051</v>
      </c>
      <c r="AH137" s="57">
        <v>0.284048156508653</v>
      </c>
      <c r="AI137" s="44">
        <v>0.1769</v>
      </c>
      <c r="AJ137" s="44">
        <v>0.0336</v>
      </c>
      <c r="AK137" s="45">
        <v>0.0006</v>
      </c>
      <c r="AL137" s="45">
        <v>0</v>
      </c>
      <c r="AM137" s="45">
        <v>0.1125</v>
      </c>
      <c r="AN137" s="57">
        <v>0.0228442437923251</v>
      </c>
      <c r="AO137" s="57">
        <v>0.228276333653931</v>
      </c>
      <c r="AP137" s="53"/>
      <c r="AQ137" s="53"/>
      <c r="AR137" s="53"/>
      <c r="AS137" s="53"/>
      <c r="AT137" s="53"/>
      <c r="AU137" s="53"/>
      <c r="AV137" s="53"/>
      <c r="AW137" s="53"/>
      <c r="AX137" s="53"/>
      <c r="AY137" s="53"/>
      <c r="AZ137" s="53"/>
      <c r="BA137" s="53"/>
      <c r="BB137" s="53"/>
      <c r="BC137" s="53"/>
      <c r="BD137" s="53"/>
      <c r="BE137" s="53"/>
      <c r="BF137" s="53"/>
      <c r="BG137" s="53"/>
      <c r="BH137" s="53"/>
      <c r="BI137" s="53"/>
      <c r="BJ137" s="53"/>
      <c r="BK137" s="53"/>
      <c r="BL137" s="53"/>
      <c r="BM137" s="53"/>
      <c r="BN137" s="53"/>
      <c r="BO137" s="53"/>
      <c r="BP137" s="53"/>
      <c r="BQ137" s="53"/>
      <c r="BR137" s="53"/>
      <c r="BS137" s="53"/>
      <c r="BT137" s="53"/>
      <c r="BU137" s="53"/>
      <c r="BV137" s="53"/>
      <c r="BW137" s="53"/>
      <c r="BX137" s="53"/>
      <c r="BY137" s="53"/>
      <c r="BZ137" s="53"/>
      <c r="CA137" s="53"/>
      <c r="CB137" s="53"/>
      <c r="CC137" s="53"/>
      <c r="CD137" s="53"/>
      <c r="CE137" s="53"/>
      <c r="CF137" s="53"/>
      <c r="CG137" s="53"/>
      <c r="CH137" s="53"/>
      <c r="CI137" s="53"/>
      <c r="CJ137" s="53"/>
      <c r="CK137" s="53"/>
    </row>
    <row r="138" ht="99" spans="1:89">
      <c r="A138" s="53" t="s">
        <v>675</v>
      </c>
      <c r="B138" s="54" t="s">
        <v>676</v>
      </c>
      <c r="C138" s="53" t="s">
        <v>677</v>
      </c>
      <c r="D138" s="53"/>
      <c r="E138" s="32">
        <v>45973</v>
      </c>
      <c r="F138" s="55">
        <v>35</v>
      </c>
      <c r="G138" s="34">
        <f t="shared" si="6"/>
        <v>125</v>
      </c>
      <c r="H138" s="56">
        <v>2.2</v>
      </c>
      <c r="I138" s="56">
        <v>25.3982300884956</v>
      </c>
      <c r="J138" s="56">
        <v>5.3641833943</v>
      </c>
      <c r="K138" s="56">
        <v>51.34</v>
      </c>
      <c r="L138" s="56">
        <v>68.23868</v>
      </c>
      <c r="M138" s="56">
        <v>4.34775</v>
      </c>
      <c r="N138" s="56">
        <v>10.82554968</v>
      </c>
      <c r="O138" s="35">
        <v>0</v>
      </c>
      <c r="P138" s="56">
        <v>2.61919247787611</v>
      </c>
      <c r="Q138" s="53" t="s">
        <v>93</v>
      </c>
      <c r="R138" s="53" t="s">
        <v>94</v>
      </c>
      <c r="S138" s="35">
        <v>6.8</v>
      </c>
      <c r="T138" s="53" t="s">
        <v>678</v>
      </c>
      <c r="U138" s="53">
        <v>104.61</v>
      </c>
      <c r="V138" s="53">
        <v>3.31999999999994</v>
      </c>
      <c r="W138" s="51" t="s">
        <v>679</v>
      </c>
      <c r="X138" s="56">
        <v>27.372832301309</v>
      </c>
      <c r="Y138" s="56">
        <v>61.2776089780378</v>
      </c>
      <c r="Z138" s="53"/>
      <c r="AA138" s="56">
        <v>168.517064833333</v>
      </c>
      <c r="AB138" s="56">
        <v>27.37</v>
      </c>
      <c r="AC138" s="41">
        <v>0.1</v>
      </c>
      <c r="AD138" s="56">
        <v>22.7245570785891</v>
      </c>
      <c r="AE138" s="56">
        <v>0.136464517228479</v>
      </c>
      <c r="AF138" s="57">
        <v>0.0140729033391869</v>
      </c>
      <c r="AG138" s="57">
        <v>0.0288217208316319</v>
      </c>
      <c r="AH138" s="57">
        <v>0.275849470222872</v>
      </c>
      <c r="AI138" s="44">
        <v>0.1769</v>
      </c>
      <c r="AJ138" s="44">
        <v>0.0336</v>
      </c>
      <c r="AK138" s="45">
        <v>0.0006</v>
      </c>
      <c r="AL138" s="45">
        <v>0</v>
      </c>
      <c r="AM138" s="45">
        <v>0.1125</v>
      </c>
      <c r="AN138" s="57">
        <v>0.0233604311289733</v>
      </c>
      <c r="AO138" s="57">
        <v>0.197830957248857</v>
      </c>
      <c r="AP138" s="53"/>
      <c r="AQ138" s="53"/>
      <c r="AR138" s="53"/>
      <c r="AS138" s="53"/>
      <c r="AT138" s="53"/>
      <c r="AU138" s="53"/>
      <c r="AV138" s="53"/>
      <c r="AW138" s="53"/>
      <c r="AX138" s="53"/>
      <c r="AY138" s="53"/>
      <c r="AZ138" s="53"/>
      <c r="BA138" s="53"/>
      <c r="BB138" s="53"/>
      <c r="BC138" s="53"/>
      <c r="BD138" s="53"/>
      <c r="BE138" s="53"/>
      <c r="BF138" s="53"/>
      <c r="BG138" s="53"/>
      <c r="BH138" s="53"/>
      <c r="BI138" s="53"/>
      <c r="BJ138" s="53"/>
      <c r="BK138" s="53"/>
      <c r="BL138" s="53"/>
      <c r="BM138" s="53"/>
      <c r="BN138" s="53"/>
      <c r="BO138" s="53"/>
      <c r="BP138" s="53"/>
      <c r="BQ138" s="53"/>
      <c r="BR138" s="53"/>
      <c r="BS138" s="53"/>
      <c r="BT138" s="53"/>
      <c r="BU138" s="53"/>
      <c r="BV138" s="53"/>
      <c r="BW138" s="53"/>
      <c r="BX138" s="53"/>
      <c r="BY138" s="53"/>
      <c r="BZ138" s="53"/>
      <c r="CA138" s="53"/>
      <c r="CB138" s="53"/>
      <c r="CC138" s="53"/>
      <c r="CD138" s="53"/>
      <c r="CE138" s="53"/>
      <c r="CF138" s="53"/>
      <c r="CG138" s="53"/>
      <c r="CH138" s="53"/>
      <c r="CI138" s="53"/>
      <c r="CJ138" s="53"/>
      <c r="CK138" s="53"/>
    </row>
    <row r="139" ht="165" spans="1:89">
      <c r="A139" s="53" t="s">
        <v>680</v>
      </c>
      <c r="B139" s="54" t="s">
        <v>681</v>
      </c>
      <c r="C139" s="53" t="s">
        <v>682</v>
      </c>
      <c r="D139" s="53"/>
      <c r="E139" s="32">
        <v>45973</v>
      </c>
      <c r="F139" s="55">
        <v>35</v>
      </c>
      <c r="G139" s="34">
        <f t="shared" si="6"/>
        <v>125</v>
      </c>
      <c r="H139" s="56">
        <v>1.8</v>
      </c>
      <c r="I139" s="56">
        <v>14.3097345132743</v>
      </c>
      <c r="J139" s="56">
        <v>3.0281622217</v>
      </c>
      <c r="K139" s="56">
        <v>41.344</v>
      </c>
      <c r="L139" s="56">
        <v>66.31428</v>
      </c>
      <c r="M139" s="56">
        <v>2.454390708</v>
      </c>
      <c r="N139" s="56">
        <v>6.11123651166336</v>
      </c>
      <c r="O139" s="35">
        <v>0</v>
      </c>
      <c r="P139" s="56">
        <v>1.47569137168142</v>
      </c>
      <c r="Q139" s="53" t="s">
        <v>93</v>
      </c>
      <c r="R139" s="53" t="s">
        <v>94</v>
      </c>
      <c r="S139" s="35">
        <v>6.8</v>
      </c>
      <c r="T139" s="53" t="s">
        <v>683</v>
      </c>
      <c r="U139" s="53">
        <v>147.44</v>
      </c>
      <c r="V139" s="53">
        <v>9.23000000000002</v>
      </c>
      <c r="W139" s="51" t="s">
        <v>684</v>
      </c>
      <c r="X139" s="56">
        <v>16.6527297607608</v>
      </c>
      <c r="Y139" s="56">
        <v>36.207354625</v>
      </c>
      <c r="Z139" s="53"/>
      <c r="AA139" s="56">
        <v>177.686379579563</v>
      </c>
      <c r="AB139" s="56">
        <v>17.2</v>
      </c>
      <c r="AC139" s="41">
        <v>0.1</v>
      </c>
      <c r="AD139" s="56">
        <v>15.9743996241008</v>
      </c>
      <c r="AE139" s="56">
        <v>0.122347251310485</v>
      </c>
      <c r="AF139" s="57">
        <v>0.0126170602913938</v>
      </c>
      <c r="AG139" s="57">
        <v>0.025890579870896</v>
      </c>
      <c r="AH139" s="57">
        <v>0.353488372093023</v>
      </c>
      <c r="AI139" s="44">
        <v>0.1769</v>
      </c>
      <c r="AJ139" s="44">
        <v>0.0336</v>
      </c>
      <c r="AK139" s="45">
        <v>0.0006</v>
      </c>
      <c r="AL139" s="45">
        <v>0</v>
      </c>
      <c r="AM139" s="45">
        <v>0.1125</v>
      </c>
      <c r="AN139" s="57">
        <v>0.0209848726744186</v>
      </c>
      <c r="AO139" s="57">
        <v>0.141071863759784</v>
      </c>
      <c r="AP139" s="53"/>
      <c r="AQ139" s="53"/>
      <c r="AR139" s="53"/>
      <c r="AS139" s="53"/>
      <c r="AT139" s="53"/>
      <c r="AU139" s="53"/>
      <c r="AV139" s="53"/>
      <c r="AW139" s="53"/>
      <c r="AX139" s="53"/>
      <c r="AY139" s="53"/>
      <c r="AZ139" s="53"/>
      <c r="BA139" s="53"/>
      <c r="BB139" s="53"/>
      <c r="BC139" s="53"/>
      <c r="BD139" s="53"/>
      <c r="BE139" s="53"/>
      <c r="BF139" s="53"/>
      <c r="BG139" s="53"/>
      <c r="BH139" s="53"/>
      <c r="BI139" s="53"/>
      <c r="BJ139" s="53"/>
      <c r="BK139" s="53"/>
      <c r="BL139" s="53"/>
      <c r="BM139" s="53"/>
      <c r="BN139" s="53"/>
      <c r="BO139" s="53"/>
      <c r="BP139" s="53"/>
      <c r="BQ139" s="53"/>
      <c r="BR139" s="53"/>
      <c r="BS139" s="53"/>
      <c r="BT139" s="53"/>
      <c r="BU139" s="53"/>
      <c r="BV139" s="53"/>
      <c r="BW139" s="53"/>
      <c r="BX139" s="53"/>
      <c r="BY139" s="53"/>
      <c r="BZ139" s="53"/>
      <c r="CA139" s="53"/>
      <c r="CB139" s="53"/>
      <c r="CC139" s="53"/>
      <c r="CD139" s="53"/>
      <c r="CE139" s="53"/>
      <c r="CF139" s="53"/>
      <c r="CG139" s="53"/>
      <c r="CH139" s="53"/>
      <c r="CI139" s="53"/>
      <c r="CJ139" s="53"/>
      <c r="CK139" s="53"/>
    </row>
    <row r="140" ht="99" spans="1:89">
      <c r="A140" s="53" t="s">
        <v>685</v>
      </c>
      <c r="B140" s="54" t="s">
        <v>686</v>
      </c>
      <c r="C140" s="53" t="s">
        <v>687</v>
      </c>
      <c r="D140" s="53"/>
      <c r="E140" s="32">
        <v>45973</v>
      </c>
      <c r="F140" s="55">
        <v>35</v>
      </c>
      <c r="G140" s="34">
        <f t="shared" si="6"/>
        <v>125</v>
      </c>
      <c r="H140" s="56">
        <v>1</v>
      </c>
      <c r="I140" s="56">
        <v>17.4955752212389</v>
      </c>
      <c r="J140" s="56">
        <v>4.1403834095</v>
      </c>
      <c r="K140" s="56">
        <v>47.124</v>
      </c>
      <c r="L140" s="56">
        <v>66.31428</v>
      </c>
      <c r="M140" s="56">
        <v>3.35576736</v>
      </c>
      <c r="N140" s="56">
        <v>8.3555922650112</v>
      </c>
      <c r="O140" s="35">
        <v>0</v>
      </c>
      <c r="P140" s="56">
        <v>1.80423119469027</v>
      </c>
      <c r="Q140" s="53" t="s">
        <v>93</v>
      </c>
      <c r="R140" s="53" t="s">
        <v>94</v>
      </c>
      <c r="S140" s="35">
        <v>6.8</v>
      </c>
      <c r="T140" s="53" t="s">
        <v>688</v>
      </c>
      <c r="U140" s="53">
        <v>60.45</v>
      </c>
      <c r="V140" s="53">
        <v>7.63000000000011</v>
      </c>
      <c r="W140" s="51" t="s">
        <v>689</v>
      </c>
      <c r="X140" s="56">
        <v>21.3275328579453</v>
      </c>
      <c r="Y140" s="56">
        <v>25.1007939201282</v>
      </c>
      <c r="Z140" s="53"/>
      <c r="AA140" s="56">
        <v>89.3431152747227</v>
      </c>
      <c r="AB140" s="56">
        <v>21.33</v>
      </c>
      <c r="AC140" s="41">
        <v>0.1</v>
      </c>
      <c r="AD140" s="56">
        <v>18.8594412543957</v>
      </c>
      <c r="AE140" s="56">
        <v>0.120622536756012</v>
      </c>
      <c r="AF140" s="57">
        <v>0.0124391991029637</v>
      </c>
      <c r="AG140" s="57">
        <v>0.0285457061960509</v>
      </c>
      <c r="AH140" s="57">
        <v>0.324894514767933</v>
      </c>
      <c r="AI140" s="44">
        <v>0.1769</v>
      </c>
      <c r="AJ140" s="44">
        <v>0.0336</v>
      </c>
      <c r="AK140" s="45">
        <v>0.0006</v>
      </c>
      <c r="AL140" s="45">
        <v>0</v>
      </c>
      <c r="AM140" s="45">
        <v>0.1125</v>
      </c>
      <c r="AN140" s="57">
        <v>0.0231362025316456</v>
      </c>
      <c r="AO140" s="57">
        <v>0.166761840645395</v>
      </c>
      <c r="AP140" s="53"/>
      <c r="AQ140" s="53"/>
      <c r="AR140" s="53"/>
      <c r="AS140" s="53"/>
      <c r="AT140" s="53"/>
      <c r="AU140" s="53"/>
      <c r="AV140" s="53"/>
      <c r="AW140" s="53"/>
      <c r="AX140" s="53"/>
      <c r="AY140" s="53"/>
      <c r="AZ140" s="53"/>
      <c r="BA140" s="53"/>
      <c r="BB140" s="53"/>
      <c r="BC140" s="53"/>
      <c r="BD140" s="53"/>
      <c r="BE140" s="53"/>
      <c r="BF140" s="53"/>
      <c r="BG140" s="53"/>
      <c r="BH140" s="53"/>
      <c r="BI140" s="53"/>
      <c r="BJ140" s="53"/>
      <c r="BK140" s="53"/>
      <c r="BL140" s="53"/>
      <c r="BM140" s="53"/>
      <c r="BN140" s="53"/>
      <c r="BO140" s="53"/>
      <c r="BP140" s="53"/>
      <c r="BQ140" s="53"/>
      <c r="BR140" s="53"/>
      <c r="BS140" s="53"/>
      <c r="BT140" s="53"/>
      <c r="BU140" s="53"/>
      <c r="BV140" s="53"/>
      <c r="BW140" s="53"/>
      <c r="BX140" s="53"/>
      <c r="BY140" s="53"/>
      <c r="BZ140" s="53"/>
      <c r="CA140" s="53"/>
      <c r="CB140" s="53"/>
      <c r="CC140" s="53"/>
      <c r="CD140" s="53"/>
      <c r="CE140" s="53"/>
      <c r="CF140" s="53"/>
      <c r="CG140" s="53"/>
      <c r="CH140" s="53"/>
      <c r="CI140" s="53"/>
      <c r="CJ140" s="53"/>
      <c r="CK140" s="53"/>
    </row>
    <row r="141" ht="99" spans="1:89">
      <c r="A141" s="53" t="s">
        <v>690</v>
      </c>
      <c r="B141" s="54" t="s">
        <v>691</v>
      </c>
      <c r="C141" s="53" t="s">
        <v>692</v>
      </c>
      <c r="D141" s="53"/>
      <c r="E141" s="32">
        <v>45973</v>
      </c>
      <c r="F141" s="55">
        <v>35</v>
      </c>
      <c r="G141" s="34">
        <f t="shared" si="6"/>
        <v>125</v>
      </c>
      <c r="H141" s="56">
        <v>2.1</v>
      </c>
      <c r="I141" s="56">
        <v>15.7256637168142</v>
      </c>
      <c r="J141" s="56">
        <v>4.1403834095</v>
      </c>
      <c r="K141" s="56">
        <v>47.124</v>
      </c>
      <c r="L141" s="56">
        <v>66.31428</v>
      </c>
      <c r="M141" s="56">
        <v>3.35576736</v>
      </c>
      <c r="N141" s="56">
        <v>8.3555922650112</v>
      </c>
      <c r="O141" s="35">
        <v>0</v>
      </c>
      <c r="P141" s="56">
        <v>1.62170907079646</v>
      </c>
      <c r="Q141" s="53" t="s">
        <v>93</v>
      </c>
      <c r="R141" s="53" t="s">
        <v>94</v>
      </c>
      <c r="S141" s="35">
        <v>6.8</v>
      </c>
      <c r="T141" s="53" t="s">
        <v>693</v>
      </c>
      <c r="U141" s="53">
        <v>65.29</v>
      </c>
      <c r="V141" s="53">
        <v>8.71000000000004</v>
      </c>
      <c r="W141" s="51" t="s">
        <v>694</v>
      </c>
      <c r="X141" s="56">
        <v>22.9980098752675</v>
      </c>
      <c r="Y141" s="56">
        <v>64.7914566827274</v>
      </c>
      <c r="Z141" s="53"/>
      <c r="AA141" s="56">
        <v>201.239802275228</v>
      </c>
      <c r="AB141" s="56">
        <v>23</v>
      </c>
      <c r="AC141" s="41">
        <v>0.1</v>
      </c>
      <c r="AD141" s="56">
        <v>18.3613104556452</v>
      </c>
      <c r="AE141" s="56">
        <v>0.100547721974515</v>
      </c>
      <c r="AF141" s="57">
        <v>0.0103689838286219</v>
      </c>
      <c r="AG141" s="57">
        <v>0.0264730397026854</v>
      </c>
      <c r="AH141" s="57">
        <v>0.301304347826087</v>
      </c>
      <c r="AI141" s="44">
        <v>0.1769</v>
      </c>
      <c r="AJ141" s="44">
        <v>0.0336</v>
      </c>
      <c r="AK141" s="45">
        <v>0.0006</v>
      </c>
      <c r="AL141" s="45">
        <v>0</v>
      </c>
      <c r="AM141" s="45">
        <v>0.1125</v>
      </c>
      <c r="AN141" s="57">
        <v>0.0214563130434783</v>
      </c>
      <c r="AO141" s="57">
        <v>0.216249593624612</v>
      </c>
      <c r="AP141" s="53"/>
      <c r="AQ141" s="53"/>
      <c r="AR141" s="53"/>
      <c r="AS141" s="53"/>
      <c r="AT141" s="53"/>
      <c r="AU141" s="53"/>
      <c r="AV141" s="53"/>
      <c r="AW141" s="53"/>
      <c r="AX141" s="53"/>
      <c r="AY141" s="53"/>
      <c r="AZ141" s="53"/>
      <c r="BA141" s="53"/>
      <c r="BB141" s="53"/>
      <c r="BC141" s="53"/>
      <c r="BD141" s="53"/>
      <c r="BE141" s="53"/>
      <c r="BF141" s="53"/>
      <c r="BG141" s="53"/>
      <c r="BH141" s="53"/>
      <c r="BI141" s="53"/>
      <c r="BJ141" s="53"/>
      <c r="BK141" s="53"/>
      <c r="BL141" s="53"/>
      <c r="BM141" s="53"/>
      <c r="BN141" s="53"/>
      <c r="BO141" s="53"/>
      <c r="BP141" s="53"/>
      <c r="BQ141" s="53"/>
      <c r="BR141" s="53"/>
      <c r="BS141" s="53"/>
      <c r="BT141" s="53"/>
      <c r="BU141" s="53"/>
      <c r="BV141" s="53"/>
      <c r="BW141" s="53"/>
      <c r="BX141" s="53"/>
      <c r="BY141" s="53"/>
      <c r="BZ141" s="53"/>
      <c r="CA141" s="53"/>
      <c r="CB141" s="53"/>
      <c r="CC141" s="53"/>
      <c r="CD141" s="53"/>
      <c r="CE141" s="53"/>
      <c r="CF141" s="53"/>
      <c r="CG141" s="53"/>
      <c r="CH141" s="53"/>
      <c r="CI141" s="53"/>
      <c r="CJ141" s="53"/>
      <c r="CK141" s="53"/>
    </row>
    <row r="142" ht="132" spans="1:89">
      <c r="A142" s="53" t="s">
        <v>695</v>
      </c>
      <c r="B142" s="54" t="s">
        <v>696</v>
      </c>
      <c r="C142" s="53" t="s">
        <v>697</v>
      </c>
      <c r="D142" s="53"/>
      <c r="E142" s="32">
        <v>45973</v>
      </c>
      <c r="F142" s="55">
        <v>35</v>
      </c>
      <c r="G142" s="34">
        <f t="shared" si="6"/>
        <v>125</v>
      </c>
      <c r="H142" s="56">
        <v>1</v>
      </c>
      <c r="I142" s="56">
        <v>17.283185840708</v>
      </c>
      <c r="J142" s="56">
        <v>3.3954268776</v>
      </c>
      <c r="K142" s="56">
        <v>47.124</v>
      </c>
      <c r="L142" s="56">
        <v>66.31428</v>
      </c>
      <c r="M142" s="56">
        <v>2.75195184</v>
      </c>
      <c r="N142" s="56">
        <v>6.8521399254528</v>
      </c>
      <c r="O142" s="35">
        <v>0</v>
      </c>
      <c r="P142" s="56">
        <v>1.78232853982301</v>
      </c>
      <c r="Q142" s="53" t="s">
        <v>93</v>
      </c>
      <c r="R142" s="53" t="s">
        <v>94</v>
      </c>
      <c r="S142" s="35">
        <v>6.8</v>
      </c>
      <c r="T142" s="53" t="s">
        <v>698</v>
      </c>
      <c r="U142" s="53">
        <v>12.07</v>
      </c>
      <c r="V142" s="53">
        <v>3.75</v>
      </c>
      <c r="W142" s="51" t="s">
        <v>699</v>
      </c>
      <c r="X142" s="56">
        <v>29.4699564862255</v>
      </c>
      <c r="Y142" s="56">
        <v>29.993365544877</v>
      </c>
      <c r="Z142" s="53"/>
      <c r="AA142" s="56">
        <v>116.651324358832</v>
      </c>
      <c r="AB142" s="56">
        <v>29.47</v>
      </c>
      <c r="AC142" s="41">
        <v>0.1</v>
      </c>
      <c r="AD142" s="56">
        <v>18.4555489187786</v>
      </c>
      <c r="AE142" s="56">
        <v>0.0862451637792569</v>
      </c>
      <c r="AF142" s="57">
        <v>0.00889403251473587</v>
      </c>
      <c r="AG142" s="57">
        <v>0.0169435860875467</v>
      </c>
      <c r="AH142" s="57">
        <v>0.235154394299287</v>
      </c>
      <c r="AI142" s="44">
        <v>0.1769</v>
      </c>
      <c r="AJ142" s="44">
        <v>0.0336</v>
      </c>
      <c r="AK142" s="45">
        <v>0.0006</v>
      </c>
      <c r="AL142" s="45">
        <v>0</v>
      </c>
      <c r="AM142" s="45">
        <v>0.1125</v>
      </c>
      <c r="AN142" s="57">
        <v>0.0137325687139464</v>
      </c>
      <c r="AO142" s="57">
        <v>0.315430254605227</v>
      </c>
      <c r="AP142" s="53"/>
      <c r="AQ142" s="53"/>
      <c r="AR142" s="53"/>
      <c r="AS142" s="53"/>
      <c r="AT142" s="53"/>
      <c r="AU142" s="53"/>
      <c r="AV142" s="53"/>
      <c r="AW142" s="53"/>
      <c r="AX142" s="53"/>
      <c r="AY142" s="53"/>
      <c r="AZ142" s="53"/>
      <c r="BA142" s="53"/>
      <c r="BB142" s="53"/>
      <c r="BC142" s="53"/>
      <c r="BD142" s="53"/>
      <c r="BE142" s="53"/>
      <c r="BF142" s="53"/>
      <c r="BG142" s="53"/>
      <c r="BH142" s="53"/>
      <c r="BI142" s="53"/>
      <c r="BJ142" s="53"/>
      <c r="BK142" s="53"/>
      <c r="BL142" s="53"/>
      <c r="BM142" s="53"/>
      <c r="BN142" s="53"/>
      <c r="BO142" s="53"/>
      <c r="BP142" s="53"/>
      <c r="BQ142" s="53"/>
      <c r="BR142" s="53"/>
      <c r="BS142" s="53"/>
      <c r="BT142" s="53"/>
      <c r="BU142" s="53"/>
      <c r="BV142" s="53"/>
      <c r="BW142" s="53"/>
      <c r="BX142" s="53"/>
      <c r="BY142" s="53"/>
      <c r="BZ142" s="53"/>
      <c r="CA142" s="53"/>
      <c r="CB142" s="53"/>
      <c r="CC142" s="53"/>
      <c r="CD142" s="53"/>
      <c r="CE142" s="53"/>
      <c r="CF142" s="53"/>
      <c r="CG142" s="53"/>
      <c r="CH142" s="53"/>
      <c r="CI142" s="53"/>
      <c r="CJ142" s="53"/>
      <c r="CK142" s="53"/>
    </row>
    <row r="143" ht="99" spans="1:89">
      <c r="A143" s="53" t="s">
        <v>700</v>
      </c>
      <c r="B143" s="54" t="s">
        <v>701</v>
      </c>
      <c r="C143" s="53" t="s">
        <v>702</v>
      </c>
      <c r="D143" s="53"/>
      <c r="E143" s="32">
        <v>45973</v>
      </c>
      <c r="F143" s="55">
        <v>35</v>
      </c>
      <c r="G143" s="34">
        <f t="shared" si="6"/>
        <v>125</v>
      </c>
      <c r="H143" s="56">
        <v>2.2</v>
      </c>
      <c r="I143" s="56">
        <v>20.3451327433628</v>
      </c>
      <c r="J143" s="56">
        <v>4.7432162497</v>
      </c>
      <c r="K143" s="56">
        <v>51.34</v>
      </c>
      <c r="L143" s="56">
        <v>66.31428</v>
      </c>
      <c r="M143" s="56">
        <v>3.844203132</v>
      </c>
      <c r="N143" s="56">
        <v>9.57175826242944</v>
      </c>
      <c r="O143" s="35">
        <v>0</v>
      </c>
      <c r="P143" s="56">
        <v>2.09809181415929</v>
      </c>
      <c r="Q143" s="53" t="s">
        <v>93</v>
      </c>
      <c r="R143" s="53" t="s">
        <v>94</v>
      </c>
      <c r="S143" s="35">
        <v>6.8</v>
      </c>
      <c r="T143" s="53" t="s">
        <v>703</v>
      </c>
      <c r="U143" s="53">
        <v>187.73</v>
      </c>
      <c r="V143" s="53">
        <v>7.75999999999999</v>
      </c>
      <c r="W143" s="51" t="s">
        <v>704</v>
      </c>
      <c r="X143" s="56">
        <v>23.8912335967346</v>
      </c>
      <c r="Y143" s="56">
        <v>20.0185102469136</v>
      </c>
      <c r="Z143" s="53"/>
      <c r="AA143" s="56">
        <v>105.74019938701</v>
      </c>
      <c r="AB143" s="56">
        <v>23.89</v>
      </c>
      <c r="AC143" s="41">
        <v>0.1</v>
      </c>
      <c r="AD143" s="56">
        <v>21.015492697887</v>
      </c>
      <c r="AE143" s="56">
        <v>0.125237810204632</v>
      </c>
      <c r="AF143" s="57">
        <v>0.0129151491773526</v>
      </c>
      <c r="AG143" s="57">
        <v>0.0291976476109866</v>
      </c>
      <c r="AH143" s="57">
        <v>0.316031812473838</v>
      </c>
      <c r="AI143" s="44">
        <v>0.1769</v>
      </c>
      <c r="AJ143" s="44">
        <v>0.0336</v>
      </c>
      <c r="AK143" s="45">
        <v>0.0006</v>
      </c>
      <c r="AL143" s="45">
        <v>0</v>
      </c>
      <c r="AM143" s="45">
        <v>0.1125</v>
      </c>
      <c r="AN143" s="57">
        <v>0.0236636245290917</v>
      </c>
      <c r="AO143" s="57">
        <v>0.169353956004099</v>
      </c>
      <c r="AP143" s="53"/>
      <c r="AQ143" s="53"/>
      <c r="AR143" s="53"/>
      <c r="AS143" s="53"/>
      <c r="AT143" s="53"/>
      <c r="AU143" s="53"/>
      <c r="AV143" s="53"/>
      <c r="AW143" s="53"/>
      <c r="AX143" s="53"/>
      <c r="AY143" s="53"/>
      <c r="AZ143" s="53"/>
      <c r="BA143" s="53"/>
      <c r="BB143" s="53"/>
      <c r="BC143" s="53"/>
      <c r="BD143" s="53"/>
      <c r="BE143" s="53"/>
      <c r="BF143" s="53"/>
      <c r="BG143" s="53"/>
      <c r="BH143" s="53"/>
      <c r="BI143" s="53"/>
      <c r="BJ143" s="53"/>
      <c r="BK143" s="53"/>
      <c r="BL143" s="53"/>
      <c r="BM143" s="53"/>
      <c r="BN143" s="53"/>
      <c r="BO143" s="53"/>
      <c r="BP143" s="53"/>
      <c r="BQ143" s="53"/>
      <c r="BR143" s="53"/>
      <c r="BS143" s="53"/>
      <c r="BT143" s="53"/>
      <c r="BU143" s="53"/>
      <c r="BV143" s="53"/>
      <c r="BW143" s="53"/>
      <c r="BX143" s="53"/>
      <c r="BY143" s="53"/>
      <c r="BZ143" s="53"/>
      <c r="CA143" s="53"/>
      <c r="CB143" s="53"/>
      <c r="CC143" s="53"/>
      <c r="CD143" s="53"/>
      <c r="CE143" s="53"/>
      <c r="CF143" s="53"/>
      <c r="CG143" s="53"/>
      <c r="CH143" s="53"/>
      <c r="CI143" s="53"/>
      <c r="CJ143" s="53"/>
      <c r="CK143" s="53"/>
    </row>
    <row r="144" ht="165" spans="1:89">
      <c r="A144" s="53" t="s">
        <v>705</v>
      </c>
      <c r="B144" s="54" t="s">
        <v>706</v>
      </c>
      <c r="C144" s="53" t="s">
        <v>707</v>
      </c>
      <c r="D144" s="53"/>
      <c r="E144" s="32">
        <v>45973</v>
      </c>
      <c r="F144" s="55">
        <v>35</v>
      </c>
      <c r="G144" s="34">
        <f t="shared" si="6"/>
        <v>125</v>
      </c>
      <c r="H144" s="56">
        <v>1.5</v>
      </c>
      <c r="I144" s="56">
        <v>36.0265486725664</v>
      </c>
      <c r="J144" s="56">
        <v>7.6059858204</v>
      </c>
      <c r="K144" s="56">
        <v>53.516</v>
      </c>
      <c r="L144" s="56">
        <v>69.90468</v>
      </c>
      <c r="M144" s="56">
        <v>6.164829</v>
      </c>
      <c r="N144" s="56">
        <v>15.34993102368</v>
      </c>
      <c r="O144" s="35">
        <v>0</v>
      </c>
      <c r="P144" s="56">
        <v>3.71523783185841</v>
      </c>
      <c r="Q144" s="53" t="s">
        <v>93</v>
      </c>
      <c r="R144" s="53" t="s">
        <v>94</v>
      </c>
      <c r="S144" s="35">
        <v>6.8</v>
      </c>
      <c r="T144" s="53" t="s">
        <v>708</v>
      </c>
      <c r="U144" s="53">
        <v>23.59</v>
      </c>
      <c r="V144" s="53">
        <v>11.1700000000001</v>
      </c>
      <c r="W144" s="51" t="s">
        <v>709</v>
      </c>
      <c r="X144" s="56">
        <v>36.5314912720976</v>
      </c>
      <c r="Y144" s="56">
        <v>45.0182852747253</v>
      </c>
      <c r="Z144" s="53"/>
      <c r="AA144" s="56">
        <v>148.079745186325</v>
      </c>
      <c r="AB144" s="56">
        <v>36.53</v>
      </c>
      <c r="AC144" s="41">
        <v>0.1</v>
      </c>
      <c r="AD144" s="56">
        <v>27.3065582838778</v>
      </c>
      <c r="AE144" s="56">
        <v>0.145032079485702</v>
      </c>
      <c r="AF144" s="57">
        <v>0.014956433196963</v>
      </c>
      <c r="AG144" s="57">
        <v>0.0306194176438383</v>
      </c>
      <c r="AH144" s="57">
        <v>0.215439364905557</v>
      </c>
      <c r="AI144" s="44">
        <v>0.1769</v>
      </c>
      <c r="AJ144" s="44">
        <v>0.0336</v>
      </c>
      <c r="AK144" s="45">
        <v>0.0006</v>
      </c>
      <c r="AL144" s="45">
        <v>0</v>
      </c>
      <c r="AM144" s="45">
        <v>0.1125</v>
      </c>
      <c r="AN144" s="57">
        <v>0.0248177525321653</v>
      </c>
      <c r="AO144" s="57">
        <v>0.245534952235774</v>
      </c>
      <c r="AP144" s="53"/>
      <c r="AQ144" s="53"/>
      <c r="AR144" s="53"/>
      <c r="AS144" s="53"/>
      <c r="AT144" s="53"/>
      <c r="AU144" s="53"/>
      <c r="AV144" s="53"/>
      <c r="AW144" s="53"/>
      <c r="AX144" s="53"/>
      <c r="AY144" s="53"/>
      <c r="AZ144" s="53"/>
      <c r="BA144" s="53"/>
      <c r="BB144" s="53"/>
      <c r="BC144" s="53"/>
      <c r="BD144" s="53"/>
      <c r="BE144" s="53"/>
      <c r="BF144" s="53"/>
      <c r="BG144" s="53"/>
      <c r="BH144" s="53"/>
      <c r="BI144" s="53"/>
      <c r="BJ144" s="53"/>
      <c r="BK144" s="53"/>
      <c r="BL144" s="53"/>
      <c r="BM144" s="53"/>
      <c r="BN144" s="53"/>
      <c r="BO144" s="53"/>
      <c r="BP144" s="53"/>
      <c r="BQ144" s="53"/>
      <c r="BR144" s="53"/>
      <c r="BS144" s="53"/>
      <c r="BT144" s="53"/>
      <c r="BU144" s="53"/>
      <c r="BV144" s="53"/>
      <c r="BW144" s="53"/>
      <c r="BX144" s="53"/>
      <c r="BY144" s="53"/>
      <c r="BZ144" s="53"/>
      <c r="CA144" s="53"/>
      <c r="CB144" s="53"/>
      <c r="CC144" s="53"/>
      <c r="CD144" s="53"/>
      <c r="CE144" s="53"/>
      <c r="CF144" s="53"/>
      <c r="CG144" s="53"/>
      <c r="CH144" s="53"/>
      <c r="CI144" s="53"/>
      <c r="CJ144" s="53"/>
      <c r="CK144" s="53"/>
    </row>
    <row r="145" ht="132" spans="1:89">
      <c r="A145" s="53" t="s">
        <v>710</v>
      </c>
      <c r="B145" s="54" t="s">
        <v>711</v>
      </c>
      <c r="C145" s="53" t="s">
        <v>712</v>
      </c>
      <c r="D145" s="53"/>
      <c r="E145" s="32">
        <v>45973</v>
      </c>
      <c r="F145" s="55">
        <v>35</v>
      </c>
      <c r="G145" s="34">
        <f t="shared" si="6"/>
        <v>125</v>
      </c>
      <c r="H145" s="56">
        <v>0.57</v>
      </c>
      <c r="I145" s="56">
        <v>17</v>
      </c>
      <c r="J145" s="56">
        <v>3.4886326092</v>
      </c>
      <c r="K145" s="56">
        <v>47.124</v>
      </c>
      <c r="L145" s="56">
        <v>66.31428</v>
      </c>
      <c r="M145" s="56">
        <v>2.82744</v>
      </c>
      <c r="N145" s="56">
        <v>7.0400994048</v>
      </c>
      <c r="O145" s="35">
        <v>0</v>
      </c>
      <c r="P145" s="56">
        <v>1.753125</v>
      </c>
      <c r="Q145" s="53" t="s">
        <v>93</v>
      </c>
      <c r="R145" s="53" t="s">
        <v>94</v>
      </c>
      <c r="S145" s="35">
        <v>6.8</v>
      </c>
      <c r="T145" s="53" t="s">
        <v>713</v>
      </c>
      <c r="U145" s="53">
        <v>418.1</v>
      </c>
      <c r="V145" s="53">
        <v>9.8599999999999</v>
      </c>
      <c r="W145" s="51" t="s">
        <v>714</v>
      </c>
      <c r="X145" s="56">
        <v>24.0516844581211</v>
      </c>
      <c r="Y145" s="56">
        <v>16.9572200176725</v>
      </c>
      <c r="Z145" s="53"/>
      <c r="AA145" s="56">
        <v>69.3629215303754</v>
      </c>
      <c r="AB145" s="56">
        <v>24.05</v>
      </c>
      <c r="AC145" s="41">
        <v>0.1</v>
      </c>
      <c r="AD145" s="56">
        <v>18.4188874171327</v>
      </c>
      <c r="AE145" s="56">
        <v>0.103950103950104</v>
      </c>
      <c r="AF145" s="57">
        <v>0.0107198544698545</v>
      </c>
      <c r="AG145" s="57">
        <v>0.0213319836688272</v>
      </c>
      <c r="AH145" s="57">
        <v>0.288149688149688</v>
      </c>
      <c r="AI145" s="44">
        <v>0.1769</v>
      </c>
      <c r="AJ145" s="44">
        <v>0.0336</v>
      </c>
      <c r="AK145" s="45">
        <v>0.0006</v>
      </c>
      <c r="AL145" s="45">
        <v>0</v>
      </c>
      <c r="AM145" s="45">
        <v>0.1125</v>
      </c>
      <c r="AN145" s="57">
        <v>0.0172889812889813</v>
      </c>
      <c r="AO145" s="57">
        <v>0.234959388472545</v>
      </c>
      <c r="AP145" s="53"/>
      <c r="AQ145" s="53"/>
      <c r="AR145" s="53"/>
      <c r="AS145" s="53"/>
      <c r="AT145" s="53"/>
      <c r="AU145" s="53"/>
      <c r="AV145" s="53"/>
      <c r="AW145" s="53"/>
      <c r="AX145" s="53"/>
      <c r="AY145" s="53"/>
      <c r="AZ145" s="53"/>
      <c r="BA145" s="53"/>
      <c r="BB145" s="53"/>
      <c r="BC145" s="53"/>
      <c r="BD145" s="53"/>
      <c r="BE145" s="53"/>
      <c r="BF145" s="53"/>
      <c r="BG145" s="53"/>
      <c r="BH145" s="53"/>
      <c r="BI145" s="53"/>
      <c r="BJ145" s="53"/>
      <c r="BK145" s="53"/>
      <c r="BL145" s="53"/>
      <c r="BM145" s="53"/>
      <c r="BN145" s="53"/>
      <c r="BO145" s="53"/>
      <c r="BP145" s="53"/>
      <c r="BQ145" s="53"/>
      <c r="BR145" s="53"/>
      <c r="BS145" s="53"/>
      <c r="BT145" s="53"/>
      <c r="BU145" s="53"/>
      <c r="BV145" s="53"/>
      <c r="BW145" s="53"/>
      <c r="BX145" s="53"/>
      <c r="BY145" s="53"/>
      <c r="BZ145" s="53"/>
      <c r="CA145" s="53"/>
      <c r="CB145" s="53"/>
      <c r="CC145" s="53"/>
      <c r="CD145" s="53"/>
      <c r="CE145" s="53"/>
      <c r="CF145" s="53"/>
      <c r="CG145" s="53"/>
      <c r="CH145" s="53"/>
      <c r="CI145" s="53"/>
      <c r="CJ145" s="53"/>
      <c r="CK145" s="53"/>
    </row>
    <row r="146" ht="66" spans="1:89">
      <c r="A146" s="53" t="s">
        <v>715</v>
      </c>
      <c r="B146" s="54" t="s">
        <v>716</v>
      </c>
      <c r="C146" s="53" t="s">
        <v>717</v>
      </c>
      <c r="D146" s="53"/>
      <c r="E146" s="32">
        <v>45973</v>
      </c>
      <c r="F146" s="55">
        <v>40</v>
      </c>
      <c r="G146" s="34">
        <f t="shared" si="6"/>
        <v>130</v>
      </c>
      <c r="H146" s="56">
        <v>2.5</v>
      </c>
      <c r="I146" s="56">
        <v>26.070796460177</v>
      </c>
      <c r="J146" s="56">
        <v>5.5371576773</v>
      </c>
      <c r="K146" s="56">
        <v>51.34</v>
      </c>
      <c r="L146" s="56">
        <v>68.23868</v>
      </c>
      <c r="M146" s="56">
        <v>4.488</v>
      </c>
      <c r="N146" s="56">
        <v>11.17476096</v>
      </c>
      <c r="O146" s="35">
        <v>0</v>
      </c>
      <c r="P146" s="56">
        <v>2.68855088495575</v>
      </c>
      <c r="Q146" s="53" t="s">
        <v>93</v>
      </c>
      <c r="R146" s="53" t="s">
        <v>94</v>
      </c>
      <c r="S146" s="35">
        <v>6.8</v>
      </c>
      <c r="T146" s="53" t="s">
        <v>718</v>
      </c>
      <c r="U146" s="53">
        <v>11.73</v>
      </c>
      <c r="V146" s="53">
        <v>4.5</v>
      </c>
      <c r="W146" s="51" t="s">
        <v>719</v>
      </c>
      <c r="X146" s="56">
        <v>25.6313238095217</v>
      </c>
      <c r="Y146" s="56">
        <v>43.4501061728395</v>
      </c>
      <c r="Z146" s="53"/>
      <c r="AA146" s="56">
        <v>122.786</v>
      </c>
      <c r="AB146" s="56">
        <v>25.63</v>
      </c>
      <c r="AC146" s="41">
        <v>0.1</v>
      </c>
      <c r="AD146" s="56">
        <v>22.9937607213212</v>
      </c>
      <c r="AE146" s="56">
        <v>0.149588008424049</v>
      </c>
      <c r="AF146" s="57">
        <v>0.0154262633687301</v>
      </c>
      <c r="AG146" s="57">
        <v>0.0317708893375181</v>
      </c>
      <c r="AH146" s="57">
        <v>0.294576667967226</v>
      </c>
      <c r="AI146" s="44">
        <v>0.1769</v>
      </c>
      <c r="AJ146" s="44">
        <v>0.0336</v>
      </c>
      <c r="AK146" s="45">
        <v>0.0006</v>
      </c>
      <c r="AL146" s="45">
        <v>0</v>
      </c>
      <c r="AM146" s="45">
        <v>0.1125</v>
      </c>
      <c r="AN146" s="57">
        <v>0.0257510729613734</v>
      </c>
      <c r="AO146" s="57">
        <v>0.159287097941103</v>
      </c>
      <c r="AP146" s="53"/>
      <c r="AQ146" s="53"/>
      <c r="AR146" s="53"/>
      <c r="AS146" s="53"/>
      <c r="AT146" s="53"/>
      <c r="AU146" s="53"/>
      <c r="AV146" s="53"/>
      <c r="AW146" s="53"/>
      <c r="AX146" s="53"/>
      <c r="AY146" s="53"/>
      <c r="AZ146" s="53"/>
      <c r="BA146" s="53"/>
      <c r="BB146" s="53"/>
      <c r="BC146" s="53"/>
      <c r="BD146" s="53"/>
      <c r="BE146" s="53"/>
      <c r="BF146" s="53"/>
      <c r="BG146" s="53"/>
      <c r="BH146" s="53"/>
      <c r="BI146" s="53"/>
      <c r="BJ146" s="53"/>
      <c r="BK146" s="53"/>
      <c r="BL146" s="53"/>
      <c r="BM146" s="53"/>
      <c r="BN146" s="53"/>
      <c r="BO146" s="53"/>
      <c r="BP146" s="53"/>
      <c r="BQ146" s="53"/>
      <c r="BR146" s="53"/>
      <c r="BS146" s="53"/>
      <c r="BT146" s="53"/>
      <c r="BU146" s="53"/>
      <c r="BV146" s="53"/>
      <c r="BW146" s="53"/>
      <c r="BX146" s="53"/>
      <c r="BY146" s="53"/>
      <c r="BZ146" s="53"/>
      <c r="CA146" s="53"/>
      <c r="CB146" s="53"/>
      <c r="CC146" s="53"/>
      <c r="CD146" s="53"/>
      <c r="CE146" s="53"/>
      <c r="CF146" s="53"/>
      <c r="CG146" s="53"/>
      <c r="CH146" s="53"/>
      <c r="CI146" s="53"/>
      <c r="CJ146" s="53"/>
      <c r="CK146" s="53"/>
    </row>
    <row r="147" ht="132" spans="1:89">
      <c r="A147" s="53" t="s">
        <v>720</v>
      </c>
      <c r="B147" s="54" t="s">
        <v>721</v>
      </c>
      <c r="C147" s="53" t="s">
        <v>722</v>
      </c>
      <c r="D147" s="53"/>
      <c r="E147" s="32">
        <v>45973</v>
      </c>
      <c r="F147" s="55">
        <v>35</v>
      </c>
      <c r="G147" s="34">
        <f t="shared" si="6"/>
        <v>125</v>
      </c>
      <c r="H147" s="56">
        <v>1.8</v>
      </c>
      <c r="I147" s="56">
        <v>19.0442477876106</v>
      </c>
      <c r="J147" s="56">
        <v>2.8828275104</v>
      </c>
      <c r="K147" s="56">
        <v>41.344</v>
      </c>
      <c r="L147" s="56">
        <v>66.31428</v>
      </c>
      <c r="M147" s="56">
        <v>2.336565</v>
      </c>
      <c r="N147" s="56">
        <v>5.8178599248</v>
      </c>
      <c r="O147" s="35">
        <v>0</v>
      </c>
      <c r="P147" s="56">
        <v>1.96393805309735</v>
      </c>
      <c r="Q147" s="53" t="s">
        <v>93</v>
      </c>
      <c r="R147" s="53" t="s">
        <v>94</v>
      </c>
      <c r="S147" s="35">
        <v>6.8</v>
      </c>
      <c r="T147" s="53" t="s">
        <v>723</v>
      </c>
      <c r="U147" s="53">
        <v>154.76</v>
      </c>
      <c r="V147" s="53">
        <v>5.1099999999999</v>
      </c>
      <c r="W147" s="51" t="s">
        <v>724</v>
      </c>
      <c r="X147" s="56">
        <v>24.5102308911747</v>
      </c>
      <c r="Y147" s="56">
        <v>55.7126395480356</v>
      </c>
      <c r="Z147" s="53"/>
      <c r="AA147" s="56">
        <v>229.710602805556</v>
      </c>
      <c r="AB147" s="56">
        <v>24.51</v>
      </c>
      <c r="AC147" s="41">
        <v>0.1</v>
      </c>
      <c r="AD147" s="56">
        <v>17.2397585293883</v>
      </c>
      <c r="AE147" s="56">
        <v>0.114264572609083</v>
      </c>
      <c r="AF147" s="57">
        <v>0.0117835340503117</v>
      </c>
      <c r="AG147" s="57">
        <v>0.0172968266877865</v>
      </c>
      <c r="AH147" s="57">
        <v>0.248062015503876</v>
      </c>
      <c r="AI147" s="44">
        <v>0.1769</v>
      </c>
      <c r="AJ147" s="44">
        <v>0.0336</v>
      </c>
      <c r="AK147" s="45">
        <v>0.0006</v>
      </c>
      <c r="AL147" s="45">
        <v>0</v>
      </c>
      <c r="AM147" s="45">
        <v>0.1125</v>
      </c>
      <c r="AN147" s="57">
        <v>0.0140192778457772</v>
      </c>
      <c r="AO147" s="57">
        <v>0.270973773303166</v>
      </c>
      <c r="AP147" s="53"/>
      <c r="AQ147" s="53"/>
      <c r="AR147" s="53"/>
      <c r="AS147" s="53"/>
      <c r="AT147" s="53"/>
      <c r="AU147" s="53"/>
      <c r="AV147" s="53"/>
      <c r="AW147" s="53"/>
      <c r="AX147" s="53"/>
      <c r="AY147" s="53"/>
      <c r="AZ147" s="53"/>
      <c r="BA147" s="53"/>
      <c r="BB147" s="53"/>
      <c r="BC147" s="53"/>
      <c r="BD147" s="53"/>
      <c r="BE147" s="53"/>
      <c r="BF147" s="53"/>
      <c r="BG147" s="53"/>
      <c r="BH147" s="53"/>
      <c r="BI147" s="53"/>
      <c r="BJ147" s="53"/>
      <c r="BK147" s="53"/>
      <c r="BL147" s="53"/>
      <c r="BM147" s="53"/>
      <c r="BN147" s="53"/>
      <c r="BO147" s="53"/>
      <c r="BP147" s="53"/>
      <c r="BQ147" s="53"/>
      <c r="BR147" s="53"/>
      <c r="BS147" s="53"/>
      <c r="BT147" s="53"/>
      <c r="BU147" s="53"/>
      <c r="BV147" s="53"/>
      <c r="BW147" s="53"/>
      <c r="BX147" s="53"/>
      <c r="BY147" s="53"/>
      <c r="BZ147" s="53"/>
      <c r="CA147" s="53"/>
      <c r="CB147" s="53"/>
      <c r="CC147" s="53"/>
      <c r="CD147" s="53"/>
      <c r="CE147" s="53"/>
      <c r="CF147" s="53"/>
      <c r="CG147" s="53"/>
      <c r="CH147" s="53"/>
      <c r="CI147" s="53"/>
      <c r="CJ147" s="53"/>
      <c r="CK147" s="53"/>
    </row>
    <row r="148" ht="99" spans="1:89">
      <c r="A148" s="53" t="s">
        <v>725</v>
      </c>
      <c r="B148" s="54" t="s">
        <v>726</v>
      </c>
      <c r="C148" s="53" t="s">
        <v>727</v>
      </c>
      <c r="D148" s="53"/>
      <c r="E148" s="32">
        <v>45973</v>
      </c>
      <c r="F148" s="55">
        <v>35</v>
      </c>
      <c r="G148" s="34">
        <f t="shared" si="6"/>
        <v>125</v>
      </c>
      <c r="H148" s="56">
        <v>1.72</v>
      </c>
      <c r="I148" s="56">
        <v>33.353982300885</v>
      </c>
      <c r="J148" s="56">
        <v>7.8283288895</v>
      </c>
      <c r="K148" s="56">
        <v>53.516</v>
      </c>
      <c r="L148" s="56">
        <v>69.90468</v>
      </c>
      <c r="M148" s="56">
        <v>6.34491</v>
      </c>
      <c r="N148" s="56">
        <v>15.7983183072</v>
      </c>
      <c r="O148" s="35">
        <v>0</v>
      </c>
      <c r="P148" s="56">
        <v>3.43962942477876</v>
      </c>
      <c r="Q148" s="53" t="s">
        <v>93</v>
      </c>
      <c r="R148" s="53" t="s">
        <v>94</v>
      </c>
      <c r="S148" s="35">
        <v>6.8</v>
      </c>
      <c r="T148" s="53" t="s">
        <v>728</v>
      </c>
      <c r="U148" s="53">
        <v>134.79</v>
      </c>
      <c r="V148" s="53">
        <v>4.72000000000003</v>
      </c>
      <c r="W148" s="51" t="s">
        <v>729</v>
      </c>
      <c r="X148" s="56">
        <v>31.299836778693</v>
      </c>
      <c r="Y148" s="56">
        <v>53.437420622223</v>
      </c>
      <c r="Z148" s="53"/>
      <c r="AA148" s="56">
        <v>160.606614285714</v>
      </c>
      <c r="AB148" s="56">
        <v>31.3</v>
      </c>
      <c r="AC148" s="41">
        <v>0.1</v>
      </c>
      <c r="AD148" s="56">
        <v>26.6570525511195</v>
      </c>
      <c r="AE148" s="56">
        <v>0.156709182018817</v>
      </c>
      <c r="AF148" s="57">
        <v>0.0161606343956905</v>
      </c>
      <c r="AG148" s="57">
        <v>0.0367803462201654</v>
      </c>
      <c r="AH148" s="57">
        <v>0.251437699680511</v>
      </c>
      <c r="AI148" s="44">
        <v>0.1769</v>
      </c>
      <c r="AJ148" s="44">
        <v>0.0336</v>
      </c>
      <c r="AK148" s="45">
        <v>0.0006</v>
      </c>
      <c r="AL148" s="45">
        <v>0</v>
      </c>
      <c r="AM148" s="45">
        <v>0.1125</v>
      </c>
      <c r="AN148" s="57">
        <v>0.0298107028753994</v>
      </c>
      <c r="AO148" s="57">
        <v>0.185501434809417</v>
      </c>
      <c r="AP148" s="53"/>
      <c r="AQ148" s="53"/>
      <c r="AR148" s="53"/>
      <c r="AS148" s="53"/>
      <c r="AT148" s="53"/>
      <c r="AU148" s="53"/>
      <c r="AV148" s="53"/>
      <c r="AW148" s="53"/>
      <c r="AX148" s="53"/>
      <c r="AY148" s="53"/>
      <c r="AZ148" s="53"/>
      <c r="BA148" s="53"/>
      <c r="BB148" s="53"/>
      <c r="BC148" s="53"/>
      <c r="BD148" s="53"/>
      <c r="BE148" s="53"/>
      <c r="BF148" s="53"/>
      <c r="BG148" s="53"/>
      <c r="BH148" s="53"/>
      <c r="BI148" s="53"/>
      <c r="BJ148" s="53"/>
      <c r="BK148" s="53"/>
      <c r="BL148" s="53"/>
      <c r="BM148" s="53"/>
      <c r="BN148" s="53"/>
      <c r="BO148" s="53"/>
      <c r="BP148" s="53"/>
      <c r="BQ148" s="53"/>
      <c r="BR148" s="53"/>
      <c r="BS148" s="53"/>
      <c r="BT148" s="53"/>
      <c r="BU148" s="53"/>
      <c r="BV148" s="53"/>
      <c r="BW148" s="53"/>
      <c r="BX148" s="53"/>
      <c r="BY148" s="53"/>
      <c r="BZ148" s="53"/>
      <c r="CA148" s="53"/>
      <c r="CB148" s="53"/>
      <c r="CC148" s="53"/>
      <c r="CD148" s="53"/>
      <c r="CE148" s="53"/>
      <c r="CF148" s="53"/>
      <c r="CG148" s="53"/>
      <c r="CH148" s="53"/>
      <c r="CI148" s="53"/>
      <c r="CJ148" s="53"/>
      <c r="CK148" s="53"/>
    </row>
    <row r="149" ht="33" spans="1:89">
      <c r="A149" s="53" t="s">
        <v>730</v>
      </c>
      <c r="B149" s="54" t="s">
        <v>731</v>
      </c>
      <c r="C149" s="53" t="s">
        <v>732</v>
      </c>
      <c r="D149" s="53"/>
      <c r="E149" s="32">
        <v>45973</v>
      </c>
      <c r="F149" s="55">
        <v>35</v>
      </c>
      <c r="G149" s="34">
        <f t="shared" si="6"/>
        <v>125</v>
      </c>
      <c r="H149" s="56">
        <v>1</v>
      </c>
      <c r="I149" s="56">
        <v>23.6902654867257</v>
      </c>
      <c r="J149" s="56">
        <v>5.4818333286</v>
      </c>
      <c r="K149" s="56">
        <v>51.34</v>
      </c>
      <c r="L149" s="56">
        <v>68.23868</v>
      </c>
      <c r="M149" s="56">
        <v>4.44312</v>
      </c>
      <c r="N149" s="56">
        <v>11.0630133504</v>
      </c>
      <c r="O149" s="35">
        <v>0</v>
      </c>
      <c r="P149" s="56">
        <v>2.44305862831858</v>
      </c>
      <c r="Q149" s="53" t="s">
        <v>93</v>
      </c>
      <c r="R149" s="53" t="s">
        <v>94</v>
      </c>
      <c r="S149" s="35">
        <v>6.8</v>
      </c>
      <c r="T149" s="53" t="s">
        <v>733</v>
      </c>
      <c r="U149" s="53">
        <v>159.57</v>
      </c>
      <c r="V149" s="53">
        <v>5.24000000000001</v>
      </c>
      <c r="W149" s="51" t="s">
        <v>734</v>
      </c>
      <c r="X149" s="56">
        <v>23.5068787698232</v>
      </c>
      <c r="Y149" s="56">
        <v>13.6160423450826</v>
      </c>
      <c r="Z149" s="53"/>
      <c r="AA149" s="56">
        <v>31.6456777777778</v>
      </c>
      <c r="AB149" s="56">
        <v>23.51</v>
      </c>
      <c r="AC149" s="41">
        <v>0.1</v>
      </c>
      <c r="AD149" s="56">
        <v>22.2982093326847</v>
      </c>
      <c r="AE149" s="56">
        <v>0.148186413082829</v>
      </c>
      <c r="AF149" s="57">
        <v>0.0152817238491667</v>
      </c>
      <c r="AG149" s="57">
        <v>0.0342897473453099</v>
      </c>
      <c r="AH149" s="57">
        <v>0.321139940450872</v>
      </c>
      <c r="AI149" s="44">
        <v>0.1769</v>
      </c>
      <c r="AJ149" s="44">
        <v>0.0336</v>
      </c>
      <c r="AK149" s="45">
        <v>0.0006</v>
      </c>
      <c r="AL149" s="45">
        <v>0</v>
      </c>
      <c r="AM149" s="45">
        <v>0.1125</v>
      </c>
      <c r="AN149" s="57">
        <v>0.0277924287537218</v>
      </c>
      <c r="AO149" s="57">
        <v>0.129709746518101</v>
      </c>
      <c r="AP149" s="53"/>
      <c r="AQ149" s="53"/>
      <c r="AR149" s="53"/>
      <c r="AS149" s="53"/>
      <c r="AT149" s="53"/>
      <c r="AU149" s="53"/>
      <c r="AV149" s="53"/>
      <c r="AW149" s="53"/>
      <c r="AX149" s="53"/>
      <c r="AY149" s="53"/>
      <c r="AZ149" s="53"/>
      <c r="BA149" s="53"/>
      <c r="BB149" s="53"/>
      <c r="BC149" s="53"/>
      <c r="BD149" s="53"/>
      <c r="BE149" s="53"/>
      <c r="BF149" s="53"/>
      <c r="BG149" s="53"/>
      <c r="BH149" s="53"/>
      <c r="BI149" s="53"/>
      <c r="BJ149" s="53"/>
      <c r="BK149" s="53"/>
      <c r="BL149" s="53"/>
      <c r="BM149" s="53"/>
      <c r="BN149" s="53"/>
      <c r="BO149" s="53"/>
      <c r="BP149" s="53"/>
      <c r="BQ149" s="53"/>
      <c r="BR149" s="53"/>
      <c r="BS149" s="53"/>
      <c r="BT149" s="53"/>
      <c r="BU149" s="53"/>
      <c r="BV149" s="53"/>
      <c r="BW149" s="53"/>
      <c r="BX149" s="53"/>
      <c r="BY149" s="53"/>
      <c r="BZ149" s="53"/>
      <c r="CA149" s="53"/>
      <c r="CB149" s="53"/>
      <c r="CC149" s="53"/>
      <c r="CD149" s="53"/>
      <c r="CE149" s="53"/>
      <c r="CF149" s="53"/>
      <c r="CG149" s="53"/>
      <c r="CH149" s="53"/>
      <c r="CI149" s="53"/>
      <c r="CJ149" s="53"/>
      <c r="CK149" s="53"/>
    </row>
    <row r="150" ht="165" spans="1:89">
      <c r="A150" s="53" t="s">
        <v>735</v>
      </c>
      <c r="B150" s="54" t="s">
        <v>736</v>
      </c>
      <c r="C150" s="53" t="s">
        <v>737</v>
      </c>
      <c r="D150" s="53"/>
      <c r="E150" s="32">
        <v>45973</v>
      </c>
      <c r="F150" s="55">
        <v>40</v>
      </c>
      <c r="G150" s="34">
        <f t="shared" si="6"/>
        <v>130</v>
      </c>
      <c r="H150" s="56">
        <v>2.5</v>
      </c>
      <c r="I150" s="56">
        <v>27.4955752212389</v>
      </c>
      <c r="J150" s="56">
        <v>5.8473363826</v>
      </c>
      <c r="K150" s="56">
        <v>51.34</v>
      </c>
      <c r="L150" s="56">
        <v>68.23868</v>
      </c>
      <c r="M150" s="56">
        <v>4.739328</v>
      </c>
      <c r="N150" s="56">
        <v>11.80054757376</v>
      </c>
      <c r="O150" s="35">
        <v>0</v>
      </c>
      <c r="P150" s="56">
        <v>2.83548119469027</v>
      </c>
      <c r="Q150" s="53" t="s">
        <v>93</v>
      </c>
      <c r="R150" s="53" t="s">
        <v>94</v>
      </c>
      <c r="S150" s="35">
        <v>6.8</v>
      </c>
      <c r="T150" s="53" t="s">
        <v>738</v>
      </c>
      <c r="U150" s="53">
        <v>49.72</v>
      </c>
      <c r="V150" s="53">
        <v>3.8599999999999</v>
      </c>
      <c r="W150" s="51" t="s">
        <v>739</v>
      </c>
      <c r="X150" s="56">
        <v>28.8548580304856</v>
      </c>
      <c r="Y150" s="56">
        <v>32.484446467857</v>
      </c>
      <c r="Z150" s="53"/>
      <c r="AA150" s="56">
        <v>154.309431129148</v>
      </c>
      <c r="AB150" s="56">
        <v>28.85</v>
      </c>
      <c r="AC150" s="41">
        <v>0.1</v>
      </c>
      <c r="AD150" s="56">
        <v>23.5380150626937</v>
      </c>
      <c r="AE150" s="56">
        <v>0.140154833424605</v>
      </c>
      <c r="AF150" s="57">
        <v>0.0144534671969124</v>
      </c>
      <c r="AG150" s="57">
        <v>0.0298059760556632</v>
      </c>
      <c r="AH150" s="57">
        <v>0.261698440207972</v>
      </c>
      <c r="AI150" s="44">
        <v>0.1769</v>
      </c>
      <c r="AJ150" s="44">
        <v>0.0336</v>
      </c>
      <c r="AK150" s="45">
        <v>0.0006</v>
      </c>
      <c r="AL150" s="45">
        <v>0</v>
      </c>
      <c r="AM150" s="45">
        <v>0.1125</v>
      </c>
      <c r="AN150" s="57">
        <v>0.0241580589254766</v>
      </c>
      <c r="AO150" s="57">
        <v>0.206129224189371</v>
      </c>
      <c r="AP150" s="53"/>
      <c r="AQ150" s="53"/>
      <c r="AR150" s="53"/>
      <c r="AS150" s="53"/>
      <c r="AT150" s="53"/>
      <c r="AU150" s="53"/>
      <c r="AV150" s="53"/>
      <c r="AW150" s="53"/>
      <c r="AX150" s="53"/>
      <c r="AY150" s="53"/>
      <c r="AZ150" s="53"/>
      <c r="BA150" s="53"/>
      <c r="BB150" s="53"/>
      <c r="BC150" s="53"/>
      <c r="BD150" s="53"/>
      <c r="BE150" s="53"/>
      <c r="BF150" s="53"/>
      <c r="BG150" s="53"/>
      <c r="BH150" s="53"/>
      <c r="BI150" s="53"/>
      <c r="BJ150" s="53"/>
      <c r="BK150" s="53"/>
      <c r="BL150" s="53"/>
      <c r="BM150" s="53"/>
      <c r="BN150" s="53"/>
      <c r="BO150" s="53"/>
      <c r="BP150" s="53"/>
      <c r="BQ150" s="53"/>
      <c r="BR150" s="53"/>
      <c r="BS150" s="53"/>
      <c r="BT150" s="53"/>
      <c r="BU150" s="53"/>
      <c r="BV150" s="53"/>
      <c r="BW150" s="53"/>
      <c r="BX150" s="53"/>
      <c r="BY150" s="53"/>
      <c r="BZ150" s="53"/>
      <c r="CA150" s="53"/>
      <c r="CB150" s="53"/>
      <c r="CC150" s="53"/>
      <c r="CD150" s="53"/>
      <c r="CE150" s="53"/>
      <c r="CF150" s="53"/>
      <c r="CG150" s="53"/>
      <c r="CH150" s="53"/>
      <c r="CI150" s="53"/>
      <c r="CJ150" s="53"/>
      <c r="CK150" s="53"/>
    </row>
    <row r="151" ht="99" spans="1:89">
      <c r="A151" s="53" t="s">
        <v>740</v>
      </c>
      <c r="B151" s="54" t="s">
        <v>741</v>
      </c>
      <c r="C151" s="53" t="s">
        <v>742</v>
      </c>
      <c r="D151" s="53"/>
      <c r="E151" s="32">
        <v>45973</v>
      </c>
      <c r="F151" s="55">
        <v>35</v>
      </c>
      <c r="G151" s="34">
        <f t="shared" si="6"/>
        <v>125</v>
      </c>
      <c r="H151" s="56">
        <v>0.97</v>
      </c>
      <c r="I151" s="56">
        <v>20.1504424778761</v>
      </c>
      <c r="J151" s="56">
        <v>5.0944860297</v>
      </c>
      <c r="K151" s="56">
        <v>51.34</v>
      </c>
      <c r="L151" s="56">
        <v>68.23868</v>
      </c>
      <c r="M151" s="56">
        <v>4.12896</v>
      </c>
      <c r="N151" s="56">
        <v>10.2807800832</v>
      </c>
      <c r="O151" s="35">
        <v>0</v>
      </c>
      <c r="P151" s="56">
        <v>2.07801438053097</v>
      </c>
      <c r="Q151" s="53" t="s">
        <v>93</v>
      </c>
      <c r="R151" s="53" t="s">
        <v>94</v>
      </c>
      <c r="S151" s="35">
        <v>6.8</v>
      </c>
      <c r="T151" s="53" t="s">
        <v>743</v>
      </c>
      <c r="U151" s="53">
        <v>51.5</v>
      </c>
      <c r="V151" s="53">
        <v>17.04</v>
      </c>
      <c r="W151" s="51" t="s">
        <v>744</v>
      </c>
      <c r="X151" s="56">
        <v>20.4959732006562</v>
      </c>
      <c r="Y151" s="56">
        <v>30.1288485596708</v>
      </c>
      <c r="Z151" s="53"/>
      <c r="AA151" s="56">
        <v>98.5144666666667</v>
      </c>
      <c r="AB151" s="56">
        <v>21.99</v>
      </c>
      <c r="AC151" s="41">
        <v>0.1</v>
      </c>
      <c r="AD151" s="56">
        <v>21.1229698759305</v>
      </c>
      <c r="AE151" s="56">
        <v>0.134756724165236</v>
      </c>
      <c r="AF151" s="57">
        <v>0.01389678717954</v>
      </c>
      <c r="AG151" s="57">
        <v>0.0340695371539202</v>
      </c>
      <c r="AH151" s="57">
        <v>0.343337880854934</v>
      </c>
      <c r="AI151" s="44">
        <v>0.1769</v>
      </c>
      <c r="AJ151" s="44">
        <v>0.0336</v>
      </c>
      <c r="AK151" s="45">
        <v>0.0006</v>
      </c>
      <c r="AL151" s="45">
        <v>0</v>
      </c>
      <c r="AM151" s="45">
        <v>0.1125</v>
      </c>
      <c r="AN151" s="57">
        <v>0.027612551159618</v>
      </c>
      <c r="AO151" s="57">
        <v>0.122726519486752</v>
      </c>
      <c r="AP151" s="53"/>
      <c r="AQ151" s="53"/>
      <c r="AR151" s="53"/>
      <c r="AS151" s="53"/>
      <c r="AT151" s="53"/>
      <c r="AU151" s="53"/>
      <c r="AV151" s="53"/>
      <c r="AW151" s="53"/>
      <c r="AX151" s="53"/>
      <c r="AY151" s="53"/>
      <c r="AZ151" s="53"/>
      <c r="BA151" s="53"/>
      <c r="BB151" s="53"/>
      <c r="BC151" s="53"/>
      <c r="BD151" s="53"/>
      <c r="BE151" s="53"/>
      <c r="BF151" s="53"/>
      <c r="BG151" s="53"/>
      <c r="BH151" s="53"/>
      <c r="BI151" s="53"/>
      <c r="BJ151" s="53"/>
      <c r="BK151" s="53"/>
      <c r="BL151" s="53"/>
      <c r="BM151" s="53"/>
      <c r="BN151" s="53"/>
      <c r="BO151" s="53"/>
      <c r="BP151" s="53"/>
      <c r="BQ151" s="53"/>
      <c r="BR151" s="53"/>
      <c r="BS151" s="53"/>
      <c r="BT151" s="53"/>
      <c r="BU151" s="53"/>
      <c r="BV151" s="53"/>
      <c r="BW151" s="53"/>
      <c r="BX151" s="53"/>
      <c r="BY151" s="53"/>
      <c r="BZ151" s="53"/>
      <c r="CA151" s="53"/>
      <c r="CB151" s="53"/>
      <c r="CC151" s="53"/>
      <c r="CD151" s="53"/>
      <c r="CE151" s="53"/>
      <c r="CF151" s="53"/>
      <c r="CG151" s="53"/>
      <c r="CH151" s="53"/>
      <c r="CI151" s="53"/>
      <c r="CJ151" s="53"/>
      <c r="CK151" s="53"/>
    </row>
    <row r="152" ht="33" spans="1:89">
      <c r="A152" s="53" t="s">
        <v>745</v>
      </c>
      <c r="B152" s="54" t="s">
        <v>746</v>
      </c>
      <c r="C152" s="53" t="s">
        <v>747</v>
      </c>
      <c r="D152" s="53"/>
      <c r="E152" s="32">
        <v>45973</v>
      </c>
      <c r="F152" s="55">
        <v>35</v>
      </c>
      <c r="G152" s="34">
        <f t="shared" si="6"/>
        <v>125</v>
      </c>
      <c r="H152" s="56">
        <v>0.48</v>
      </c>
      <c r="I152" s="56">
        <v>19.1327433628319</v>
      </c>
      <c r="J152" s="56">
        <v>3.3954268776</v>
      </c>
      <c r="K152" s="56">
        <v>47.124</v>
      </c>
      <c r="L152" s="56">
        <v>66.31428</v>
      </c>
      <c r="M152" s="56">
        <v>2.75195184</v>
      </c>
      <c r="N152" s="56">
        <v>6.8521399254528</v>
      </c>
      <c r="O152" s="35">
        <v>0</v>
      </c>
      <c r="P152" s="56">
        <v>1.97306415929204</v>
      </c>
      <c r="Q152" s="53" t="s">
        <v>93</v>
      </c>
      <c r="R152" s="53" t="s">
        <v>94</v>
      </c>
      <c r="S152" s="35">
        <v>6.8</v>
      </c>
      <c r="T152" s="53" t="s">
        <v>748</v>
      </c>
      <c r="U152" s="53">
        <v>49.19</v>
      </c>
      <c r="V152" s="53">
        <v>10.04</v>
      </c>
      <c r="W152" s="51" t="s">
        <v>749</v>
      </c>
      <c r="X152" s="56">
        <v>19.9900148148148</v>
      </c>
      <c r="Y152" s="56">
        <v>14.9486733593242</v>
      </c>
      <c r="Z152" s="53"/>
      <c r="AA152" s="56">
        <v>33.75</v>
      </c>
      <c r="AB152" s="56">
        <v>19.99</v>
      </c>
      <c r="AC152" s="41">
        <v>0.1</v>
      </c>
      <c r="AD152" s="56">
        <v>18.9760956034729</v>
      </c>
      <c r="AE152" s="56">
        <v>0.140752312647735</v>
      </c>
      <c r="AF152" s="57">
        <v>0.0145150822417976</v>
      </c>
      <c r="AG152" s="57">
        <v>0.0249788635317659</v>
      </c>
      <c r="AH152" s="57">
        <v>0.346673336668334</v>
      </c>
      <c r="AI152" s="44">
        <v>0.1769</v>
      </c>
      <c r="AJ152" s="44">
        <v>0.0336</v>
      </c>
      <c r="AK152" s="45">
        <v>0.0006</v>
      </c>
      <c r="AL152" s="45">
        <v>0</v>
      </c>
      <c r="AM152" s="45">
        <v>0.1125</v>
      </c>
      <c r="AN152" s="57">
        <v>0.0202450625312656</v>
      </c>
      <c r="AO152" s="57">
        <v>0.129235342379102</v>
      </c>
      <c r="AP152" s="53"/>
      <c r="AQ152" s="53"/>
      <c r="AR152" s="53"/>
      <c r="AS152" s="53"/>
      <c r="AT152" s="53"/>
      <c r="AU152" s="53"/>
      <c r="AV152" s="53"/>
      <c r="AW152" s="53"/>
      <c r="AX152" s="53"/>
      <c r="AY152" s="53"/>
      <c r="AZ152" s="53"/>
      <c r="BA152" s="53"/>
      <c r="BB152" s="53"/>
      <c r="BC152" s="53"/>
      <c r="BD152" s="53"/>
      <c r="BE152" s="53"/>
      <c r="BF152" s="53"/>
      <c r="BG152" s="53"/>
      <c r="BH152" s="53"/>
      <c r="BI152" s="53"/>
      <c r="BJ152" s="53"/>
      <c r="BK152" s="53"/>
      <c r="BL152" s="53"/>
      <c r="BM152" s="53"/>
      <c r="BN152" s="53"/>
      <c r="BO152" s="53"/>
      <c r="BP152" s="53"/>
      <c r="BQ152" s="53"/>
      <c r="BR152" s="53"/>
      <c r="BS152" s="53"/>
      <c r="BT152" s="53"/>
      <c r="BU152" s="53"/>
      <c r="BV152" s="53"/>
      <c r="BW152" s="53"/>
      <c r="BX152" s="53"/>
      <c r="BY152" s="53"/>
      <c r="BZ152" s="53"/>
      <c r="CA152" s="53"/>
      <c r="CB152" s="53"/>
      <c r="CC152" s="53"/>
      <c r="CD152" s="53"/>
      <c r="CE152" s="53"/>
      <c r="CF152" s="53"/>
      <c r="CG152" s="53"/>
      <c r="CH152" s="53"/>
      <c r="CI152" s="53"/>
      <c r="CJ152" s="53"/>
      <c r="CK152" s="53"/>
    </row>
    <row r="153" ht="99" spans="1:89">
      <c r="A153" s="53" t="s">
        <v>750</v>
      </c>
      <c r="B153" s="54" t="s">
        <v>751</v>
      </c>
      <c r="C153" s="53" t="s">
        <v>752</v>
      </c>
      <c r="D153" s="53"/>
      <c r="E153" s="32">
        <v>45973</v>
      </c>
      <c r="F153" s="55">
        <v>35</v>
      </c>
      <c r="G153" s="34">
        <f t="shared" si="6"/>
        <v>125</v>
      </c>
      <c r="H153" s="56">
        <v>1.82</v>
      </c>
      <c r="I153" s="56">
        <v>17.283185840708</v>
      </c>
      <c r="J153" s="56">
        <v>3.3954268776</v>
      </c>
      <c r="K153" s="56">
        <v>47.124</v>
      </c>
      <c r="L153" s="56">
        <v>66.31428</v>
      </c>
      <c r="M153" s="56">
        <v>2.75195184</v>
      </c>
      <c r="N153" s="56">
        <v>6.8521399254528</v>
      </c>
      <c r="O153" s="35">
        <v>0</v>
      </c>
      <c r="P153" s="56">
        <v>1.78232853982301</v>
      </c>
      <c r="Q153" s="53" t="s">
        <v>93</v>
      </c>
      <c r="R153" s="53" t="s">
        <v>94</v>
      </c>
      <c r="S153" s="35">
        <v>6.8</v>
      </c>
      <c r="T153" s="53" t="s">
        <v>753</v>
      </c>
      <c r="U153" s="53">
        <v>17.82</v>
      </c>
      <c r="V153" s="53">
        <v>5.88000000000011</v>
      </c>
      <c r="W153" s="51" t="s">
        <v>754</v>
      </c>
      <c r="X153" s="56">
        <v>25.2254112812172</v>
      </c>
      <c r="Y153" s="56">
        <v>56.4741816940919</v>
      </c>
      <c r="Z153" s="53"/>
      <c r="AA153" s="56">
        <v>162.371960901073</v>
      </c>
      <c r="AB153" s="56">
        <v>25.23</v>
      </c>
      <c r="AC153" s="41">
        <v>0.1</v>
      </c>
      <c r="AD153" s="56">
        <v>18.4555489187786</v>
      </c>
      <c r="AE153" s="56">
        <v>0.100739000260591</v>
      </c>
      <c r="AF153" s="57">
        <v>0.0103887094018734</v>
      </c>
      <c r="AG153" s="57">
        <v>0.0197910218787158</v>
      </c>
      <c r="AH153" s="57">
        <v>0.274673008323425</v>
      </c>
      <c r="AI153" s="44">
        <v>0.1769</v>
      </c>
      <c r="AJ153" s="44">
        <v>0.0336</v>
      </c>
      <c r="AK153" s="45">
        <v>0.0006</v>
      </c>
      <c r="AL153" s="45">
        <v>0</v>
      </c>
      <c r="AM153" s="45">
        <v>0.1125</v>
      </c>
      <c r="AN153" s="57">
        <v>0.0160403804994055</v>
      </c>
      <c r="AO153" s="57">
        <v>0.25476787963599</v>
      </c>
      <c r="AP153" s="53"/>
      <c r="AQ153" s="53"/>
      <c r="AR153" s="53"/>
      <c r="AS153" s="53"/>
      <c r="AT153" s="53"/>
      <c r="AU153" s="53"/>
      <c r="AV153" s="53"/>
      <c r="AW153" s="53"/>
      <c r="AX153" s="53"/>
      <c r="AY153" s="53"/>
      <c r="AZ153" s="53"/>
      <c r="BA153" s="53"/>
      <c r="BB153" s="53"/>
      <c r="BC153" s="53"/>
      <c r="BD153" s="53"/>
      <c r="BE153" s="53"/>
      <c r="BF153" s="53"/>
      <c r="BG153" s="53"/>
      <c r="BH153" s="53"/>
      <c r="BI153" s="53"/>
      <c r="BJ153" s="53"/>
      <c r="BK153" s="53"/>
      <c r="BL153" s="53"/>
      <c r="BM153" s="53"/>
      <c r="BN153" s="53"/>
      <c r="BO153" s="53"/>
      <c r="BP153" s="53"/>
      <c r="BQ153" s="53"/>
      <c r="BR153" s="53"/>
      <c r="BS153" s="53"/>
      <c r="BT153" s="53"/>
      <c r="BU153" s="53"/>
      <c r="BV153" s="53"/>
      <c r="BW153" s="53"/>
      <c r="BX153" s="53"/>
      <c r="BY153" s="53"/>
      <c r="BZ153" s="53"/>
      <c r="CA153" s="53"/>
      <c r="CB153" s="53"/>
      <c r="CC153" s="53"/>
      <c r="CD153" s="53"/>
      <c r="CE153" s="53"/>
      <c r="CF153" s="53"/>
      <c r="CG153" s="53"/>
      <c r="CH153" s="53"/>
      <c r="CI153" s="53"/>
      <c r="CJ153" s="53"/>
      <c r="CK153" s="53"/>
    </row>
    <row r="154" ht="33" spans="1:89">
      <c r="A154" s="53" t="s">
        <v>755</v>
      </c>
      <c r="B154" s="54" t="s">
        <v>756</v>
      </c>
      <c r="C154" s="53" t="s">
        <v>757</v>
      </c>
      <c r="D154" s="53"/>
      <c r="E154" s="32">
        <v>45973</v>
      </c>
      <c r="F154" s="55">
        <v>35</v>
      </c>
      <c r="G154" s="34">
        <f t="shared" si="6"/>
        <v>125</v>
      </c>
      <c r="H154" s="56">
        <v>1.3</v>
      </c>
      <c r="I154" s="56">
        <v>25.9380530973451</v>
      </c>
      <c r="J154" s="56">
        <v>5.2143493426</v>
      </c>
      <c r="K154" s="56">
        <v>51.34</v>
      </c>
      <c r="L154" s="56">
        <v>68.23868</v>
      </c>
      <c r="M154" s="56">
        <v>4.226013</v>
      </c>
      <c r="N154" s="56">
        <v>10.52243428896</v>
      </c>
      <c r="O154" s="35">
        <v>0</v>
      </c>
      <c r="P154" s="56">
        <v>2.67486172566372</v>
      </c>
      <c r="Q154" s="53" t="s">
        <v>93</v>
      </c>
      <c r="R154" s="53" t="s">
        <v>94</v>
      </c>
      <c r="S154" s="35">
        <v>6.8</v>
      </c>
      <c r="T154" s="53" t="s">
        <v>758</v>
      </c>
      <c r="U154" s="53">
        <v>19</v>
      </c>
      <c r="V154" s="53">
        <v>5.56999999999994</v>
      </c>
      <c r="W154" s="51" t="s">
        <v>759</v>
      </c>
      <c r="X154" s="56">
        <v>23.9899458932133</v>
      </c>
      <c r="Y154" s="56">
        <v>25.2962329575953</v>
      </c>
      <c r="Z154" s="53"/>
      <c r="AA154" s="56">
        <v>57.6083</v>
      </c>
      <c r="AB154" s="56">
        <v>23.99</v>
      </c>
      <c r="AC154" s="41">
        <v>0.1</v>
      </c>
      <c r="AD154" s="56">
        <v>22.8072001585931</v>
      </c>
      <c r="AE154" s="56">
        <v>0.159000399047061</v>
      </c>
      <c r="AF154" s="57">
        <v>0.0163969161517282</v>
      </c>
      <c r="AG154" s="57">
        <v>0.0319639883198882</v>
      </c>
      <c r="AH154" s="57">
        <v>0.31471446436015</v>
      </c>
      <c r="AI154" s="44">
        <v>0.1769</v>
      </c>
      <c r="AJ154" s="44">
        <v>0.0336</v>
      </c>
      <c r="AK154" s="45">
        <v>0.0006</v>
      </c>
      <c r="AL154" s="45">
        <v>0</v>
      </c>
      <c r="AM154" s="45">
        <v>0.1125</v>
      </c>
      <c r="AN154" s="57">
        <v>0.0259054814506044</v>
      </c>
      <c r="AO154" s="57">
        <v>0.128418750670568</v>
      </c>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c r="CJ154" s="53"/>
      <c r="CK154" s="53"/>
    </row>
    <row r="155" ht="165" spans="1:89">
      <c r="A155" s="53" t="s">
        <v>760</v>
      </c>
      <c r="B155" s="54" t="s">
        <v>761</v>
      </c>
      <c r="C155" s="53" t="s">
        <v>762</v>
      </c>
      <c r="D155" s="53"/>
      <c r="E155" s="32">
        <v>45973</v>
      </c>
      <c r="F155" s="55">
        <v>35</v>
      </c>
      <c r="G155" s="34">
        <f t="shared" si="6"/>
        <v>125</v>
      </c>
      <c r="H155" s="56">
        <v>1.7</v>
      </c>
      <c r="I155" s="56">
        <v>25.3893805309735</v>
      </c>
      <c r="J155" s="56">
        <v>5.0183386646</v>
      </c>
      <c r="K155" s="56">
        <v>51.34</v>
      </c>
      <c r="L155" s="56">
        <v>66.31428</v>
      </c>
      <c r="M155" s="56">
        <v>4.06725</v>
      </c>
      <c r="N155" s="56">
        <v>10.12712712</v>
      </c>
      <c r="O155" s="35">
        <v>0</v>
      </c>
      <c r="P155" s="56">
        <v>2.61827986725664</v>
      </c>
      <c r="Q155" s="53" t="s">
        <v>93</v>
      </c>
      <c r="R155" s="53" t="s">
        <v>94</v>
      </c>
      <c r="S155" s="35">
        <v>6.8</v>
      </c>
      <c r="T155" s="53" t="s">
        <v>763</v>
      </c>
      <c r="U155" s="53">
        <v>123.32</v>
      </c>
      <c r="V155" s="53">
        <v>3.20000000000005</v>
      </c>
      <c r="W155" s="51" t="s">
        <v>764</v>
      </c>
      <c r="X155" s="56">
        <v>23.2945595277094</v>
      </c>
      <c r="Y155" s="56">
        <v>15.9522855378009</v>
      </c>
      <c r="Z155" s="53"/>
      <c r="AA155" s="56">
        <v>113.62659778022</v>
      </c>
      <c r="AB155" s="56">
        <v>23.99</v>
      </c>
      <c r="AC155" s="41">
        <v>0.1</v>
      </c>
      <c r="AD155" s="56">
        <v>22.5622650382777</v>
      </c>
      <c r="AE155" s="56">
        <v>0.155637033389975</v>
      </c>
      <c r="AF155" s="57">
        <v>0.0160500690683412</v>
      </c>
      <c r="AG155" s="57">
        <v>0.0307624418544492</v>
      </c>
      <c r="AH155" s="57">
        <v>0.31471446436015</v>
      </c>
      <c r="AI155" s="44">
        <v>0.1769</v>
      </c>
      <c r="AJ155" s="44">
        <v>0.0336</v>
      </c>
      <c r="AK155" s="45">
        <v>0.0006</v>
      </c>
      <c r="AL155" s="45">
        <v>0</v>
      </c>
      <c r="AM155" s="45">
        <v>0.1125</v>
      </c>
      <c r="AN155" s="57">
        <v>0.0249322634431013</v>
      </c>
      <c r="AO155" s="57">
        <v>0.134303727883983</v>
      </c>
      <c r="AP155" s="53"/>
      <c r="AQ155" s="53"/>
      <c r="AR155" s="53"/>
      <c r="AS155" s="53"/>
      <c r="AT155" s="53"/>
      <c r="AU155" s="53"/>
      <c r="AV155" s="53"/>
      <c r="AW155" s="53"/>
      <c r="AX155" s="53"/>
      <c r="AY155" s="53"/>
      <c r="AZ155" s="53"/>
      <c r="BA155" s="53"/>
      <c r="BB155" s="53"/>
      <c r="BC155" s="53"/>
      <c r="BD155" s="53"/>
      <c r="BE155" s="53"/>
      <c r="BF155" s="53"/>
      <c r="BG155" s="53"/>
      <c r="BH155" s="53"/>
      <c r="BI155" s="53"/>
      <c r="BJ155" s="53"/>
      <c r="BK155" s="53"/>
      <c r="BL155" s="53"/>
      <c r="BM155" s="53"/>
      <c r="BN155" s="53"/>
      <c r="BO155" s="53"/>
      <c r="BP155" s="53"/>
      <c r="BQ155" s="53"/>
      <c r="BR155" s="53"/>
      <c r="BS155" s="53"/>
      <c r="BT155" s="53"/>
      <c r="BU155" s="53"/>
      <c r="BV155" s="53"/>
      <c r="BW155" s="53"/>
      <c r="BX155" s="53"/>
      <c r="BY155" s="53"/>
      <c r="BZ155" s="53"/>
      <c r="CA155" s="53"/>
      <c r="CB155" s="53"/>
      <c r="CC155" s="53"/>
      <c r="CD155" s="53"/>
      <c r="CE155" s="53"/>
      <c r="CF155" s="53"/>
      <c r="CG155" s="53"/>
      <c r="CH155" s="53"/>
      <c r="CI155" s="53"/>
      <c r="CJ155" s="53"/>
      <c r="CK155" s="53"/>
    </row>
    <row r="156" ht="66" spans="1:89">
      <c r="A156" s="53" t="s">
        <v>765</v>
      </c>
      <c r="B156" s="54" t="s">
        <v>766</v>
      </c>
      <c r="C156" s="53" t="s">
        <v>767</v>
      </c>
      <c r="D156" s="53"/>
      <c r="E156" s="32">
        <v>45973</v>
      </c>
      <c r="F156" s="55">
        <v>35</v>
      </c>
      <c r="G156" s="34">
        <f t="shared" si="6"/>
        <v>125</v>
      </c>
      <c r="H156" s="56">
        <v>0.95</v>
      </c>
      <c r="I156" s="56">
        <v>23.8849557522124</v>
      </c>
      <c r="J156" s="56">
        <v>6.2816819503</v>
      </c>
      <c r="K156" s="56">
        <v>53.516</v>
      </c>
      <c r="L156" s="56">
        <v>68.23868</v>
      </c>
      <c r="M156" s="56">
        <v>5.091075</v>
      </c>
      <c r="N156" s="56">
        <v>12.676369464</v>
      </c>
      <c r="O156" s="35">
        <v>0</v>
      </c>
      <c r="P156" s="56">
        <v>2.4631360619469</v>
      </c>
      <c r="Q156" s="53" t="s">
        <v>93</v>
      </c>
      <c r="R156" s="53" t="s">
        <v>94</v>
      </c>
      <c r="S156" s="35">
        <v>6.8</v>
      </c>
      <c r="T156" s="53" t="s">
        <v>768</v>
      </c>
      <c r="U156" s="53">
        <v>45.49</v>
      </c>
      <c r="V156" s="53">
        <v>11.54</v>
      </c>
      <c r="W156" s="51" t="s">
        <v>769</v>
      </c>
      <c r="X156" s="56">
        <v>24.239802983789</v>
      </c>
      <c r="Y156" s="56">
        <v>29.4318064638448</v>
      </c>
      <c r="Z156" s="53"/>
      <c r="AA156" s="56">
        <v>69.2590854285714</v>
      </c>
      <c r="AB156" s="56">
        <v>24.239802983789</v>
      </c>
      <c r="AC156" s="41">
        <v>0.1</v>
      </c>
      <c r="AD156" s="56">
        <v>23.2775566305209</v>
      </c>
      <c r="AE156" s="56">
        <v>0.144906024827078</v>
      </c>
      <c r="AF156" s="57">
        <v>0.0149434338102924</v>
      </c>
      <c r="AG156" s="57">
        <v>0.0381099119499799</v>
      </c>
      <c r="AH156" s="57">
        <v>0.324672605848458</v>
      </c>
      <c r="AI156" s="44">
        <v>0.1769</v>
      </c>
      <c r="AJ156" s="44">
        <v>0.0336</v>
      </c>
      <c r="AK156" s="45">
        <v>0.0006</v>
      </c>
      <c r="AL156" s="45">
        <v>0</v>
      </c>
      <c r="AM156" s="45">
        <v>0.1125</v>
      </c>
      <c r="AN156" s="57">
        <v>0.0308866990585981</v>
      </c>
      <c r="AO156" s="57">
        <v>0.122881324505594</v>
      </c>
      <c r="AP156" s="53"/>
      <c r="AQ156" s="53"/>
      <c r="AR156" s="53"/>
      <c r="AS156" s="53"/>
      <c r="AT156" s="53"/>
      <c r="AU156" s="53"/>
      <c r="AV156" s="53"/>
      <c r="AW156" s="53"/>
      <c r="AX156" s="53"/>
      <c r="AY156" s="53"/>
      <c r="AZ156" s="53"/>
      <c r="BA156" s="53"/>
      <c r="BB156" s="53"/>
      <c r="BC156" s="53"/>
      <c r="BD156" s="53"/>
      <c r="BE156" s="53"/>
      <c r="BF156" s="53"/>
      <c r="BG156" s="53"/>
      <c r="BH156" s="53"/>
      <c r="BI156" s="53"/>
      <c r="BJ156" s="53"/>
      <c r="BK156" s="53"/>
      <c r="BL156" s="53"/>
      <c r="BM156" s="53"/>
      <c r="BN156" s="53"/>
      <c r="BO156" s="53"/>
      <c r="BP156" s="53"/>
      <c r="BQ156" s="53"/>
      <c r="BR156" s="53"/>
      <c r="BS156" s="53"/>
      <c r="BT156" s="53"/>
      <c r="BU156" s="53"/>
      <c r="BV156" s="53"/>
      <c r="BW156" s="53"/>
      <c r="BX156" s="53"/>
      <c r="BY156" s="53"/>
      <c r="BZ156" s="53"/>
      <c r="CA156" s="53"/>
      <c r="CB156" s="53"/>
      <c r="CC156" s="53"/>
      <c r="CD156" s="53"/>
      <c r="CE156" s="53"/>
      <c r="CF156" s="53"/>
      <c r="CG156" s="53"/>
      <c r="CH156" s="53"/>
      <c r="CI156" s="53"/>
      <c r="CJ156" s="53"/>
      <c r="CK156" s="53"/>
    </row>
    <row r="157" ht="33" spans="1:89">
      <c r="A157" s="53" t="s">
        <v>770</v>
      </c>
      <c r="B157" s="54" t="s">
        <v>771</v>
      </c>
      <c r="C157" s="53" t="s">
        <v>772</v>
      </c>
      <c r="D157" s="53"/>
      <c r="E157" s="32">
        <v>45973</v>
      </c>
      <c r="F157" s="55">
        <v>35</v>
      </c>
      <c r="G157" s="34">
        <f t="shared" si="6"/>
        <v>125</v>
      </c>
      <c r="H157" s="56">
        <v>1.7</v>
      </c>
      <c r="I157" s="56">
        <v>20.0796460176991</v>
      </c>
      <c r="J157" s="56">
        <v>4.0226579156</v>
      </c>
      <c r="K157" s="56">
        <v>47.124</v>
      </c>
      <c r="L157" s="56">
        <v>66.31428</v>
      </c>
      <c r="M157" s="56">
        <v>3.26039175</v>
      </c>
      <c r="N157" s="56">
        <v>8.11811462616</v>
      </c>
      <c r="O157" s="35">
        <v>0</v>
      </c>
      <c r="P157" s="56">
        <v>2.07071349557522</v>
      </c>
      <c r="Q157" s="53" t="s">
        <v>93</v>
      </c>
      <c r="R157" s="53" t="s">
        <v>94</v>
      </c>
      <c r="S157" s="35">
        <v>6.8</v>
      </c>
      <c r="T157" s="53" t="s">
        <v>773</v>
      </c>
      <c r="U157" s="53">
        <v>19.74</v>
      </c>
      <c r="V157" s="53">
        <v>6.98000000000002</v>
      </c>
      <c r="W157" s="51" t="s">
        <v>774</v>
      </c>
      <c r="X157" s="56">
        <v>25.9100138412102</v>
      </c>
      <c r="Y157" s="56">
        <v>35.7782251851852</v>
      </c>
      <c r="Z157" s="53"/>
      <c r="AA157" s="56">
        <v>82.0015</v>
      </c>
      <c r="AB157" s="56">
        <v>25.91</v>
      </c>
      <c r="AC157" s="41">
        <v>0.1</v>
      </c>
      <c r="AD157" s="56">
        <v>19.5323430366153</v>
      </c>
      <c r="AE157" s="56">
        <v>0.113967160179462</v>
      </c>
      <c r="AF157" s="57">
        <v>0.0117528633935071</v>
      </c>
      <c r="AG157" s="57">
        <v>0.0228316225599927</v>
      </c>
      <c r="AH157" s="57">
        <v>0.267464299498263</v>
      </c>
      <c r="AI157" s="44">
        <v>0.1769</v>
      </c>
      <c r="AJ157" s="44">
        <v>0.0336</v>
      </c>
      <c r="AK157" s="45">
        <v>0.0006</v>
      </c>
      <c r="AL157" s="45">
        <v>0</v>
      </c>
      <c r="AM157" s="45">
        <v>0.1125</v>
      </c>
      <c r="AN157" s="57">
        <v>0.0185051862215361</v>
      </c>
      <c r="AO157" s="57">
        <v>0.241878868147239</v>
      </c>
      <c r="AP157" s="53"/>
      <c r="AQ157" s="53"/>
      <c r="AR157" s="53"/>
      <c r="AS157" s="53"/>
      <c r="AT157" s="53"/>
      <c r="AU157" s="53"/>
      <c r="AV157" s="53"/>
      <c r="AW157" s="53"/>
      <c r="AX157" s="53"/>
      <c r="AY157" s="53"/>
      <c r="AZ157" s="53"/>
      <c r="BA157" s="53"/>
      <c r="BB157" s="53"/>
      <c r="BC157" s="53"/>
      <c r="BD157" s="53"/>
      <c r="BE157" s="53"/>
      <c r="BF157" s="53"/>
      <c r="BG157" s="53"/>
      <c r="BH157" s="53"/>
      <c r="BI157" s="53"/>
      <c r="BJ157" s="53"/>
      <c r="BK157" s="53"/>
      <c r="BL157" s="53"/>
      <c r="BM157" s="53"/>
      <c r="BN157" s="53"/>
      <c r="BO157" s="53"/>
      <c r="BP157" s="53"/>
      <c r="BQ157" s="53"/>
      <c r="BR157" s="53"/>
      <c r="BS157" s="53"/>
      <c r="BT157" s="53"/>
      <c r="BU157" s="53"/>
      <c r="BV157" s="53"/>
      <c r="BW157" s="53"/>
      <c r="BX157" s="53"/>
      <c r="BY157" s="53"/>
      <c r="BZ157" s="53"/>
      <c r="CA157" s="53"/>
      <c r="CB157" s="53"/>
      <c r="CC157" s="53"/>
      <c r="CD157" s="53"/>
      <c r="CE157" s="53"/>
      <c r="CF157" s="53"/>
      <c r="CG157" s="53"/>
      <c r="CH157" s="53"/>
      <c r="CI157" s="53"/>
      <c r="CJ157" s="53"/>
      <c r="CK157" s="53"/>
    </row>
    <row r="158" ht="66" spans="1:89">
      <c r="A158" s="53" t="s">
        <v>775</v>
      </c>
      <c r="B158" s="54" t="s">
        <v>776</v>
      </c>
      <c r="C158" s="53" t="s">
        <v>777</v>
      </c>
      <c r="D158" s="53"/>
      <c r="E158" s="32">
        <v>45973</v>
      </c>
      <c r="F158" s="55">
        <v>35</v>
      </c>
      <c r="G158" s="34">
        <f t="shared" si="6"/>
        <v>125</v>
      </c>
      <c r="H158" s="56">
        <v>1.11</v>
      </c>
      <c r="I158" s="56">
        <v>24.0619469026549</v>
      </c>
      <c r="J158" s="56">
        <v>5.3989446932</v>
      </c>
      <c r="K158" s="56">
        <v>51.34</v>
      </c>
      <c r="L158" s="56">
        <v>68.23868</v>
      </c>
      <c r="M158" s="56">
        <v>4.3758</v>
      </c>
      <c r="N158" s="56">
        <v>10.895391936</v>
      </c>
      <c r="O158" s="35">
        <v>0</v>
      </c>
      <c r="P158" s="56">
        <v>2.48138827433628</v>
      </c>
      <c r="Q158" s="53" t="s">
        <v>93</v>
      </c>
      <c r="R158" s="53" t="s">
        <v>94</v>
      </c>
      <c r="S158" s="35">
        <v>6.8</v>
      </c>
      <c r="T158" s="53" t="s">
        <v>778</v>
      </c>
      <c r="U158" s="53">
        <v>14.79</v>
      </c>
      <c r="V158" s="53">
        <v>3.41000000000008</v>
      </c>
      <c r="W158" s="51" t="s">
        <v>779</v>
      </c>
      <c r="X158" s="56">
        <v>27.5153435077812</v>
      </c>
      <c r="Y158" s="56">
        <v>33.3981560703263</v>
      </c>
      <c r="Z158" s="53"/>
      <c r="AA158" s="56">
        <v>76.696224</v>
      </c>
      <c r="AB158" s="56">
        <v>27.52</v>
      </c>
      <c r="AC158" s="41">
        <v>0.1</v>
      </c>
      <c r="AD158" s="56">
        <v>22.3644935783441</v>
      </c>
      <c r="AE158" s="56">
        <v>0.128580000121061</v>
      </c>
      <c r="AF158" s="57">
        <v>0.0132598125124844</v>
      </c>
      <c r="AG158" s="57">
        <v>0.0288503799012483</v>
      </c>
      <c r="AH158" s="57">
        <v>0.274345930232558</v>
      </c>
      <c r="AI158" s="44">
        <v>0.1769</v>
      </c>
      <c r="AJ158" s="44">
        <v>0.0336</v>
      </c>
      <c r="AK158" s="45">
        <v>0.0006</v>
      </c>
      <c r="AL158" s="45">
        <v>0</v>
      </c>
      <c r="AM158" s="45">
        <v>0.1125</v>
      </c>
      <c r="AN158" s="57">
        <v>0.0233829941860465</v>
      </c>
      <c r="AO158" s="57">
        <v>0.207980883046602</v>
      </c>
      <c r="AP158" s="53"/>
      <c r="AQ158" s="53"/>
      <c r="AR158" s="53"/>
      <c r="AS158" s="53"/>
      <c r="AT158" s="53"/>
      <c r="AU158" s="53"/>
      <c r="AV158" s="53"/>
      <c r="AW158" s="53"/>
      <c r="AX158" s="53"/>
      <c r="AY158" s="53"/>
      <c r="AZ158" s="53"/>
      <c r="BA158" s="53"/>
      <c r="BB158" s="53"/>
      <c r="BC158" s="53"/>
      <c r="BD158" s="53"/>
      <c r="BE158" s="53"/>
      <c r="BF158" s="53"/>
      <c r="BG158" s="53"/>
      <c r="BH158" s="53"/>
      <c r="BI158" s="53"/>
      <c r="BJ158" s="53"/>
      <c r="BK158" s="53"/>
      <c r="BL158" s="53"/>
      <c r="BM158" s="53"/>
      <c r="BN158" s="53"/>
      <c r="BO158" s="53"/>
      <c r="BP158" s="53"/>
      <c r="BQ158" s="53"/>
      <c r="BR158" s="53"/>
      <c r="BS158" s="53"/>
      <c r="BT158" s="53"/>
      <c r="BU158" s="53"/>
      <c r="BV158" s="53"/>
      <c r="BW158" s="53"/>
      <c r="BX158" s="53"/>
      <c r="BY158" s="53"/>
      <c r="BZ158" s="53"/>
      <c r="CA158" s="53"/>
      <c r="CB158" s="53"/>
      <c r="CC158" s="53"/>
      <c r="CD158" s="53"/>
      <c r="CE158" s="53"/>
      <c r="CF158" s="53"/>
      <c r="CG158" s="53"/>
      <c r="CH158" s="53"/>
      <c r="CI158" s="53"/>
      <c r="CJ158" s="53"/>
      <c r="CK158" s="53"/>
    </row>
    <row r="159" ht="33" spans="1:89">
      <c r="A159" s="53" t="s">
        <v>780</v>
      </c>
      <c r="B159" s="54" t="s">
        <v>781</v>
      </c>
      <c r="C159" s="53" t="s">
        <v>782</v>
      </c>
      <c r="D159" s="53"/>
      <c r="E159" s="32">
        <v>45973</v>
      </c>
      <c r="F159" s="55">
        <v>40</v>
      </c>
      <c r="G159" s="34">
        <f t="shared" si="6"/>
        <v>130</v>
      </c>
      <c r="H159" s="56">
        <v>2.2</v>
      </c>
      <c r="I159" s="56">
        <v>23.2389380530973</v>
      </c>
      <c r="J159" s="56">
        <v>4.1199089861</v>
      </c>
      <c r="K159" s="56">
        <v>47.124</v>
      </c>
      <c r="L159" s="56">
        <v>66.31428</v>
      </c>
      <c r="M159" s="56">
        <v>3.339072</v>
      </c>
      <c r="N159" s="56">
        <v>8.31402215424</v>
      </c>
      <c r="O159" s="35">
        <v>0</v>
      </c>
      <c r="P159" s="56">
        <v>2.39651548672566</v>
      </c>
      <c r="Q159" s="53" t="s">
        <v>93</v>
      </c>
      <c r="R159" s="53" t="s">
        <v>94</v>
      </c>
      <c r="S159" s="35">
        <v>6.8</v>
      </c>
      <c r="T159" s="53" t="s">
        <v>783</v>
      </c>
      <c r="U159" s="53">
        <v>70.77</v>
      </c>
      <c r="V159" s="53">
        <v>2.15000000000009</v>
      </c>
      <c r="W159" s="51" t="s">
        <v>784</v>
      </c>
      <c r="X159" s="56">
        <v>29.9</v>
      </c>
      <c r="Y159" s="56">
        <v>86.8105576841209</v>
      </c>
      <c r="Z159" s="53"/>
      <c r="AA159" s="56">
        <v>200</v>
      </c>
      <c r="AB159" s="56">
        <v>29.9</v>
      </c>
      <c r="AC159" s="41">
        <v>0.1</v>
      </c>
      <c r="AD159" s="56">
        <v>20.4663924475249</v>
      </c>
      <c r="AE159" s="56">
        <v>0.114297354185999</v>
      </c>
      <c r="AF159" s="57">
        <v>0.0117869146504312</v>
      </c>
      <c r="AG159" s="57">
        <v>0.0202631762054889</v>
      </c>
      <c r="AH159" s="57">
        <v>0.231772575250836</v>
      </c>
      <c r="AI159" s="44">
        <v>0.1769</v>
      </c>
      <c r="AJ159" s="44">
        <v>0.0336</v>
      </c>
      <c r="AK159" s="45">
        <v>0.0006</v>
      </c>
      <c r="AL159" s="45">
        <v>0</v>
      </c>
      <c r="AM159" s="45">
        <v>0.1125</v>
      </c>
      <c r="AN159" s="57">
        <v>0.0164227424749164</v>
      </c>
      <c r="AO159" s="57">
        <v>0.281857237232328</v>
      </c>
      <c r="AP159" s="53"/>
      <c r="AQ159" s="53"/>
      <c r="AR159" s="53"/>
      <c r="AS159" s="53"/>
      <c r="AT159" s="53"/>
      <c r="AU159" s="53"/>
      <c r="AV159" s="53"/>
      <c r="AW159" s="53"/>
      <c r="AX159" s="53"/>
      <c r="AY159" s="53"/>
      <c r="AZ159" s="53"/>
      <c r="BA159" s="53"/>
      <c r="BB159" s="53"/>
      <c r="BC159" s="53"/>
      <c r="BD159" s="53"/>
      <c r="BE159" s="53"/>
      <c r="BF159" s="53"/>
      <c r="BG159" s="53"/>
      <c r="BH159" s="53"/>
      <c r="BI159" s="53"/>
      <c r="BJ159" s="53"/>
      <c r="BK159" s="53"/>
      <c r="BL159" s="53"/>
      <c r="BM159" s="53"/>
      <c r="BN159" s="53"/>
      <c r="BO159" s="53"/>
      <c r="BP159" s="53"/>
      <c r="BQ159" s="53"/>
      <c r="BR159" s="53"/>
      <c r="BS159" s="53"/>
      <c r="BT159" s="53"/>
      <c r="BU159" s="53"/>
      <c r="BV159" s="53"/>
      <c r="BW159" s="53"/>
      <c r="BX159" s="53"/>
      <c r="BY159" s="53"/>
      <c r="BZ159" s="53"/>
      <c r="CA159" s="53"/>
      <c r="CB159" s="53"/>
      <c r="CC159" s="53"/>
      <c r="CD159" s="53"/>
      <c r="CE159" s="53"/>
      <c r="CF159" s="53"/>
      <c r="CG159" s="53"/>
      <c r="CH159" s="53"/>
      <c r="CI159" s="53"/>
      <c r="CJ159" s="53"/>
      <c r="CK159" s="53"/>
    </row>
    <row r="160" ht="66" spans="1:89">
      <c r="A160" s="53" t="s">
        <v>785</v>
      </c>
      <c r="B160" s="54" t="s">
        <v>786</v>
      </c>
      <c r="C160" s="53" t="s">
        <v>787</v>
      </c>
      <c r="D160" s="53"/>
      <c r="E160" s="32">
        <v>45973</v>
      </c>
      <c r="F160" s="55">
        <v>35</v>
      </c>
      <c r="G160" s="34">
        <f t="shared" si="6"/>
        <v>125</v>
      </c>
      <c r="H160" s="56">
        <v>1.9</v>
      </c>
      <c r="I160" s="56">
        <v>18.3893805309735</v>
      </c>
      <c r="J160" s="56">
        <v>5.0944860297</v>
      </c>
      <c r="K160" s="56">
        <v>51.34</v>
      </c>
      <c r="L160" s="56">
        <v>68.23868</v>
      </c>
      <c r="M160" s="56">
        <v>4.12896</v>
      </c>
      <c r="N160" s="56">
        <v>10.2807800832</v>
      </c>
      <c r="O160" s="35">
        <v>0</v>
      </c>
      <c r="P160" s="56"/>
      <c r="Q160" s="53" t="s">
        <v>93</v>
      </c>
      <c r="R160" s="53" t="s">
        <v>94</v>
      </c>
      <c r="S160" s="35">
        <v>6.8</v>
      </c>
      <c r="T160" s="53" t="s">
        <v>788</v>
      </c>
      <c r="U160" s="53">
        <v>19.5</v>
      </c>
      <c r="V160" s="53">
        <v>1.41</v>
      </c>
      <c r="W160" s="51" t="s">
        <v>789</v>
      </c>
      <c r="X160" s="56">
        <v>25.6513135523922</v>
      </c>
      <c r="Y160" s="56">
        <v>41.7870364501967</v>
      </c>
      <c r="Z160" s="53"/>
      <c r="AA160" s="56">
        <v>137.219836362637</v>
      </c>
      <c r="AB160" s="56">
        <v>25.65</v>
      </c>
      <c r="AC160" s="41">
        <v>0.1</v>
      </c>
      <c r="AD160" s="56">
        <v>20.1434937340984</v>
      </c>
      <c r="AE160" s="56">
        <v>0.105431604924742</v>
      </c>
      <c r="AF160" s="57">
        <v>0</v>
      </c>
      <c r="AG160" s="57">
        <v>0.0292081529050568</v>
      </c>
      <c r="AH160" s="57">
        <v>0.294346978557505</v>
      </c>
      <c r="AI160" s="44">
        <v>0.1769</v>
      </c>
      <c r="AJ160" s="44">
        <v>0.0336</v>
      </c>
      <c r="AK160" s="45">
        <v>0.0006</v>
      </c>
      <c r="AL160" s="45">
        <v>0</v>
      </c>
      <c r="AM160" s="45">
        <v>0.1125</v>
      </c>
      <c r="AN160" s="57">
        <v>0.023672514619883</v>
      </c>
      <c r="AO160" s="57">
        <v>0.223740748992813</v>
      </c>
      <c r="AP160" s="53"/>
      <c r="AQ160" s="53"/>
      <c r="AR160" s="53"/>
      <c r="AS160" s="53"/>
      <c r="AT160" s="53"/>
      <c r="AU160" s="53"/>
      <c r="AV160" s="53"/>
      <c r="AW160" s="53"/>
      <c r="AX160" s="53"/>
      <c r="AY160" s="53"/>
      <c r="AZ160" s="53"/>
      <c r="BA160" s="53"/>
      <c r="BB160" s="53"/>
      <c r="BC160" s="53"/>
      <c r="BD160" s="53"/>
      <c r="BE160" s="53"/>
      <c r="BF160" s="53"/>
      <c r="BG160" s="53"/>
      <c r="BH160" s="53"/>
      <c r="BI160" s="53"/>
      <c r="BJ160" s="53"/>
      <c r="BK160" s="53"/>
      <c r="BL160" s="53"/>
      <c r="BM160" s="53"/>
      <c r="BN160" s="53"/>
      <c r="BO160" s="53"/>
      <c r="BP160" s="53"/>
      <c r="BQ160" s="53"/>
      <c r="BR160" s="53"/>
      <c r="BS160" s="53"/>
      <c r="BT160" s="53"/>
      <c r="BU160" s="53"/>
      <c r="BV160" s="53"/>
      <c r="BW160" s="53"/>
      <c r="BX160" s="53"/>
      <c r="BY160" s="53"/>
      <c r="BZ160" s="53"/>
      <c r="CA160" s="53"/>
      <c r="CB160" s="53"/>
      <c r="CC160" s="53"/>
      <c r="CD160" s="53"/>
      <c r="CE160" s="53"/>
      <c r="CF160" s="53"/>
      <c r="CG160" s="53"/>
      <c r="CH160" s="53"/>
      <c r="CI160" s="53"/>
      <c r="CJ160" s="53"/>
      <c r="CK160" s="53"/>
    </row>
    <row r="161" ht="165" spans="1:90">
      <c r="A161" s="29" t="s">
        <v>790</v>
      </c>
      <c r="B161" s="30" t="s">
        <v>791</v>
      </c>
      <c r="C161" s="29" t="s">
        <v>492</v>
      </c>
      <c r="D161" s="31"/>
      <c r="E161" s="32">
        <v>45973</v>
      </c>
      <c r="F161" s="33">
        <v>40</v>
      </c>
      <c r="G161" s="34">
        <f t="shared" si="6"/>
        <v>130</v>
      </c>
      <c r="H161" s="35">
        <v>2.5</v>
      </c>
      <c r="I161" s="36">
        <v>21.8318584070797</v>
      </c>
      <c r="J161" s="35">
        <v>5.0944860297</v>
      </c>
      <c r="K161" s="35">
        <v>51.34</v>
      </c>
      <c r="L161" s="35">
        <v>68.23868</v>
      </c>
      <c r="M161" s="35">
        <v>4.12896</v>
      </c>
      <c r="N161" s="35">
        <v>10.2807800832</v>
      </c>
      <c r="O161" s="35">
        <v>0</v>
      </c>
      <c r="P161" s="35">
        <v>2.25141039823009</v>
      </c>
      <c r="Q161" s="35" t="s">
        <v>93</v>
      </c>
      <c r="R161" s="37" t="s">
        <v>94</v>
      </c>
      <c r="S161" s="35">
        <v>6.8</v>
      </c>
      <c r="T161" s="38" t="s">
        <v>493</v>
      </c>
      <c r="U161" s="38">
        <v>35.9</v>
      </c>
      <c r="V161" s="39">
        <v>2.41</v>
      </c>
      <c r="W161" s="51" t="s">
        <v>494</v>
      </c>
      <c r="X161" s="35">
        <v>29.4391907601316</v>
      </c>
      <c r="Y161" s="35">
        <v>121.641247625127</v>
      </c>
      <c r="Z161" s="35"/>
      <c r="AA161" s="35">
        <v>537.006307895152</v>
      </c>
      <c r="AB161" s="35">
        <v>29.44</v>
      </c>
      <c r="AC161" s="41">
        <v>0.1</v>
      </c>
      <c r="AD161" s="37">
        <v>21.5961941347435</v>
      </c>
      <c r="AE161" s="42">
        <v>0.109054599619763</v>
      </c>
      <c r="AF161" s="43">
        <v>0.0112462555857881</v>
      </c>
      <c r="AG161" s="43">
        <v>0.0254480000684343</v>
      </c>
      <c r="AH161" s="43">
        <v>0.256453804347826</v>
      </c>
      <c r="AI161" s="44">
        <v>0.1769</v>
      </c>
      <c r="AJ161" s="44">
        <v>0.0336</v>
      </c>
      <c r="AK161" s="45">
        <v>0.0006</v>
      </c>
      <c r="AL161" s="45">
        <v>0</v>
      </c>
      <c r="AM161" s="45">
        <v>0.1125</v>
      </c>
      <c r="AN161" s="45">
        <v>0.020625</v>
      </c>
      <c r="AO161" s="43">
        <v>0.253572340378188</v>
      </c>
      <c r="AP161" s="49"/>
      <c r="AQ161" s="46"/>
      <c r="AR161" s="29"/>
      <c r="AS161" s="29"/>
      <c r="AT161" s="29"/>
      <c r="AU161" s="29"/>
      <c r="AV161" s="29"/>
      <c r="AW161" s="29"/>
      <c r="AX161" s="29"/>
      <c r="AY161" s="29"/>
      <c r="AZ161" s="29"/>
      <c r="BA161" s="29"/>
      <c r="BB161" s="29"/>
      <c r="BC161" s="29"/>
      <c r="BD161" s="29"/>
      <c r="BE161" s="29"/>
      <c r="BF161" s="29"/>
      <c r="BG161" s="47"/>
      <c r="BH161" s="48"/>
      <c r="BI161" s="48"/>
      <c r="BJ161" s="48"/>
      <c r="BK161" s="45"/>
      <c r="BL161" s="45"/>
      <c r="BM161" s="45"/>
      <c r="BN161" s="37"/>
      <c r="BO161" s="37"/>
      <c r="BP161" s="49"/>
      <c r="BQ161" s="37"/>
      <c r="BR161" s="37"/>
      <c r="BS161" s="49"/>
      <c r="BT161" s="29"/>
      <c r="BU161" s="29"/>
      <c r="BV161" s="29"/>
      <c r="BW161" s="29"/>
      <c r="BX161" s="29"/>
      <c r="BY161" s="29"/>
      <c r="BZ161" s="29"/>
      <c r="CA161" s="29"/>
      <c r="CB161" s="29"/>
      <c r="CC161" s="29"/>
      <c r="CD161" s="29"/>
      <c r="CE161" s="29"/>
      <c r="CF161" s="29"/>
      <c r="CG161" s="29"/>
      <c r="CH161" s="29"/>
      <c r="CI161" s="29"/>
      <c r="CJ161" s="29"/>
      <c r="CK161" s="29"/>
      <c r="CL161" s="52"/>
    </row>
    <row r="162" ht="165" spans="1:90">
      <c r="A162" s="29" t="s">
        <v>792</v>
      </c>
      <c r="B162" s="30" t="s">
        <v>793</v>
      </c>
      <c r="C162" s="29" t="s">
        <v>497</v>
      </c>
      <c r="D162" s="31"/>
      <c r="E162" s="32">
        <v>45973</v>
      </c>
      <c r="F162" s="33">
        <v>35</v>
      </c>
      <c r="G162" s="34">
        <f t="shared" si="6"/>
        <v>125</v>
      </c>
      <c r="H162" s="35">
        <v>5.8</v>
      </c>
      <c r="I162" s="36">
        <v>18.1327433628319</v>
      </c>
      <c r="J162" s="35">
        <v>5.1165024597</v>
      </c>
      <c r="K162" s="35">
        <v>51.34</v>
      </c>
      <c r="L162" s="35">
        <v>68.23868</v>
      </c>
      <c r="M162" s="35">
        <v>4.146912</v>
      </c>
      <c r="N162" s="35">
        <v>10.32547912704</v>
      </c>
      <c r="O162" s="35">
        <v>0</v>
      </c>
      <c r="P162" s="35">
        <v>1.86993915929204</v>
      </c>
      <c r="Q162" s="35" t="s">
        <v>93</v>
      </c>
      <c r="R162" s="37" t="s">
        <v>94</v>
      </c>
      <c r="S162" s="35">
        <v>6.8</v>
      </c>
      <c r="T162" s="38" t="s">
        <v>498</v>
      </c>
      <c r="U162" s="38">
        <v>160.6</v>
      </c>
      <c r="V162" s="39">
        <v>4.71</v>
      </c>
      <c r="W162" s="51" t="s">
        <v>499</v>
      </c>
      <c r="X162" s="35">
        <v>25.0568239930424</v>
      </c>
      <c r="Y162" s="35">
        <v>96.9243068288752</v>
      </c>
      <c r="Z162" s="35"/>
      <c r="AA162" s="35">
        <v>503.131048055556</v>
      </c>
      <c r="AB162" s="35">
        <v>24.99</v>
      </c>
      <c r="AC162" s="41">
        <v>0.1</v>
      </c>
      <c r="AD162" s="37">
        <v>20.5652980420623</v>
      </c>
      <c r="AE162" s="42">
        <v>0.106705878603393</v>
      </c>
      <c r="AF162" s="43">
        <v>0.011004043730975</v>
      </c>
      <c r="AG162" s="43">
        <v>0.0301091169391286</v>
      </c>
      <c r="AH162" s="43">
        <v>0.302120848339336</v>
      </c>
      <c r="AI162" s="44">
        <v>0.1769</v>
      </c>
      <c r="AJ162" s="44">
        <v>0.0336</v>
      </c>
      <c r="AK162" s="45">
        <v>0.0006</v>
      </c>
      <c r="AL162" s="45">
        <v>0</v>
      </c>
      <c r="AM162" s="45">
        <v>0.1125</v>
      </c>
      <c r="AN162" s="45">
        <v>0.0244033613445378</v>
      </c>
      <c r="AO162" s="43">
        <v>0.202056751042629</v>
      </c>
      <c r="AP162" s="49"/>
      <c r="AQ162" s="46"/>
      <c r="AR162" s="29"/>
      <c r="AS162" s="29"/>
      <c r="AT162" s="29"/>
      <c r="AU162" s="29"/>
      <c r="AV162" s="29"/>
      <c r="AW162" s="29"/>
      <c r="AX162" s="29"/>
      <c r="AY162" s="29"/>
      <c r="AZ162" s="29"/>
      <c r="BA162" s="29"/>
      <c r="BB162" s="29"/>
      <c r="BC162" s="29"/>
      <c r="BD162" s="29"/>
      <c r="BE162" s="29"/>
      <c r="BF162" s="29"/>
      <c r="BG162" s="47"/>
      <c r="BH162" s="48"/>
      <c r="BI162" s="48"/>
      <c r="BJ162" s="48"/>
      <c r="BK162" s="45"/>
      <c r="BL162" s="45"/>
      <c r="BM162" s="45"/>
      <c r="BN162" s="37"/>
      <c r="BO162" s="37"/>
      <c r="BP162" s="49"/>
      <c r="BQ162" s="37"/>
      <c r="BR162" s="37"/>
      <c r="BS162" s="49"/>
      <c r="BT162" s="29"/>
      <c r="BU162" s="29"/>
      <c r="BV162" s="29"/>
      <c r="BW162" s="29"/>
      <c r="BX162" s="29"/>
      <c r="BY162" s="29"/>
      <c r="BZ162" s="29"/>
      <c r="CA162" s="29"/>
      <c r="CB162" s="29"/>
      <c r="CC162" s="29"/>
      <c r="CD162" s="29"/>
      <c r="CE162" s="29"/>
      <c r="CF162" s="29"/>
      <c r="CG162" s="29"/>
      <c r="CH162" s="29"/>
      <c r="CI162" s="29"/>
      <c r="CJ162" s="29"/>
      <c r="CK162" s="29"/>
      <c r="CL162" s="52"/>
    </row>
    <row r="163" ht="132" spans="1:90">
      <c r="A163" s="29" t="s">
        <v>794</v>
      </c>
      <c r="B163" s="30" t="s">
        <v>795</v>
      </c>
      <c r="C163" s="29" t="s">
        <v>502</v>
      </c>
      <c r="D163" s="31"/>
      <c r="E163" s="32">
        <v>45973</v>
      </c>
      <c r="F163" s="33">
        <v>35</v>
      </c>
      <c r="G163" s="34">
        <f t="shared" si="6"/>
        <v>125</v>
      </c>
      <c r="H163" s="35">
        <v>4.2</v>
      </c>
      <c r="I163" s="36">
        <v>21.3805309734513</v>
      </c>
      <c r="J163" s="35">
        <v>3.4886326092</v>
      </c>
      <c r="K163" s="35">
        <v>47.124</v>
      </c>
      <c r="L163" s="35">
        <v>66.31428</v>
      </c>
      <c r="M163" s="35">
        <v>2.82744</v>
      </c>
      <c r="N163" s="35">
        <v>7.0400994048</v>
      </c>
      <c r="O163" s="35">
        <v>0</v>
      </c>
      <c r="P163" s="35">
        <v>2.20486725663717</v>
      </c>
      <c r="Q163" s="35" t="s">
        <v>93</v>
      </c>
      <c r="R163" s="37" t="s">
        <v>94</v>
      </c>
      <c r="S163" s="35">
        <v>6.8</v>
      </c>
      <c r="T163" s="38" t="s">
        <v>503</v>
      </c>
      <c r="U163" s="38">
        <v>320.8</v>
      </c>
      <c r="V163" s="39">
        <v>2.78</v>
      </c>
      <c r="W163" s="51" t="s">
        <v>504</v>
      </c>
      <c r="X163" s="35">
        <v>27.0617041288687</v>
      </c>
      <c r="Y163" s="35">
        <v>128.824962253396</v>
      </c>
      <c r="Z163" s="35"/>
      <c r="AA163" s="35">
        <v>488.999161833333</v>
      </c>
      <c r="AB163" s="35">
        <v>27.06</v>
      </c>
      <c r="AC163" s="41">
        <v>0.1</v>
      </c>
      <c r="AD163" s="37">
        <v>19.6517611440402</v>
      </c>
      <c r="AE163" s="42">
        <v>0.116193486008496</v>
      </c>
      <c r="AF163" s="43">
        <v>0.0119824532446262</v>
      </c>
      <c r="AG163" s="43">
        <v>0.0189591355223686</v>
      </c>
      <c r="AH163" s="43">
        <v>0.25609756097561</v>
      </c>
      <c r="AI163" s="44">
        <v>0.1769</v>
      </c>
      <c r="AJ163" s="44">
        <v>0.0336</v>
      </c>
      <c r="AK163" s="45">
        <v>0.0006</v>
      </c>
      <c r="AL163" s="45">
        <v>0</v>
      </c>
      <c r="AM163" s="45">
        <v>0.1125</v>
      </c>
      <c r="AN163" s="45">
        <v>0.0153658536585366</v>
      </c>
      <c r="AO163" s="43">
        <v>0.257801510590363</v>
      </c>
      <c r="AP163" s="49"/>
      <c r="AQ163" s="46"/>
      <c r="AR163" s="29"/>
      <c r="AS163" s="29"/>
      <c r="AT163" s="29"/>
      <c r="AU163" s="29"/>
      <c r="AV163" s="29"/>
      <c r="AW163" s="29"/>
      <c r="AX163" s="29"/>
      <c r="AY163" s="29"/>
      <c r="AZ163" s="29"/>
      <c r="BA163" s="29"/>
      <c r="BB163" s="29"/>
      <c r="BC163" s="29"/>
      <c r="BD163" s="29"/>
      <c r="BE163" s="29"/>
      <c r="BF163" s="29"/>
      <c r="BG163" s="47"/>
      <c r="BH163" s="48"/>
      <c r="BI163" s="48"/>
      <c r="BJ163" s="48"/>
      <c r="BK163" s="45"/>
      <c r="BL163" s="45"/>
      <c r="BM163" s="45"/>
      <c r="BN163" s="37"/>
      <c r="BO163" s="37"/>
      <c r="BP163" s="49"/>
      <c r="BQ163" s="37"/>
      <c r="BR163" s="37"/>
      <c r="BS163" s="49"/>
      <c r="BT163" s="29"/>
      <c r="BU163" s="29"/>
      <c r="BV163" s="29"/>
      <c r="BW163" s="29"/>
      <c r="BX163" s="29"/>
      <c r="BY163" s="29"/>
      <c r="BZ163" s="29"/>
      <c r="CA163" s="29"/>
      <c r="CB163" s="29"/>
      <c r="CC163" s="29"/>
      <c r="CD163" s="29"/>
      <c r="CE163" s="29"/>
      <c r="CF163" s="29"/>
      <c r="CG163" s="29"/>
      <c r="CH163" s="29"/>
      <c r="CI163" s="29"/>
      <c r="CJ163" s="29"/>
      <c r="CK163" s="29"/>
      <c r="CL163" s="52"/>
    </row>
    <row r="164" ht="165" spans="1:90">
      <c r="A164" s="29" t="s">
        <v>796</v>
      </c>
      <c r="B164" s="30" t="s">
        <v>797</v>
      </c>
      <c r="C164" s="29" t="s">
        <v>507</v>
      </c>
      <c r="D164" s="31"/>
      <c r="E164" s="32">
        <v>45973</v>
      </c>
      <c r="F164" s="33">
        <v>35</v>
      </c>
      <c r="G164" s="34">
        <f t="shared" si="6"/>
        <v>125</v>
      </c>
      <c r="H164" s="35">
        <v>2.5</v>
      </c>
      <c r="I164" s="36">
        <v>21.212389380531</v>
      </c>
      <c r="J164" s="35">
        <v>6.8248492306</v>
      </c>
      <c r="K164" s="35">
        <v>53.516</v>
      </c>
      <c r="L164" s="35">
        <v>68.23868</v>
      </c>
      <c r="M164" s="35">
        <v>5.53146</v>
      </c>
      <c r="N164" s="35">
        <v>13.7728928832</v>
      </c>
      <c r="O164" s="35">
        <v>0</v>
      </c>
      <c r="P164" s="35">
        <v>2.18752765486726</v>
      </c>
      <c r="Q164" s="35" t="s">
        <v>93</v>
      </c>
      <c r="R164" s="37" t="s">
        <v>94</v>
      </c>
      <c r="S164" s="35">
        <v>6.8</v>
      </c>
      <c r="T164" s="38" t="s">
        <v>508</v>
      </c>
      <c r="U164" s="38">
        <v>165.3</v>
      </c>
      <c r="V164" s="39">
        <v>4.34</v>
      </c>
      <c r="W164" s="51" t="s">
        <v>509</v>
      </c>
      <c r="X164" s="35">
        <v>25.7494916517601</v>
      </c>
      <c r="Y164" s="35">
        <v>60.7741731153846</v>
      </c>
      <c r="Z164" s="35"/>
      <c r="AA164" s="35">
        <v>338.602243730769</v>
      </c>
      <c r="AB164" s="35">
        <v>25.7494916517601</v>
      </c>
      <c r="AC164" s="41">
        <v>0.1</v>
      </c>
      <c r="AD164" s="37">
        <v>22.7763160453316</v>
      </c>
      <c r="AE164" s="42">
        <v>0.121146819857139</v>
      </c>
      <c r="AF164" s="43">
        <v>0.0124932657977674</v>
      </c>
      <c r="AG164" s="43">
        <v>0.0389776354497096</v>
      </c>
      <c r="AH164" s="43">
        <v>0.305637101750785</v>
      </c>
      <c r="AI164" s="44">
        <v>0.1769</v>
      </c>
      <c r="AJ164" s="44">
        <v>0.0336</v>
      </c>
      <c r="AK164" s="45">
        <v>0.0006</v>
      </c>
      <c r="AL164" s="45">
        <v>0</v>
      </c>
      <c r="AM164" s="45">
        <v>0.1125</v>
      </c>
      <c r="AN164" s="45">
        <v>0.0315909149198445</v>
      </c>
      <c r="AO164" s="43">
        <v>0.166554262224755</v>
      </c>
      <c r="AP164" s="49"/>
      <c r="AQ164" s="46"/>
      <c r="AR164" s="29"/>
      <c r="AS164" s="29"/>
      <c r="AT164" s="29"/>
      <c r="AU164" s="29"/>
      <c r="AV164" s="29"/>
      <c r="AW164" s="29"/>
      <c r="AX164" s="29"/>
      <c r="AY164" s="29"/>
      <c r="AZ164" s="29"/>
      <c r="BA164" s="29"/>
      <c r="BB164" s="29"/>
      <c r="BC164" s="29"/>
      <c r="BD164" s="29"/>
      <c r="BE164" s="29"/>
      <c r="BF164" s="29"/>
      <c r="BG164" s="47"/>
      <c r="BH164" s="48"/>
      <c r="BI164" s="48"/>
      <c r="BJ164" s="48"/>
      <c r="BK164" s="45"/>
      <c r="BL164" s="45"/>
      <c r="BM164" s="45"/>
      <c r="BN164" s="37"/>
      <c r="BO164" s="37"/>
      <c r="BP164" s="49"/>
      <c r="BQ164" s="37"/>
      <c r="BR164" s="37"/>
      <c r="BS164" s="49"/>
      <c r="BT164" s="29"/>
      <c r="BU164" s="29"/>
      <c r="BV164" s="29"/>
      <c r="BW164" s="29"/>
      <c r="BX164" s="29"/>
      <c r="BY164" s="29"/>
      <c r="BZ164" s="29"/>
      <c r="CA164" s="29"/>
      <c r="CB164" s="29"/>
      <c r="CC164" s="29"/>
      <c r="CD164" s="29"/>
      <c r="CE164" s="29"/>
      <c r="CF164" s="29"/>
      <c r="CG164" s="29"/>
      <c r="CH164" s="29"/>
      <c r="CI164" s="29"/>
      <c r="CJ164" s="29"/>
      <c r="CK164" s="29"/>
      <c r="CL164" s="52"/>
    </row>
    <row r="165" ht="132" spans="1:90">
      <c r="A165" s="29" t="s">
        <v>798</v>
      </c>
      <c r="B165" s="30" t="s">
        <v>799</v>
      </c>
      <c r="C165" s="29" t="s">
        <v>512</v>
      </c>
      <c r="D165" s="31"/>
      <c r="E165" s="32">
        <v>45973</v>
      </c>
      <c r="F165" s="33">
        <v>35</v>
      </c>
      <c r="G165" s="34">
        <f t="shared" si="6"/>
        <v>125</v>
      </c>
      <c r="H165" s="35">
        <v>2.5</v>
      </c>
      <c r="I165" s="36">
        <v>18.0619469026549</v>
      </c>
      <c r="J165" s="35">
        <v>5.0944860297</v>
      </c>
      <c r="K165" s="35">
        <v>51.34</v>
      </c>
      <c r="L165" s="35">
        <v>68.23868</v>
      </c>
      <c r="M165" s="35">
        <v>4.12896</v>
      </c>
      <c r="N165" s="35">
        <v>10.2807800832</v>
      </c>
      <c r="O165" s="35">
        <v>0</v>
      </c>
      <c r="P165" s="35">
        <v>1.86263827433628</v>
      </c>
      <c r="Q165" s="35" t="s">
        <v>93</v>
      </c>
      <c r="R165" s="37" t="s">
        <v>94</v>
      </c>
      <c r="S165" s="35">
        <v>6.8</v>
      </c>
      <c r="T165" s="38" t="s">
        <v>513</v>
      </c>
      <c r="U165" s="38">
        <v>61.4</v>
      </c>
      <c r="V165" s="39">
        <v>3.74</v>
      </c>
      <c r="W165" s="51" t="s">
        <v>514</v>
      </c>
      <c r="X165" s="35">
        <v>28.1276402690686</v>
      </c>
      <c r="Y165" s="35">
        <v>93.686223203942</v>
      </c>
      <c r="Z165" s="35"/>
      <c r="AA165" s="35">
        <v>335.84974</v>
      </c>
      <c r="AB165" s="35">
        <v>28.13</v>
      </c>
      <c r="AC165" s="41">
        <v>0.1</v>
      </c>
      <c r="AD165" s="37">
        <v>20.5351755334049</v>
      </c>
      <c r="AE165" s="42">
        <v>0.09442476580715</v>
      </c>
      <c r="AF165" s="43">
        <v>0.00973755397386234</v>
      </c>
      <c r="AG165" s="43">
        <v>0.0266331006759583</v>
      </c>
      <c r="AH165" s="43">
        <v>0.268396729470316</v>
      </c>
      <c r="AI165" s="44">
        <v>0.1769</v>
      </c>
      <c r="AJ165" s="44">
        <v>0.0336</v>
      </c>
      <c r="AK165" s="45">
        <v>0.0006</v>
      </c>
      <c r="AL165" s="45">
        <v>0</v>
      </c>
      <c r="AM165" s="45">
        <v>0.1125</v>
      </c>
      <c r="AN165" s="45">
        <v>0.0215854959118379</v>
      </c>
      <c r="AO165" s="43">
        <v>0.255622354160876</v>
      </c>
      <c r="AP165" s="49"/>
      <c r="AQ165" s="46"/>
      <c r="AR165" s="29"/>
      <c r="AS165" s="29"/>
      <c r="AT165" s="29"/>
      <c r="AU165" s="29"/>
      <c r="AV165" s="29"/>
      <c r="AW165" s="29"/>
      <c r="AX165" s="29"/>
      <c r="AY165" s="29"/>
      <c r="AZ165" s="29"/>
      <c r="BA165" s="29"/>
      <c r="BB165" s="29"/>
      <c r="BC165" s="29"/>
      <c r="BD165" s="29"/>
      <c r="BE165" s="29"/>
      <c r="BF165" s="29"/>
      <c r="BG165" s="47"/>
      <c r="BH165" s="48"/>
      <c r="BI165" s="48"/>
      <c r="BJ165" s="48"/>
      <c r="BK165" s="45"/>
      <c r="BL165" s="45"/>
      <c r="BM165" s="45"/>
      <c r="BN165" s="37"/>
      <c r="BO165" s="37"/>
      <c r="BP165" s="49"/>
      <c r="BQ165" s="37"/>
      <c r="BR165" s="37"/>
      <c r="BS165" s="49"/>
      <c r="BT165" s="29"/>
      <c r="BU165" s="29"/>
      <c r="BV165" s="29"/>
      <c r="BW165" s="29"/>
      <c r="BX165" s="29"/>
      <c r="BY165" s="29"/>
      <c r="BZ165" s="29"/>
      <c r="CA165" s="29"/>
      <c r="CB165" s="29"/>
      <c r="CC165" s="29"/>
      <c r="CD165" s="29"/>
      <c r="CE165" s="29"/>
      <c r="CF165" s="29"/>
      <c r="CG165" s="29"/>
      <c r="CH165" s="29"/>
      <c r="CI165" s="29"/>
      <c r="CJ165" s="29"/>
      <c r="CK165" s="29"/>
      <c r="CL165" s="52"/>
    </row>
    <row r="166" ht="99" spans="1:90">
      <c r="A166" s="29" t="s">
        <v>800</v>
      </c>
      <c r="B166" s="30" t="s">
        <v>801</v>
      </c>
      <c r="C166" s="29" t="s">
        <v>517</v>
      </c>
      <c r="D166" s="31"/>
      <c r="E166" s="32">
        <v>45973</v>
      </c>
      <c r="F166" s="33">
        <v>40</v>
      </c>
      <c r="G166" s="34">
        <f t="shared" si="6"/>
        <v>130</v>
      </c>
      <c r="H166" s="35">
        <v>4.2</v>
      </c>
      <c r="I166" s="36">
        <v>27.5663716814159</v>
      </c>
      <c r="J166" s="35">
        <v>7.1948514518</v>
      </c>
      <c r="K166" s="35">
        <v>53.516</v>
      </c>
      <c r="L166" s="35">
        <v>68.23868</v>
      </c>
      <c r="M166" s="35">
        <v>5.831595</v>
      </c>
      <c r="N166" s="35">
        <v>14.5202050224</v>
      </c>
      <c r="O166" s="35">
        <v>0</v>
      </c>
      <c r="P166" s="35">
        <v>2.84278207964602</v>
      </c>
      <c r="Q166" s="35" t="s">
        <v>93</v>
      </c>
      <c r="R166" s="37" t="s">
        <v>94</v>
      </c>
      <c r="S166" s="35">
        <v>6.8</v>
      </c>
      <c r="T166" s="38" t="s">
        <v>518</v>
      </c>
      <c r="U166" s="38">
        <v>427.5</v>
      </c>
      <c r="V166" s="39">
        <v>2.73</v>
      </c>
      <c r="W166" s="51" t="s">
        <v>519</v>
      </c>
      <c r="X166" s="35">
        <v>28.0043924404215</v>
      </c>
      <c r="Y166" s="35">
        <v>97.5857384567901</v>
      </c>
      <c r="Z166" s="35"/>
      <c r="AA166" s="35">
        <v>325.674524285714</v>
      </c>
      <c r="AB166" s="35">
        <v>28.0043924404215</v>
      </c>
      <c r="AC166" s="41">
        <v>0.1</v>
      </c>
      <c r="AD166" s="37">
        <v>24.7355799212306</v>
      </c>
      <c r="AE166" s="42">
        <v>0.144758655166972</v>
      </c>
      <c r="AF166" s="43">
        <v>0.0149282363140939</v>
      </c>
      <c r="AG166" s="43">
        <v>0.0377821583603927</v>
      </c>
      <c r="AH166" s="43">
        <v>0.281027343004966</v>
      </c>
      <c r="AI166" s="44">
        <v>0.1769</v>
      </c>
      <c r="AJ166" s="44">
        <v>0.0336</v>
      </c>
      <c r="AK166" s="45">
        <v>0.0006</v>
      </c>
      <c r="AL166" s="45">
        <v>0</v>
      </c>
      <c r="AM166" s="45">
        <v>0.1125</v>
      </c>
      <c r="AN166" s="45">
        <v>0.0306233210316736</v>
      </c>
      <c r="AO166" s="43">
        <v>0.167280286121902</v>
      </c>
      <c r="AP166" s="49"/>
      <c r="AQ166" s="46"/>
      <c r="AR166" s="29"/>
      <c r="AS166" s="29"/>
      <c r="AT166" s="29"/>
      <c r="AU166" s="29"/>
      <c r="AV166" s="29"/>
      <c r="AW166" s="29"/>
      <c r="AX166" s="29"/>
      <c r="AY166" s="29"/>
      <c r="AZ166" s="29"/>
      <c r="BA166" s="29"/>
      <c r="BB166" s="29"/>
      <c r="BC166" s="29"/>
      <c r="BD166" s="29"/>
      <c r="BE166" s="29"/>
      <c r="BF166" s="29"/>
      <c r="BG166" s="47"/>
      <c r="BH166" s="48"/>
      <c r="BI166" s="48"/>
      <c r="BJ166" s="48"/>
      <c r="BK166" s="45"/>
      <c r="BL166" s="45"/>
      <c r="BM166" s="45"/>
      <c r="BN166" s="37"/>
      <c r="BO166" s="37"/>
      <c r="BP166" s="49"/>
      <c r="BQ166" s="37"/>
      <c r="BR166" s="37"/>
      <c r="BS166" s="49"/>
      <c r="BT166" s="29"/>
      <c r="BU166" s="29"/>
      <c r="BV166" s="29"/>
      <c r="BW166" s="29"/>
      <c r="BX166" s="29"/>
      <c r="BY166" s="29"/>
      <c r="BZ166" s="29"/>
      <c r="CA166" s="29"/>
      <c r="CB166" s="29"/>
      <c r="CC166" s="29"/>
      <c r="CD166" s="29"/>
      <c r="CE166" s="29"/>
      <c r="CF166" s="29"/>
      <c r="CG166" s="29"/>
      <c r="CH166" s="29"/>
      <c r="CI166" s="29"/>
      <c r="CJ166" s="29"/>
      <c r="CK166" s="29"/>
      <c r="CL166" s="52"/>
    </row>
    <row r="167" ht="165" spans="1:90">
      <c r="A167" s="29" t="s">
        <v>802</v>
      </c>
      <c r="B167" s="30" t="s">
        <v>803</v>
      </c>
      <c r="C167" s="29" t="s">
        <v>522</v>
      </c>
      <c r="D167" s="31"/>
      <c r="E167" s="32">
        <v>45973</v>
      </c>
      <c r="F167" s="33">
        <v>35</v>
      </c>
      <c r="G167" s="34">
        <f t="shared" si="6"/>
        <v>125</v>
      </c>
      <c r="H167" s="35">
        <v>2.1</v>
      </c>
      <c r="I167" s="36">
        <v>19.4955752212389</v>
      </c>
      <c r="J167" s="35">
        <v>3.4028746788</v>
      </c>
      <c r="K167" s="35">
        <v>47.124</v>
      </c>
      <c r="L167" s="35">
        <v>66.31428</v>
      </c>
      <c r="M167" s="35">
        <v>2.75801625</v>
      </c>
      <c r="N167" s="35">
        <v>6.8672398212</v>
      </c>
      <c r="O167" s="35">
        <v>0</v>
      </c>
      <c r="P167" s="35">
        <v>2.01048119469027</v>
      </c>
      <c r="Q167" s="35" t="s">
        <v>93</v>
      </c>
      <c r="R167" s="37" t="s">
        <v>94</v>
      </c>
      <c r="S167" s="35">
        <v>6.8</v>
      </c>
      <c r="T167" s="38" t="s">
        <v>523</v>
      </c>
      <c r="U167" s="38">
        <v>11.6</v>
      </c>
      <c r="V167" s="39">
        <v>1.76</v>
      </c>
      <c r="W167" s="51" t="s">
        <v>524</v>
      </c>
      <c r="X167" s="35">
        <v>23.134112135167</v>
      </c>
      <c r="Y167" s="35">
        <v>60.2003982478633</v>
      </c>
      <c r="Z167" s="35"/>
      <c r="AA167" s="35">
        <v>311.980527931324</v>
      </c>
      <c r="AB167" s="35">
        <v>23.13</v>
      </c>
      <c r="AC167" s="41">
        <v>0.1</v>
      </c>
      <c r="AD167" s="37">
        <v>19.0816598320022</v>
      </c>
      <c r="AE167" s="42">
        <v>0.123951420495657</v>
      </c>
      <c r="AF167" s="43">
        <v>0.0127824902386146</v>
      </c>
      <c r="AG167" s="43">
        <v>0.0216352246814679</v>
      </c>
      <c r="AH167" s="43">
        <v>0.299610894941634</v>
      </c>
      <c r="AI167" s="44">
        <v>0.1769</v>
      </c>
      <c r="AJ167" s="44">
        <v>0.0336</v>
      </c>
      <c r="AK167" s="45">
        <v>0.0006</v>
      </c>
      <c r="AL167" s="45">
        <v>0</v>
      </c>
      <c r="AM167" s="45">
        <v>0.1125</v>
      </c>
      <c r="AN167" s="45">
        <v>0.0175352626459144</v>
      </c>
      <c r="AO167" s="43">
        <v>0.200884706996712</v>
      </c>
      <c r="AP167" s="49"/>
      <c r="AQ167" s="46"/>
      <c r="AR167" s="29"/>
      <c r="AS167" s="29"/>
      <c r="AT167" s="29"/>
      <c r="AU167" s="29"/>
      <c r="AV167" s="29"/>
      <c r="AW167" s="29"/>
      <c r="AX167" s="29"/>
      <c r="AY167" s="29"/>
      <c r="AZ167" s="29"/>
      <c r="BA167" s="29"/>
      <c r="BB167" s="29"/>
      <c r="BC167" s="29"/>
      <c r="BD167" s="29"/>
      <c r="BE167" s="29"/>
      <c r="BF167" s="29"/>
      <c r="BG167" s="47"/>
      <c r="BH167" s="48"/>
      <c r="BI167" s="48"/>
      <c r="BJ167" s="48"/>
      <c r="BK167" s="45"/>
      <c r="BL167" s="45"/>
      <c r="BM167" s="45"/>
      <c r="BN167" s="37"/>
      <c r="BO167" s="37"/>
      <c r="BP167" s="49"/>
      <c r="BQ167" s="37"/>
      <c r="BR167" s="37"/>
      <c r="BS167" s="49"/>
      <c r="BT167" s="29"/>
      <c r="BU167" s="29"/>
      <c r="BV167" s="29"/>
      <c r="BW167" s="29"/>
      <c r="BX167" s="29"/>
      <c r="BY167" s="29"/>
      <c r="BZ167" s="29"/>
      <c r="CA167" s="29"/>
      <c r="CB167" s="29"/>
      <c r="CC167" s="29"/>
      <c r="CD167" s="29"/>
      <c r="CE167" s="29"/>
      <c r="CF167" s="29"/>
      <c r="CG167" s="29"/>
      <c r="CH167" s="29"/>
      <c r="CI167" s="29"/>
      <c r="CJ167" s="29"/>
      <c r="CK167" s="29"/>
      <c r="CL167" s="52"/>
    </row>
    <row r="168" ht="66" spans="1:90">
      <c r="A168" s="29" t="s">
        <v>804</v>
      </c>
      <c r="B168" s="30" t="s">
        <v>805</v>
      </c>
      <c r="C168" s="29" t="s">
        <v>527</v>
      </c>
      <c r="D168" s="31"/>
      <c r="E168" s="32">
        <v>45973</v>
      </c>
      <c r="F168" s="33">
        <v>35</v>
      </c>
      <c r="G168" s="34">
        <f t="shared" si="6"/>
        <v>125</v>
      </c>
      <c r="H168" s="35">
        <v>1.7</v>
      </c>
      <c r="I168" s="36">
        <v>28.4247787610619</v>
      </c>
      <c r="J168" s="35">
        <v>6.6287617693</v>
      </c>
      <c r="K168" s="35">
        <v>53.516</v>
      </c>
      <c r="L168" s="35">
        <v>68.23868</v>
      </c>
      <c r="M168" s="35">
        <v>5.372136</v>
      </c>
      <c r="N168" s="35">
        <v>13.37618886912</v>
      </c>
      <c r="O168" s="35">
        <v>0</v>
      </c>
      <c r="P168" s="35">
        <v>2.93130530973451</v>
      </c>
      <c r="Q168" s="35" t="s">
        <v>93</v>
      </c>
      <c r="R168" s="37" t="s">
        <v>94</v>
      </c>
      <c r="S168" s="35">
        <v>6.8</v>
      </c>
      <c r="T168" s="38" t="s">
        <v>528</v>
      </c>
      <c r="U168" s="38">
        <v>244</v>
      </c>
      <c r="V168" s="39">
        <v>3.86</v>
      </c>
      <c r="W168" s="51" t="s">
        <v>529</v>
      </c>
      <c r="X168" s="35">
        <v>27.2180444331446</v>
      </c>
      <c r="Y168" s="35">
        <v>104.748051410935</v>
      </c>
      <c r="Z168" s="35"/>
      <c r="AA168" s="35">
        <v>247.42890925</v>
      </c>
      <c r="AB168" s="35">
        <v>27.2180444331446</v>
      </c>
      <c r="AC168" s="41">
        <v>0.1</v>
      </c>
      <c r="AD168" s="37">
        <v>24.7155217577909</v>
      </c>
      <c r="AE168" s="42">
        <v>0.153578797108409</v>
      </c>
      <c r="AF168" s="43">
        <v>0.0158378134518047</v>
      </c>
      <c r="AG168" s="43">
        <v>0.0358151339507302</v>
      </c>
      <c r="AH168" s="43">
        <v>0.289146416059794</v>
      </c>
      <c r="AI168" s="44">
        <v>0.1769</v>
      </c>
      <c r="AJ168" s="44">
        <v>0.0336</v>
      </c>
      <c r="AK168" s="45">
        <v>0.0006</v>
      </c>
      <c r="AL168" s="45">
        <v>0</v>
      </c>
      <c r="AM168" s="45">
        <v>0.1125</v>
      </c>
      <c r="AN168" s="45">
        <v>0.029025597409855</v>
      </c>
      <c r="AO168" s="43">
        <v>0.152996242019407</v>
      </c>
      <c r="AP168" s="49"/>
      <c r="AQ168" s="46"/>
      <c r="AR168" s="29"/>
      <c r="AS168" s="29"/>
      <c r="AT168" s="29"/>
      <c r="AU168" s="29"/>
      <c r="AV168" s="29"/>
      <c r="AW168" s="29"/>
      <c r="AX168" s="29"/>
      <c r="AY168" s="29"/>
      <c r="AZ168" s="29"/>
      <c r="BA168" s="29"/>
      <c r="BB168" s="29"/>
      <c r="BC168" s="29"/>
      <c r="BD168" s="29"/>
      <c r="BE168" s="29"/>
      <c r="BF168" s="29"/>
      <c r="BG168" s="47"/>
      <c r="BH168" s="48"/>
      <c r="BI168" s="48"/>
      <c r="BJ168" s="48"/>
      <c r="BK168" s="45"/>
      <c r="BL168" s="45"/>
      <c r="BM168" s="45"/>
      <c r="BN168" s="37"/>
      <c r="BO168" s="37"/>
      <c r="BP168" s="49"/>
      <c r="BQ168" s="37"/>
      <c r="BR168" s="37"/>
      <c r="BS168" s="49"/>
      <c r="BT168" s="29"/>
      <c r="BU168" s="29"/>
      <c r="BV168" s="29"/>
      <c r="BW168" s="29"/>
      <c r="BX168" s="29"/>
      <c r="BY168" s="29"/>
      <c r="BZ168" s="29"/>
      <c r="CA168" s="29"/>
      <c r="CB168" s="29"/>
      <c r="CC168" s="29"/>
      <c r="CD168" s="29"/>
      <c r="CE168" s="29"/>
      <c r="CF168" s="29"/>
      <c r="CG168" s="29"/>
      <c r="CH168" s="29"/>
      <c r="CI168" s="29"/>
      <c r="CJ168" s="29"/>
      <c r="CK168" s="29"/>
      <c r="CL168" s="52"/>
    </row>
    <row r="169" ht="99" spans="1:90">
      <c r="A169" s="29" t="s">
        <v>806</v>
      </c>
      <c r="B169" s="30" t="s">
        <v>807</v>
      </c>
      <c r="C169" s="29" t="s">
        <v>532</v>
      </c>
      <c r="D169" s="31"/>
      <c r="E169" s="32">
        <v>45973</v>
      </c>
      <c r="F169" s="33">
        <v>35</v>
      </c>
      <c r="G169" s="34">
        <f t="shared" si="6"/>
        <v>125</v>
      </c>
      <c r="H169" s="35">
        <v>2.5</v>
      </c>
      <c r="I169" s="36">
        <v>24.5132743362832</v>
      </c>
      <c r="J169" s="35">
        <v>5.5508212373</v>
      </c>
      <c r="K169" s="35">
        <v>51.34</v>
      </c>
      <c r="L169" s="35">
        <v>68.23868</v>
      </c>
      <c r="M169" s="35">
        <v>4.498659</v>
      </c>
      <c r="N169" s="35">
        <v>11.20130101728</v>
      </c>
      <c r="O169" s="35">
        <v>0</v>
      </c>
      <c r="P169" s="35">
        <v>2.5279314159292</v>
      </c>
      <c r="Q169" s="35" t="s">
        <v>93</v>
      </c>
      <c r="R169" s="37" t="s">
        <v>94</v>
      </c>
      <c r="S169" s="35">
        <v>6.8</v>
      </c>
      <c r="T169" s="38" t="s">
        <v>533</v>
      </c>
      <c r="U169" s="38">
        <v>85.8</v>
      </c>
      <c r="V169" s="39">
        <v>3.18</v>
      </c>
      <c r="W169" s="51" t="s">
        <v>534</v>
      </c>
      <c r="X169" s="35">
        <v>25.7045151128524</v>
      </c>
      <c r="Y169" s="35">
        <v>84.9944026554003</v>
      </c>
      <c r="Z169" s="35"/>
      <c r="AA169" s="35">
        <v>247.419284032634</v>
      </c>
      <c r="AB169" s="35">
        <v>25.7</v>
      </c>
      <c r="AC169" s="41">
        <v>0.1</v>
      </c>
      <c r="AD169" s="37">
        <v>22.5616111129711</v>
      </c>
      <c r="AE169" s="42">
        <v>0.140268221196402</v>
      </c>
      <c r="AF169" s="43">
        <v>0.0144651603108789</v>
      </c>
      <c r="AG169" s="43">
        <v>0.0317625385517281</v>
      </c>
      <c r="AH169" s="43">
        <v>0.293774319066148</v>
      </c>
      <c r="AI169" s="44">
        <v>0.1769</v>
      </c>
      <c r="AJ169" s="44">
        <v>0.0336</v>
      </c>
      <c r="AK169" s="45">
        <v>0.0006</v>
      </c>
      <c r="AL169" s="45">
        <v>0</v>
      </c>
      <c r="AM169" s="45">
        <v>0.1125</v>
      </c>
      <c r="AN169" s="45">
        <v>0.0257419260700389</v>
      </c>
      <c r="AO169" s="43">
        <v>0.170387834804804</v>
      </c>
      <c r="AP169" s="49"/>
      <c r="AQ169" s="46"/>
      <c r="AR169" s="29"/>
      <c r="AS169" s="29"/>
      <c r="AT169" s="29"/>
      <c r="AU169" s="29"/>
      <c r="AV169" s="29"/>
      <c r="AW169" s="29"/>
      <c r="AX169" s="29"/>
      <c r="AY169" s="29"/>
      <c r="AZ169" s="29"/>
      <c r="BA169" s="29"/>
      <c r="BB169" s="29"/>
      <c r="BC169" s="29"/>
      <c r="BD169" s="29"/>
      <c r="BE169" s="29"/>
      <c r="BF169" s="29"/>
      <c r="BG169" s="47"/>
      <c r="BH169" s="48"/>
      <c r="BI169" s="48"/>
      <c r="BJ169" s="48"/>
      <c r="BK169" s="45"/>
      <c r="BL169" s="45"/>
      <c r="BM169" s="45"/>
      <c r="BN169" s="37"/>
      <c r="BO169" s="37"/>
      <c r="BP169" s="49"/>
      <c r="BQ169" s="37"/>
      <c r="BR169" s="37"/>
      <c r="BS169" s="49"/>
      <c r="BT169" s="29"/>
      <c r="BU169" s="29"/>
      <c r="BV169" s="29"/>
      <c r="BW169" s="29"/>
      <c r="BX169" s="29"/>
      <c r="BY169" s="29"/>
      <c r="BZ169" s="29"/>
      <c r="CA169" s="29"/>
      <c r="CB169" s="29"/>
      <c r="CC169" s="29"/>
      <c r="CD169" s="29"/>
      <c r="CE169" s="29"/>
      <c r="CF169" s="29"/>
      <c r="CG169" s="29"/>
      <c r="CH169" s="29"/>
      <c r="CI169" s="29"/>
      <c r="CJ169" s="29"/>
      <c r="CK169" s="29"/>
      <c r="CL169" s="52"/>
    </row>
    <row r="170" ht="132" spans="1:90">
      <c r="A170" s="29" t="s">
        <v>808</v>
      </c>
      <c r="B170" s="30" t="s">
        <v>809</v>
      </c>
      <c r="C170" s="29" t="s">
        <v>537</v>
      </c>
      <c r="D170" s="31"/>
      <c r="E170" s="32">
        <v>45973</v>
      </c>
      <c r="F170" s="33">
        <v>35</v>
      </c>
      <c r="G170" s="34">
        <f t="shared" si="6"/>
        <v>125</v>
      </c>
      <c r="H170" s="35">
        <v>2.5</v>
      </c>
      <c r="I170" s="36">
        <v>29.5575221238938</v>
      </c>
      <c r="J170" s="35">
        <v>6.990274414</v>
      </c>
      <c r="K170" s="35">
        <v>53.516</v>
      </c>
      <c r="L170" s="35">
        <v>68.23868</v>
      </c>
      <c r="M170" s="35">
        <v>5.664978</v>
      </c>
      <c r="N170" s="35">
        <v>14.10534202176</v>
      </c>
      <c r="O170" s="35">
        <v>0</v>
      </c>
      <c r="P170" s="35">
        <v>3.04811946902655</v>
      </c>
      <c r="Q170" s="35" t="s">
        <v>93</v>
      </c>
      <c r="R170" s="37" t="s">
        <v>94</v>
      </c>
      <c r="S170" s="35">
        <v>6.8</v>
      </c>
      <c r="T170" s="38" t="s">
        <v>538</v>
      </c>
      <c r="U170" s="38">
        <v>347.5</v>
      </c>
      <c r="V170" s="39">
        <v>2.84</v>
      </c>
      <c r="W170" s="51" t="s">
        <v>539</v>
      </c>
      <c r="X170" s="35">
        <v>24.2135593726053</v>
      </c>
      <c r="Y170" s="35">
        <v>60.5400229833103</v>
      </c>
      <c r="Z170" s="35"/>
      <c r="AA170" s="35">
        <v>244.717522060714</v>
      </c>
      <c r="AB170" s="35">
        <v>26.99</v>
      </c>
      <c r="AC170" s="41">
        <v>0.1</v>
      </c>
      <c r="AD170" s="37">
        <v>25.2012731168409</v>
      </c>
      <c r="AE170" s="42">
        <v>0.161048330121689</v>
      </c>
      <c r="AF170" s="43">
        <v>0.0166081090437992</v>
      </c>
      <c r="AG170" s="43">
        <v>0.0380874965346643</v>
      </c>
      <c r="AH170" s="43">
        <v>0.29158947758429</v>
      </c>
      <c r="AI170" s="44">
        <v>0.1769</v>
      </c>
      <c r="AJ170" s="44">
        <v>0.0336</v>
      </c>
      <c r="AK170" s="45">
        <v>0.0006</v>
      </c>
      <c r="AL170" s="45">
        <v>0</v>
      </c>
      <c r="AM170" s="45">
        <v>0.1125</v>
      </c>
      <c r="AN170" s="45">
        <v>0.0308664320118562</v>
      </c>
      <c r="AO170" s="43">
        <v>0.138200154703701</v>
      </c>
      <c r="AP170" s="49"/>
      <c r="AQ170" s="46"/>
      <c r="AR170" s="29"/>
      <c r="AS170" s="29"/>
      <c r="AT170" s="29"/>
      <c r="AU170" s="29"/>
      <c r="AV170" s="29"/>
      <c r="AW170" s="29"/>
      <c r="AX170" s="29"/>
      <c r="AY170" s="29"/>
      <c r="AZ170" s="29"/>
      <c r="BA170" s="29"/>
      <c r="BB170" s="29"/>
      <c r="BC170" s="29"/>
      <c r="BD170" s="29"/>
      <c r="BE170" s="29"/>
      <c r="BF170" s="29"/>
      <c r="BG170" s="47"/>
      <c r="BH170" s="48"/>
      <c r="BI170" s="48"/>
      <c r="BJ170" s="48"/>
      <c r="BK170" s="45"/>
      <c r="BL170" s="45"/>
      <c r="BM170" s="45"/>
      <c r="BN170" s="37"/>
      <c r="BO170" s="37"/>
      <c r="BP170" s="49"/>
      <c r="BQ170" s="37"/>
      <c r="BR170" s="37"/>
      <c r="BS170" s="49"/>
      <c r="BT170" s="29"/>
      <c r="BU170" s="29"/>
      <c r="BV170" s="29"/>
      <c r="BW170" s="29"/>
      <c r="BX170" s="29"/>
      <c r="BY170" s="29"/>
      <c r="BZ170" s="29"/>
      <c r="CA170" s="29"/>
      <c r="CB170" s="29"/>
      <c r="CC170" s="29"/>
      <c r="CD170" s="29"/>
      <c r="CE170" s="29"/>
      <c r="CF170" s="29"/>
      <c r="CG170" s="29"/>
      <c r="CH170" s="29"/>
      <c r="CI170" s="29"/>
      <c r="CJ170" s="29"/>
      <c r="CK170" s="29"/>
      <c r="CL170" s="52"/>
    </row>
    <row r="171" ht="33" spans="1:90">
      <c r="A171" s="29" t="s">
        <v>810</v>
      </c>
      <c r="B171" s="30" t="s">
        <v>811</v>
      </c>
      <c r="C171" s="29" t="s">
        <v>542</v>
      </c>
      <c r="D171" s="31"/>
      <c r="E171" s="32">
        <v>45973</v>
      </c>
      <c r="F171" s="33">
        <v>40</v>
      </c>
      <c r="G171" s="34">
        <f t="shared" si="6"/>
        <v>130</v>
      </c>
      <c r="H171" s="35">
        <v>2.5</v>
      </c>
      <c r="I171" s="36">
        <v>23.8495575221239</v>
      </c>
      <c r="J171" s="35">
        <v>5.3495132138</v>
      </c>
      <c r="K171" s="35">
        <v>51.34</v>
      </c>
      <c r="L171" s="35">
        <v>68.23868</v>
      </c>
      <c r="M171" s="35">
        <v>4.335408</v>
      </c>
      <c r="N171" s="35">
        <v>10.79481908736</v>
      </c>
      <c r="O171" s="35">
        <v>0</v>
      </c>
      <c r="P171" s="35">
        <v>2.45948561946903</v>
      </c>
      <c r="Q171" s="35" t="s">
        <v>93</v>
      </c>
      <c r="R171" s="37" t="s">
        <v>94</v>
      </c>
      <c r="S171" s="35">
        <v>6.8</v>
      </c>
      <c r="T171" s="38" t="s">
        <v>543</v>
      </c>
      <c r="U171" s="38">
        <v>67.7</v>
      </c>
      <c r="V171" s="39">
        <v>3.13000000000011</v>
      </c>
      <c r="W171" s="51" t="s">
        <v>544</v>
      </c>
      <c r="X171" s="35">
        <v>29.5544499727709</v>
      </c>
      <c r="Y171" s="35">
        <v>102.715180928054</v>
      </c>
      <c r="Z171" s="35"/>
      <c r="AA171" s="35">
        <v>239.408955555556</v>
      </c>
      <c r="AB171" s="35">
        <v>29.55</v>
      </c>
      <c r="AC171" s="41">
        <v>0.1</v>
      </c>
      <c r="AD171" s="37">
        <v>22.2818009234276</v>
      </c>
      <c r="AE171" s="42">
        <v>0.118689944869732</v>
      </c>
      <c r="AF171" s="43">
        <v>0.0122399005646911</v>
      </c>
      <c r="AG171" s="43">
        <v>0.0266224405981885</v>
      </c>
      <c r="AH171" s="43">
        <v>0.255499153976311</v>
      </c>
      <c r="AI171" s="44">
        <v>0.1769</v>
      </c>
      <c r="AJ171" s="44">
        <v>0.0336</v>
      </c>
      <c r="AK171" s="45">
        <v>0.0006</v>
      </c>
      <c r="AL171" s="45">
        <v>0</v>
      </c>
      <c r="AM171" s="45">
        <v>0.1125</v>
      </c>
      <c r="AN171" s="45">
        <v>0.0215756345177665</v>
      </c>
      <c r="AO171" s="43">
        <v>0.241772925473311</v>
      </c>
      <c r="AP171" s="49"/>
      <c r="AQ171" s="46"/>
      <c r="AR171" s="29"/>
      <c r="AS171" s="29"/>
      <c r="AT171" s="29"/>
      <c r="AU171" s="29"/>
      <c r="AV171" s="29"/>
      <c r="AW171" s="29"/>
      <c r="AX171" s="29"/>
      <c r="AY171" s="29"/>
      <c r="AZ171" s="29"/>
      <c r="BA171" s="29"/>
      <c r="BB171" s="29"/>
      <c r="BC171" s="29"/>
      <c r="BD171" s="29"/>
      <c r="BE171" s="29"/>
      <c r="BF171" s="29"/>
      <c r="BG171" s="47"/>
      <c r="BH171" s="48"/>
      <c r="BI171" s="48"/>
      <c r="BJ171" s="48"/>
      <c r="BK171" s="45"/>
      <c r="BL171" s="45"/>
      <c r="BM171" s="45"/>
      <c r="BN171" s="37"/>
      <c r="BO171" s="37"/>
      <c r="BP171" s="49"/>
      <c r="BQ171" s="37"/>
      <c r="BR171" s="37"/>
      <c r="BS171" s="49"/>
      <c r="BT171" s="29"/>
      <c r="BU171" s="29"/>
      <c r="BV171" s="29"/>
      <c r="BW171" s="29"/>
      <c r="BX171" s="29"/>
      <c r="BY171" s="29"/>
      <c r="BZ171" s="29"/>
      <c r="CA171" s="29"/>
      <c r="CB171" s="29"/>
      <c r="CC171" s="29"/>
      <c r="CD171" s="29"/>
      <c r="CE171" s="29"/>
      <c r="CF171" s="29"/>
      <c r="CG171" s="29"/>
      <c r="CH171" s="29"/>
      <c r="CI171" s="29"/>
      <c r="CJ171" s="29"/>
      <c r="CK171" s="29"/>
      <c r="CL171" s="52"/>
    </row>
    <row r="172" ht="132" spans="1:90">
      <c r="A172" s="29" t="s">
        <v>812</v>
      </c>
      <c r="B172" s="30" t="s">
        <v>813</v>
      </c>
      <c r="C172" s="29" t="s">
        <v>547</v>
      </c>
      <c r="D172" s="31"/>
      <c r="E172" s="32">
        <v>45973</v>
      </c>
      <c r="F172" s="33">
        <v>35</v>
      </c>
      <c r="G172" s="34">
        <f t="shared" si="6"/>
        <v>125</v>
      </c>
      <c r="H172" s="35">
        <v>2.5</v>
      </c>
      <c r="I172" s="36">
        <v>18.9911504424779</v>
      </c>
      <c r="J172" s="35">
        <v>5.0944860297</v>
      </c>
      <c r="K172" s="35">
        <v>51.34</v>
      </c>
      <c r="L172" s="35">
        <v>68.23868</v>
      </c>
      <c r="M172" s="35">
        <v>4.12896</v>
      </c>
      <c r="N172" s="35">
        <v>10.2807800832</v>
      </c>
      <c r="O172" s="35">
        <v>0</v>
      </c>
      <c r="P172" s="35">
        <v>1.95846238938053</v>
      </c>
      <c r="Q172" s="35" t="s">
        <v>93</v>
      </c>
      <c r="R172" s="37" t="s">
        <v>94</v>
      </c>
      <c r="S172" s="35">
        <v>6.8</v>
      </c>
      <c r="T172" s="38" t="s">
        <v>548</v>
      </c>
      <c r="U172" s="38">
        <v>266</v>
      </c>
      <c r="V172" s="39">
        <v>8.94</v>
      </c>
      <c r="W172" s="51" t="s">
        <v>549</v>
      </c>
      <c r="X172" s="35">
        <v>24.7190872597665</v>
      </c>
      <c r="Y172" s="35">
        <v>61.6699942917627</v>
      </c>
      <c r="Z172" s="35"/>
      <c r="AA172" s="35">
        <v>214.086503152381</v>
      </c>
      <c r="AB172" s="35">
        <v>24.72</v>
      </c>
      <c r="AC172" s="41">
        <v>0.1</v>
      </c>
      <c r="AD172" s="37">
        <v>20.7966942027489</v>
      </c>
      <c r="AE172" s="42">
        <v>0.112978003298579</v>
      </c>
      <c r="AF172" s="43">
        <v>0.0116508565901659</v>
      </c>
      <c r="AG172" s="43">
        <v>0.030307003317747</v>
      </c>
      <c r="AH172" s="43">
        <v>0.30542071197411</v>
      </c>
      <c r="AI172" s="44">
        <v>0.1769</v>
      </c>
      <c r="AJ172" s="44">
        <v>0.0336</v>
      </c>
      <c r="AK172" s="45">
        <v>0.0006</v>
      </c>
      <c r="AL172" s="45">
        <v>0</v>
      </c>
      <c r="AM172" s="45">
        <v>0.1125</v>
      </c>
      <c r="AN172" s="45">
        <v>0.0245631067961165</v>
      </c>
      <c r="AO172" s="43">
        <v>0.191480318023282</v>
      </c>
      <c r="AP172" s="49"/>
      <c r="AQ172" s="46"/>
      <c r="AR172" s="29"/>
      <c r="AS172" s="29"/>
      <c r="AT172" s="29"/>
      <c r="AU172" s="29"/>
      <c r="AV172" s="29"/>
      <c r="AW172" s="29"/>
      <c r="AX172" s="29"/>
      <c r="AY172" s="29"/>
      <c r="AZ172" s="29"/>
      <c r="BA172" s="29"/>
      <c r="BB172" s="29"/>
      <c r="BC172" s="29"/>
      <c r="BD172" s="29"/>
      <c r="BE172" s="29"/>
      <c r="BF172" s="29"/>
      <c r="BG172" s="47"/>
      <c r="BH172" s="48"/>
      <c r="BI172" s="48"/>
      <c r="BJ172" s="48"/>
      <c r="BK172" s="45"/>
      <c r="BL172" s="45"/>
      <c r="BM172" s="45"/>
      <c r="BN172" s="37"/>
      <c r="BO172" s="37"/>
      <c r="BP172" s="49"/>
      <c r="BQ172" s="37"/>
      <c r="BR172" s="37"/>
      <c r="BS172" s="49"/>
      <c r="BT172" s="29"/>
      <c r="BU172" s="29"/>
      <c r="BV172" s="29"/>
      <c r="BW172" s="29"/>
      <c r="BX172" s="29"/>
      <c r="BY172" s="29"/>
      <c r="BZ172" s="29"/>
      <c r="CA172" s="29"/>
      <c r="CB172" s="29"/>
      <c r="CC172" s="29"/>
      <c r="CD172" s="29"/>
      <c r="CE172" s="29"/>
      <c r="CF172" s="29"/>
      <c r="CG172" s="29"/>
      <c r="CH172" s="29"/>
      <c r="CI172" s="29"/>
      <c r="CJ172" s="29"/>
      <c r="CK172" s="29"/>
      <c r="CL172" s="52"/>
    </row>
    <row r="173" ht="132" spans="1:90">
      <c r="A173" s="29" t="s">
        <v>814</v>
      </c>
      <c r="B173" s="30" t="s">
        <v>815</v>
      </c>
      <c r="C173" s="29" t="s">
        <v>552</v>
      </c>
      <c r="D173" s="31"/>
      <c r="E173" s="32">
        <v>45973</v>
      </c>
      <c r="F173" s="33">
        <v>35</v>
      </c>
      <c r="G173" s="34">
        <f t="shared" si="6"/>
        <v>125</v>
      </c>
      <c r="H173" s="35">
        <v>2.5</v>
      </c>
      <c r="I173" s="36">
        <v>24.3008849557522</v>
      </c>
      <c r="J173" s="35">
        <v>5.0944860297</v>
      </c>
      <c r="K173" s="35">
        <v>51.34</v>
      </c>
      <c r="L173" s="35">
        <v>68.23868</v>
      </c>
      <c r="M173" s="35">
        <v>4.12896</v>
      </c>
      <c r="N173" s="35">
        <v>10.2807800832</v>
      </c>
      <c r="O173" s="35">
        <v>0</v>
      </c>
      <c r="P173" s="35">
        <v>2.50602876106195</v>
      </c>
      <c r="Q173" s="35" t="s">
        <v>93</v>
      </c>
      <c r="R173" s="37" t="s">
        <v>94</v>
      </c>
      <c r="S173" s="35">
        <v>6.8</v>
      </c>
      <c r="T173" s="38" t="s">
        <v>553</v>
      </c>
      <c r="U173" s="38">
        <v>225.1</v>
      </c>
      <c r="V173" s="39">
        <v>3.9</v>
      </c>
      <c r="W173" s="51" t="s">
        <v>554</v>
      </c>
      <c r="X173" s="35">
        <v>22.4673664332077</v>
      </c>
      <c r="Y173" s="35">
        <v>45.5561330678884</v>
      </c>
      <c r="Z173" s="35"/>
      <c r="AA173" s="35">
        <v>184.960568974359</v>
      </c>
      <c r="AB173" s="35">
        <v>22.47</v>
      </c>
      <c r="AC173" s="41">
        <v>0.1</v>
      </c>
      <c r="AD173" s="37">
        <v>22.2910865990004</v>
      </c>
      <c r="AE173" s="42">
        <v>0.159041368594415</v>
      </c>
      <c r="AF173" s="43">
        <v>0.016401141136299</v>
      </c>
      <c r="AG173" s="43">
        <v>0.0333417499784026</v>
      </c>
      <c r="AH173" s="43">
        <v>0.336003560302626</v>
      </c>
      <c r="AI173" s="44">
        <v>0.1769</v>
      </c>
      <c r="AJ173" s="44">
        <v>0.0336</v>
      </c>
      <c r="AK173" s="45">
        <v>0.0006</v>
      </c>
      <c r="AL173" s="45">
        <v>0</v>
      </c>
      <c r="AM173" s="45">
        <v>0.1125</v>
      </c>
      <c r="AN173" s="45">
        <v>0.027022696929239</v>
      </c>
      <c r="AO173" s="43">
        <v>0.104589483059018</v>
      </c>
      <c r="AP173" s="49"/>
      <c r="AQ173" s="46"/>
      <c r="AR173" s="29"/>
      <c r="AS173" s="29"/>
      <c r="AT173" s="29"/>
      <c r="AU173" s="29"/>
      <c r="AV173" s="29"/>
      <c r="AW173" s="29"/>
      <c r="AX173" s="29"/>
      <c r="AY173" s="29"/>
      <c r="AZ173" s="29"/>
      <c r="BA173" s="29"/>
      <c r="BB173" s="29"/>
      <c r="BC173" s="29"/>
      <c r="BD173" s="29"/>
      <c r="BE173" s="29"/>
      <c r="BF173" s="29"/>
      <c r="BG173" s="47"/>
      <c r="BH173" s="48"/>
      <c r="BI173" s="48"/>
      <c r="BJ173" s="48"/>
      <c r="BK173" s="45"/>
      <c r="BL173" s="45"/>
      <c r="BM173" s="45"/>
      <c r="BN173" s="37"/>
      <c r="BO173" s="37"/>
      <c r="BP173" s="49"/>
      <c r="BQ173" s="37"/>
      <c r="BR173" s="37"/>
      <c r="BS173" s="49"/>
      <c r="BT173" s="29"/>
      <c r="BU173" s="29"/>
      <c r="BV173" s="29"/>
      <c r="BW173" s="29"/>
      <c r="BX173" s="29"/>
      <c r="BY173" s="29"/>
      <c r="BZ173" s="29"/>
      <c r="CA173" s="29"/>
      <c r="CB173" s="29"/>
      <c r="CC173" s="29"/>
      <c r="CD173" s="29"/>
      <c r="CE173" s="29"/>
      <c r="CF173" s="29"/>
      <c r="CG173" s="29"/>
      <c r="CH173" s="29"/>
      <c r="CI173" s="29"/>
      <c r="CJ173" s="29"/>
      <c r="CK173" s="29"/>
      <c r="CL173" s="52"/>
    </row>
    <row r="174" ht="165" spans="1:90">
      <c r="A174" s="29" t="s">
        <v>816</v>
      </c>
      <c r="B174" s="30" t="s">
        <v>817</v>
      </c>
      <c r="C174" s="29" t="s">
        <v>557</v>
      </c>
      <c r="D174" s="31"/>
      <c r="E174" s="32">
        <v>45973</v>
      </c>
      <c r="F174" s="33">
        <v>35</v>
      </c>
      <c r="G174" s="34">
        <f t="shared" si="6"/>
        <v>125</v>
      </c>
      <c r="H174" s="35">
        <v>2.1</v>
      </c>
      <c r="I174" s="36">
        <v>19.3893805309735</v>
      </c>
      <c r="J174" s="35">
        <v>3.820756359</v>
      </c>
      <c r="K174" s="35">
        <v>47.124</v>
      </c>
      <c r="L174" s="35">
        <v>66.31428</v>
      </c>
      <c r="M174" s="35">
        <v>3.09672</v>
      </c>
      <c r="N174" s="35">
        <v>7.7105850624</v>
      </c>
      <c r="O174" s="35">
        <v>0</v>
      </c>
      <c r="P174" s="35">
        <v>1.99952986725664</v>
      </c>
      <c r="Q174" s="35" t="s">
        <v>93</v>
      </c>
      <c r="R174" s="37" t="s">
        <v>94</v>
      </c>
      <c r="S174" s="35">
        <v>6.8</v>
      </c>
      <c r="T174" s="38" t="s">
        <v>558</v>
      </c>
      <c r="U174" s="38">
        <v>87.6</v>
      </c>
      <c r="V174" s="39">
        <v>1.40000000000009</v>
      </c>
      <c r="W174" s="51" t="s">
        <v>559</v>
      </c>
      <c r="X174" s="35">
        <v>19.3329409231203</v>
      </c>
      <c r="Y174" s="35">
        <v>34.9582152388889</v>
      </c>
      <c r="Z174" s="35"/>
      <c r="AA174" s="35">
        <v>172.451847852778</v>
      </c>
      <c r="AB174" s="35">
        <v>21.99</v>
      </c>
      <c r="AC174" s="41">
        <v>0.1</v>
      </c>
      <c r="AD174" s="37">
        <v>19.2448021077148</v>
      </c>
      <c r="AE174" s="42">
        <v>0.129667098219602</v>
      </c>
      <c r="AF174" s="43">
        <v>0.0133719195038964</v>
      </c>
      <c r="AG174" s="43">
        <v>0.0255514295201027</v>
      </c>
      <c r="AH174" s="43">
        <v>0.315143246930423</v>
      </c>
      <c r="AI174" s="44">
        <v>0.1769</v>
      </c>
      <c r="AJ174" s="44">
        <v>0.0336</v>
      </c>
      <c r="AK174" s="45">
        <v>0.0006</v>
      </c>
      <c r="AL174" s="45">
        <v>0</v>
      </c>
      <c r="AM174" s="45">
        <v>0.1125</v>
      </c>
      <c r="AN174" s="45">
        <v>0.0207094133697135</v>
      </c>
      <c r="AO174" s="43">
        <v>0.171956892456263</v>
      </c>
      <c r="AP174" s="49"/>
      <c r="AQ174" s="46"/>
      <c r="AR174" s="29"/>
      <c r="AS174" s="29"/>
      <c r="AT174" s="29"/>
      <c r="AU174" s="29"/>
      <c r="AV174" s="29"/>
      <c r="AW174" s="29"/>
      <c r="AX174" s="29"/>
      <c r="AY174" s="29"/>
      <c r="AZ174" s="29"/>
      <c r="BA174" s="29"/>
      <c r="BB174" s="29"/>
      <c r="BC174" s="29"/>
      <c r="BD174" s="29"/>
      <c r="BE174" s="29"/>
      <c r="BF174" s="29"/>
      <c r="BG174" s="47"/>
      <c r="BH174" s="48"/>
      <c r="BI174" s="48"/>
      <c r="BJ174" s="48"/>
      <c r="BK174" s="45"/>
      <c r="BL174" s="45"/>
      <c r="BM174" s="45"/>
      <c r="BN174" s="37"/>
      <c r="BO174" s="37"/>
      <c r="BP174" s="49"/>
      <c r="BQ174" s="37"/>
      <c r="BR174" s="37"/>
      <c r="BS174" s="49"/>
      <c r="BT174" s="29"/>
      <c r="BU174" s="29"/>
      <c r="BV174" s="29"/>
      <c r="BW174" s="29"/>
      <c r="BX174" s="29"/>
      <c r="BY174" s="29"/>
      <c r="BZ174" s="29"/>
      <c r="CA174" s="29"/>
      <c r="CB174" s="29"/>
      <c r="CC174" s="29"/>
      <c r="CD174" s="29"/>
      <c r="CE174" s="29"/>
      <c r="CF174" s="29"/>
      <c r="CG174" s="29"/>
      <c r="CH174" s="29"/>
      <c r="CI174" s="29"/>
      <c r="CJ174" s="29"/>
      <c r="CK174" s="29"/>
      <c r="CL174" s="52"/>
    </row>
    <row r="175" ht="66" spans="1:90">
      <c r="A175" s="29" t="s">
        <v>818</v>
      </c>
      <c r="B175" s="30" t="s">
        <v>819</v>
      </c>
      <c r="C175" s="29" t="s">
        <v>562</v>
      </c>
      <c r="D175" s="31"/>
      <c r="E175" s="32">
        <v>45973</v>
      </c>
      <c r="F175" s="33">
        <v>35</v>
      </c>
      <c r="G175" s="34">
        <f t="shared" si="6"/>
        <v>125</v>
      </c>
      <c r="H175" s="35">
        <v>2.5</v>
      </c>
      <c r="I175" s="36">
        <v>22.9469026548673</v>
      </c>
      <c r="J175" s="35">
        <v>6.1553435666</v>
      </c>
      <c r="K175" s="35">
        <v>51.34</v>
      </c>
      <c r="L175" s="35">
        <v>68.23868</v>
      </c>
      <c r="M175" s="35">
        <v>4.988412</v>
      </c>
      <c r="N175" s="35">
        <v>12.42074680704</v>
      </c>
      <c r="O175" s="35">
        <v>0</v>
      </c>
      <c r="P175" s="35">
        <v>2.36639933628319</v>
      </c>
      <c r="Q175" s="35" t="s">
        <v>93</v>
      </c>
      <c r="R175" s="37" t="s">
        <v>94</v>
      </c>
      <c r="S175" s="35">
        <v>6.8</v>
      </c>
      <c r="T175" s="38" t="s">
        <v>563</v>
      </c>
      <c r="U175" s="38">
        <v>150.5</v>
      </c>
      <c r="V175" s="39">
        <v>6.14</v>
      </c>
      <c r="W175" s="51" t="s">
        <v>564</v>
      </c>
      <c r="X175" s="35">
        <v>25.342650259793</v>
      </c>
      <c r="Y175" s="35">
        <v>61.7691897788631</v>
      </c>
      <c r="Z175" s="35"/>
      <c r="AA175" s="35">
        <v>166.472524285714</v>
      </c>
      <c r="AB175" s="35">
        <v>25.99</v>
      </c>
      <c r="AC175" s="41">
        <v>0.1</v>
      </c>
      <c r="AD175" s="37">
        <v>22.3999514118439</v>
      </c>
      <c r="AE175" s="42">
        <v>0.129840111891832</v>
      </c>
      <c r="AF175" s="43">
        <v>0.0133897615388452</v>
      </c>
      <c r="AG175" s="43">
        <v>0.034828687315257</v>
      </c>
      <c r="AH175" s="43">
        <v>0.29049634474798</v>
      </c>
      <c r="AI175" s="44">
        <v>0.1769</v>
      </c>
      <c r="AJ175" s="44">
        <v>0.0336</v>
      </c>
      <c r="AK175" s="45">
        <v>0.0006</v>
      </c>
      <c r="AL175" s="45">
        <v>0</v>
      </c>
      <c r="AM175" s="45">
        <v>0.1125</v>
      </c>
      <c r="AN175" s="45">
        <v>0.0282258560984994</v>
      </c>
      <c r="AO175" s="43">
        <v>0.179619238407586</v>
      </c>
      <c r="AP175" s="49"/>
      <c r="AQ175" s="46"/>
      <c r="AR175" s="29"/>
      <c r="AS175" s="29"/>
      <c r="AT175" s="29"/>
      <c r="AU175" s="29"/>
      <c r="AV175" s="29"/>
      <c r="AW175" s="29"/>
      <c r="AX175" s="29"/>
      <c r="AY175" s="29"/>
      <c r="AZ175" s="29"/>
      <c r="BA175" s="29"/>
      <c r="BB175" s="29"/>
      <c r="BC175" s="29"/>
      <c r="BD175" s="29"/>
      <c r="BE175" s="29"/>
      <c r="BF175" s="29"/>
      <c r="BG175" s="47"/>
      <c r="BH175" s="48"/>
      <c r="BI175" s="48"/>
      <c r="BJ175" s="48"/>
      <c r="BK175" s="45"/>
      <c r="BL175" s="45"/>
      <c r="BM175" s="45"/>
      <c r="BN175" s="37"/>
      <c r="BO175" s="37"/>
      <c r="BP175" s="49"/>
      <c r="BQ175" s="37"/>
      <c r="BR175" s="37"/>
      <c r="BS175" s="49"/>
      <c r="BT175" s="29"/>
      <c r="BU175" s="29"/>
      <c r="BV175" s="29"/>
      <c r="BW175" s="29"/>
      <c r="BX175" s="29"/>
      <c r="BY175" s="29"/>
      <c r="BZ175" s="29"/>
      <c r="CA175" s="29"/>
      <c r="CB175" s="29"/>
      <c r="CC175" s="29"/>
      <c r="CD175" s="29"/>
      <c r="CE175" s="29"/>
      <c r="CF175" s="29"/>
      <c r="CG175" s="29"/>
      <c r="CH175" s="29"/>
      <c r="CI175" s="29"/>
      <c r="CJ175" s="29"/>
      <c r="CK175" s="29"/>
      <c r="CL175" s="52"/>
    </row>
    <row r="176" ht="66" spans="1:90">
      <c r="A176" s="29" t="s">
        <v>820</v>
      </c>
      <c r="B176" s="30" t="s">
        <v>821</v>
      </c>
      <c r="C176" s="29" t="s">
        <v>567</v>
      </c>
      <c r="D176" s="31"/>
      <c r="E176" s="32">
        <v>45973</v>
      </c>
      <c r="F176" s="33">
        <v>35</v>
      </c>
      <c r="G176" s="34">
        <f t="shared" si="6"/>
        <v>125</v>
      </c>
      <c r="H176" s="35">
        <v>1.3</v>
      </c>
      <c r="I176" s="36">
        <v>22.1238938053097</v>
      </c>
      <c r="J176" s="35">
        <v>5.0944860297</v>
      </c>
      <c r="K176" s="35">
        <v>51.34</v>
      </c>
      <c r="L176" s="35">
        <v>68.23868</v>
      </c>
      <c r="M176" s="35">
        <v>4.12896</v>
      </c>
      <c r="N176" s="35">
        <v>10.2807800832</v>
      </c>
      <c r="O176" s="35">
        <v>0</v>
      </c>
      <c r="P176" s="35">
        <v>2.28152654867257</v>
      </c>
      <c r="Q176" s="35" t="s">
        <v>93</v>
      </c>
      <c r="R176" s="37" t="s">
        <v>94</v>
      </c>
      <c r="S176" s="35">
        <v>6.8</v>
      </c>
      <c r="T176" s="38" t="s">
        <v>568</v>
      </c>
      <c r="U176" s="38">
        <v>57.2</v>
      </c>
      <c r="V176" s="39">
        <v>1.9</v>
      </c>
      <c r="W176" s="51" t="s">
        <v>569</v>
      </c>
      <c r="X176" s="35">
        <v>27.0948000597652</v>
      </c>
      <c r="Y176" s="35">
        <v>67.4692768959436</v>
      </c>
      <c r="Z176" s="35"/>
      <c r="AA176" s="35">
        <v>157.672025</v>
      </c>
      <c r="AB176" s="35">
        <v>27.09</v>
      </c>
      <c r="AC176" s="41">
        <v>0.1</v>
      </c>
      <c r="AD176" s="37">
        <v>21.6783857165373</v>
      </c>
      <c r="AE176" s="42">
        <v>0.120100176998837</v>
      </c>
      <c r="AF176" s="43">
        <v>0.0123853307530051</v>
      </c>
      <c r="AG176" s="43">
        <v>0.0276555600596052</v>
      </c>
      <c r="AH176" s="43">
        <v>0.278700627537837</v>
      </c>
      <c r="AI176" s="44">
        <v>0.1769</v>
      </c>
      <c r="AJ176" s="44">
        <v>0.0336</v>
      </c>
      <c r="AK176" s="45">
        <v>0.0006</v>
      </c>
      <c r="AL176" s="45">
        <v>0</v>
      </c>
      <c r="AM176" s="45">
        <v>0.1125</v>
      </c>
      <c r="AN176" s="45">
        <v>0.0224141749723145</v>
      </c>
      <c r="AO176" s="43">
        <v>0.215144129678401</v>
      </c>
      <c r="AP176" s="49"/>
      <c r="AQ176" s="46"/>
      <c r="AR176" s="29"/>
      <c r="AS176" s="29"/>
      <c r="AT176" s="29"/>
      <c r="AU176" s="29"/>
      <c r="AV176" s="29"/>
      <c r="AW176" s="29"/>
      <c r="AX176" s="29"/>
      <c r="AY176" s="29"/>
      <c r="AZ176" s="29"/>
      <c r="BA176" s="29"/>
      <c r="BB176" s="29"/>
      <c r="BC176" s="29"/>
      <c r="BD176" s="29"/>
      <c r="BE176" s="29"/>
      <c r="BF176" s="29"/>
      <c r="BG176" s="47"/>
      <c r="BH176" s="48"/>
      <c r="BI176" s="48"/>
      <c r="BJ176" s="48"/>
      <c r="BK176" s="45"/>
      <c r="BL176" s="45"/>
      <c r="BM176" s="45"/>
      <c r="BN176" s="37"/>
      <c r="BO176" s="37"/>
      <c r="BP176" s="49"/>
      <c r="BQ176" s="37"/>
      <c r="BR176" s="37"/>
      <c r="BS176" s="49"/>
      <c r="BT176" s="29"/>
      <c r="BU176" s="29"/>
      <c r="BV176" s="29"/>
      <c r="BW176" s="29"/>
      <c r="BX176" s="29"/>
      <c r="BY176" s="29"/>
      <c r="BZ176" s="29"/>
      <c r="CA176" s="29"/>
      <c r="CB176" s="29"/>
      <c r="CC176" s="29"/>
      <c r="CD176" s="29"/>
      <c r="CE176" s="29"/>
      <c r="CF176" s="29"/>
      <c r="CG176" s="29"/>
      <c r="CH176" s="29"/>
      <c r="CI176" s="29"/>
      <c r="CJ176" s="29"/>
      <c r="CK176" s="29"/>
      <c r="CL176" s="52"/>
    </row>
    <row r="177" ht="99" spans="1:90">
      <c r="A177" s="29" t="s">
        <v>822</v>
      </c>
      <c r="B177" s="30" t="s">
        <v>823</v>
      </c>
      <c r="C177" s="29" t="s">
        <v>572</v>
      </c>
      <c r="D177" s="31"/>
      <c r="E177" s="32">
        <v>45973</v>
      </c>
      <c r="F177" s="33">
        <v>35</v>
      </c>
      <c r="G177" s="34">
        <f t="shared" si="6"/>
        <v>125</v>
      </c>
      <c r="H177" s="35">
        <v>2.5</v>
      </c>
      <c r="I177" s="36">
        <v>19.7787610619469</v>
      </c>
      <c r="J177" s="35">
        <v>4.1403834095</v>
      </c>
      <c r="K177" s="35">
        <v>47.124</v>
      </c>
      <c r="L177" s="35">
        <v>66.31428</v>
      </c>
      <c r="M177" s="35">
        <v>3.35576736</v>
      </c>
      <c r="N177" s="35">
        <v>8.3555922650112</v>
      </c>
      <c r="O177" s="35">
        <v>0</v>
      </c>
      <c r="P177" s="35">
        <v>2.03968473451327</v>
      </c>
      <c r="Q177" s="35" t="s">
        <v>93</v>
      </c>
      <c r="R177" s="37" t="s">
        <v>94</v>
      </c>
      <c r="S177" s="35">
        <v>6.8</v>
      </c>
      <c r="T177" s="38" t="s">
        <v>573</v>
      </c>
      <c r="U177" s="38">
        <v>84.6</v>
      </c>
      <c r="V177" s="39">
        <v>4.38</v>
      </c>
      <c r="W177" s="51" t="s">
        <v>574</v>
      </c>
      <c r="X177" s="35">
        <v>22.2574130209069</v>
      </c>
      <c r="Y177" s="35">
        <v>50.0890372006987</v>
      </c>
      <c r="Z177" s="35"/>
      <c r="AA177" s="35">
        <v>153.412531722222</v>
      </c>
      <c r="AB177" s="35">
        <v>22.5</v>
      </c>
      <c r="AC177" s="41">
        <v>0.1</v>
      </c>
      <c r="AD177" s="37">
        <v>19.5020299847839</v>
      </c>
      <c r="AE177" s="42">
        <v>0.1292729481173</v>
      </c>
      <c r="AF177" s="43">
        <v>0.0133312727745966</v>
      </c>
      <c r="AG177" s="43">
        <v>0.0270613294738562</v>
      </c>
      <c r="AH177" s="43">
        <v>0.308</v>
      </c>
      <c r="AI177" s="44">
        <v>0.1769</v>
      </c>
      <c r="AJ177" s="44">
        <v>0.0336</v>
      </c>
      <c r="AK177" s="45">
        <v>0.0006</v>
      </c>
      <c r="AL177" s="45">
        <v>0</v>
      </c>
      <c r="AM177" s="45">
        <v>0.1125</v>
      </c>
      <c r="AN177" s="45">
        <v>0.02193312</v>
      </c>
      <c r="AO177" s="43">
        <v>0.176801329634247</v>
      </c>
      <c r="AP177" s="49"/>
      <c r="AQ177" s="46"/>
      <c r="AR177" s="29"/>
      <c r="AS177" s="29"/>
      <c r="AT177" s="29"/>
      <c r="AU177" s="29"/>
      <c r="AV177" s="29"/>
      <c r="AW177" s="29"/>
      <c r="AX177" s="29"/>
      <c r="AY177" s="29"/>
      <c r="AZ177" s="29"/>
      <c r="BA177" s="29"/>
      <c r="BB177" s="29"/>
      <c r="BC177" s="29"/>
      <c r="BD177" s="29"/>
      <c r="BE177" s="29"/>
      <c r="BF177" s="29"/>
      <c r="BG177" s="47"/>
      <c r="BH177" s="48"/>
      <c r="BI177" s="48"/>
      <c r="BJ177" s="48"/>
      <c r="BK177" s="45"/>
      <c r="BL177" s="45"/>
      <c r="BM177" s="45"/>
      <c r="BN177" s="37"/>
      <c r="BO177" s="37"/>
      <c r="BP177" s="49"/>
      <c r="BQ177" s="37"/>
      <c r="BR177" s="37"/>
      <c r="BS177" s="49"/>
      <c r="BT177" s="29"/>
      <c r="BU177" s="29"/>
      <c r="BV177" s="29"/>
      <c r="BW177" s="29"/>
      <c r="BX177" s="29"/>
      <c r="BY177" s="29"/>
      <c r="BZ177" s="29"/>
      <c r="CA177" s="29"/>
      <c r="CB177" s="29"/>
      <c r="CC177" s="29"/>
      <c r="CD177" s="29"/>
      <c r="CE177" s="29"/>
      <c r="CF177" s="29"/>
      <c r="CG177" s="29"/>
      <c r="CH177" s="29"/>
      <c r="CI177" s="29"/>
      <c r="CJ177" s="29"/>
      <c r="CK177" s="29"/>
      <c r="CL177" s="52"/>
    </row>
    <row r="178" ht="165" spans="1:90">
      <c r="A178" s="29" t="s">
        <v>824</v>
      </c>
      <c r="B178" s="30" t="s">
        <v>825</v>
      </c>
      <c r="C178" s="29" t="s">
        <v>577</v>
      </c>
      <c r="D178" s="31"/>
      <c r="E178" s="32">
        <v>45973</v>
      </c>
      <c r="F178" s="33">
        <v>35</v>
      </c>
      <c r="G178" s="34">
        <f t="shared" si="6"/>
        <v>125</v>
      </c>
      <c r="H178" s="35">
        <v>1.7</v>
      </c>
      <c r="I178" s="36">
        <v>18.1769911504425</v>
      </c>
      <c r="J178" s="35">
        <v>4.9341309638</v>
      </c>
      <c r="K178" s="35">
        <v>51.34</v>
      </c>
      <c r="L178" s="35">
        <v>66.31428</v>
      </c>
      <c r="M178" s="35">
        <v>3.998808</v>
      </c>
      <c r="N178" s="35">
        <v>9.95671201536</v>
      </c>
      <c r="O178" s="35">
        <v>0</v>
      </c>
      <c r="P178" s="35">
        <v>1.87450221238938</v>
      </c>
      <c r="Q178" s="35" t="s">
        <v>93</v>
      </c>
      <c r="R178" s="37" t="s">
        <v>94</v>
      </c>
      <c r="S178" s="35">
        <v>6.8</v>
      </c>
      <c r="T178" s="38" t="s">
        <v>578</v>
      </c>
      <c r="U178" s="38">
        <v>382.9</v>
      </c>
      <c r="V178" s="39">
        <v>8.43</v>
      </c>
      <c r="W178" s="51" t="s">
        <v>579</v>
      </c>
      <c r="X178" s="35">
        <v>21.0327155948862</v>
      </c>
      <c r="Y178" s="35">
        <v>21.6009953238095</v>
      </c>
      <c r="Z178" s="35"/>
      <c r="AA178" s="35">
        <v>143.355753280952</v>
      </c>
      <c r="AB178" s="35">
        <v>22.99</v>
      </c>
      <c r="AC178" s="41">
        <v>0.1</v>
      </c>
      <c r="AD178" s="37">
        <v>20.493436014265</v>
      </c>
      <c r="AE178" s="42">
        <v>0.116271723962097</v>
      </c>
      <c r="AF178" s="43">
        <v>0.0119905215335912</v>
      </c>
      <c r="AG178" s="43">
        <v>0.0315618744965842</v>
      </c>
      <c r="AH178" s="43">
        <v>0.328403653762505</v>
      </c>
      <c r="AI178" s="44">
        <v>0.1769</v>
      </c>
      <c r="AJ178" s="44">
        <v>0.0336</v>
      </c>
      <c r="AK178" s="45">
        <v>0.0006</v>
      </c>
      <c r="AL178" s="45">
        <v>0</v>
      </c>
      <c r="AM178" s="45">
        <v>0.1125</v>
      </c>
      <c r="AN178" s="45">
        <v>0.0255789473684211</v>
      </c>
      <c r="AO178" s="43">
        <v>0.162593278876802</v>
      </c>
      <c r="AP178" s="49"/>
      <c r="AQ178" s="46"/>
      <c r="AR178" s="29"/>
      <c r="AS178" s="29"/>
      <c r="AT178" s="29"/>
      <c r="AU178" s="29"/>
      <c r="AV178" s="29"/>
      <c r="AW178" s="29"/>
      <c r="AX178" s="29"/>
      <c r="AY178" s="29"/>
      <c r="AZ178" s="29"/>
      <c r="BA178" s="29"/>
      <c r="BB178" s="29"/>
      <c r="BC178" s="29"/>
      <c r="BD178" s="29"/>
      <c r="BE178" s="29"/>
      <c r="BF178" s="29"/>
      <c r="BG178" s="47"/>
      <c r="BH178" s="48"/>
      <c r="BI178" s="48"/>
      <c r="BJ178" s="48"/>
      <c r="BK178" s="45"/>
      <c r="BL178" s="45"/>
      <c r="BM178" s="45"/>
      <c r="BN178" s="37"/>
      <c r="BO178" s="37"/>
      <c r="BP178" s="49"/>
      <c r="BQ178" s="37"/>
      <c r="BR178" s="37"/>
      <c r="BS178" s="49"/>
      <c r="BT178" s="29"/>
      <c r="BU178" s="29"/>
      <c r="BV178" s="29"/>
      <c r="BW178" s="29"/>
      <c r="BX178" s="29"/>
      <c r="BY178" s="29"/>
      <c r="BZ178" s="29"/>
      <c r="CA178" s="29"/>
      <c r="CB178" s="29"/>
      <c r="CC178" s="29"/>
      <c r="CD178" s="29"/>
      <c r="CE178" s="29"/>
      <c r="CF178" s="29"/>
      <c r="CG178" s="29"/>
      <c r="CH178" s="29"/>
      <c r="CI178" s="29"/>
      <c r="CJ178" s="29"/>
      <c r="CK178" s="29"/>
      <c r="CL178" s="52"/>
    </row>
    <row r="179" ht="165" spans="1:90">
      <c r="A179" s="29" t="s">
        <v>826</v>
      </c>
      <c r="B179" s="30" t="s">
        <v>827</v>
      </c>
      <c r="C179" s="29" t="s">
        <v>582</v>
      </c>
      <c r="D179" s="31"/>
      <c r="E179" s="32">
        <v>45973</v>
      </c>
      <c r="F179" s="33">
        <v>35</v>
      </c>
      <c r="G179" s="34">
        <f t="shared" si="6"/>
        <v>125</v>
      </c>
      <c r="H179" s="35">
        <v>3.3</v>
      </c>
      <c r="I179" s="36">
        <v>25.070796460177</v>
      </c>
      <c r="J179" s="35">
        <v>5.9620204251</v>
      </c>
      <c r="K179" s="35">
        <v>51.34</v>
      </c>
      <c r="L179" s="35">
        <v>68.23868</v>
      </c>
      <c r="M179" s="35">
        <v>4.831893</v>
      </c>
      <c r="N179" s="35">
        <v>12.03102701856</v>
      </c>
      <c r="O179" s="35">
        <v>0</v>
      </c>
      <c r="P179" s="35">
        <v>2.58542588495575</v>
      </c>
      <c r="Q179" s="35" t="s">
        <v>93</v>
      </c>
      <c r="R179" s="37" t="s">
        <v>94</v>
      </c>
      <c r="S179" s="35">
        <v>6.8</v>
      </c>
      <c r="T179" s="38" t="s">
        <v>583</v>
      </c>
      <c r="U179" s="38">
        <v>538.2</v>
      </c>
      <c r="V179" s="39">
        <v>5.12</v>
      </c>
      <c r="W179" s="51" t="s">
        <v>584</v>
      </c>
      <c r="X179" s="35">
        <v>23.036176441141</v>
      </c>
      <c r="Y179" s="35">
        <v>100.120864642857</v>
      </c>
      <c r="Z179" s="35"/>
      <c r="AA179" s="35">
        <v>815.294572975667</v>
      </c>
      <c r="AB179" s="35">
        <v>26.99</v>
      </c>
      <c r="AC179" s="41">
        <v>0.1</v>
      </c>
      <c r="AD179" s="37">
        <v>22.9084519967324</v>
      </c>
      <c r="AE179" s="42">
        <v>0.136601772225971</v>
      </c>
      <c r="AF179" s="43">
        <v>0.0140870577608033</v>
      </c>
      <c r="AG179" s="43">
        <v>0.0324849095803457</v>
      </c>
      <c r="AH179" s="43">
        <v>0.279733234531308</v>
      </c>
      <c r="AI179" s="44">
        <v>0.1769</v>
      </c>
      <c r="AJ179" s="44">
        <v>0.0336</v>
      </c>
      <c r="AK179" s="45">
        <v>0.0006</v>
      </c>
      <c r="AL179" s="45">
        <v>0</v>
      </c>
      <c r="AM179" s="45">
        <v>0.1125</v>
      </c>
      <c r="AN179" s="45">
        <v>0.0263272508336421</v>
      </c>
      <c r="AO179" s="43">
        <v>0.187165775067929</v>
      </c>
      <c r="AP179" s="49"/>
      <c r="AQ179" s="46"/>
      <c r="AR179" s="29"/>
      <c r="AS179" s="29"/>
      <c r="AT179" s="29"/>
      <c r="AU179" s="29"/>
      <c r="AV179" s="29"/>
      <c r="AW179" s="29"/>
      <c r="AX179" s="29"/>
      <c r="AY179" s="29"/>
      <c r="AZ179" s="29"/>
      <c r="BA179" s="29"/>
      <c r="BB179" s="29"/>
      <c r="BC179" s="29"/>
      <c r="BD179" s="29"/>
      <c r="BE179" s="29"/>
      <c r="BF179" s="29"/>
      <c r="BG179" s="47"/>
      <c r="BH179" s="48"/>
      <c r="BI179" s="48"/>
      <c r="BJ179" s="48"/>
      <c r="BK179" s="45"/>
      <c r="BL179" s="45"/>
      <c r="BM179" s="45"/>
      <c r="BN179" s="37"/>
      <c r="BO179" s="37"/>
      <c r="BP179" s="49"/>
      <c r="BQ179" s="37"/>
      <c r="BR179" s="37"/>
      <c r="BS179" s="49"/>
      <c r="BT179" s="29"/>
      <c r="BU179" s="29"/>
      <c r="BV179" s="29"/>
      <c r="BW179" s="29"/>
      <c r="BX179" s="29"/>
      <c r="BY179" s="29"/>
      <c r="BZ179" s="29"/>
      <c r="CA179" s="29"/>
      <c r="CB179" s="29"/>
      <c r="CC179" s="29"/>
      <c r="CD179" s="29"/>
      <c r="CE179" s="29"/>
      <c r="CF179" s="29"/>
      <c r="CG179" s="29"/>
      <c r="CH179" s="29"/>
      <c r="CI179" s="29"/>
      <c r="CJ179" s="29"/>
      <c r="CK179" s="29"/>
      <c r="CL179" s="52"/>
    </row>
    <row r="180" customFormat="1" ht="99" spans="1:90">
      <c r="A180" s="53" t="s">
        <v>828</v>
      </c>
      <c r="B180" s="54" t="s">
        <v>829</v>
      </c>
      <c r="C180" s="53" t="s">
        <v>587</v>
      </c>
      <c r="D180" s="53"/>
      <c r="E180" s="32">
        <v>45973</v>
      </c>
      <c r="F180" s="55">
        <v>35</v>
      </c>
      <c r="G180" s="34">
        <f t="shared" si="6"/>
        <v>125</v>
      </c>
      <c r="H180" s="56">
        <v>0.8</v>
      </c>
      <c r="I180" s="56">
        <v>19.1858407079646</v>
      </c>
      <c r="J180" s="56">
        <v>4.7512309777</v>
      </c>
      <c r="K180" s="56">
        <v>51.34</v>
      </c>
      <c r="L180" s="56">
        <v>66.31428</v>
      </c>
      <c r="M180" s="56">
        <v>3.850704</v>
      </c>
      <c r="N180" s="56">
        <v>9.58794490368</v>
      </c>
      <c r="O180" s="35">
        <v>0</v>
      </c>
      <c r="P180" s="56">
        <v>1.97853982300885</v>
      </c>
      <c r="Q180" s="53" t="s">
        <v>93</v>
      </c>
      <c r="R180" s="53" t="s">
        <v>94</v>
      </c>
      <c r="S180" s="35">
        <v>6.8</v>
      </c>
      <c r="T180" s="53" t="s">
        <v>588</v>
      </c>
      <c r="U180" s="53">
        <v>61.7</v>
      </c>
      <c r="V180" s="53">
        <v>2.01</v>
      </c>
      <c r="W180" s="51" t="s">
        <v>589</v>
      </c>
      <c r="X180" s="56">
        <v>23.6188991003875</v>
      </c>
      <c r="Y180" s="56">
        <v>33.742757597552</v>
      </c>
      <c r="Z180" s="53"/>
      <c r="AA180" s="56">
        <v>112.821540581197</v>
      </c>
      <c r="AB180" s="56">
        <v>23.62</v>
      </c>
      <c r="AC180" s="41">
        <v>0.1</v>
      </c>
      <c r="AD180" s="56">
        <v>20.6929204363477</v>
      </c>
      <c r="AE180" s="56">
        <v>0.119451615704317</v>
      </c>
      <c r="AF180" s="57">
        <v>0.0123184478695077</v>
      </c>
      <c r="AG180" s="57">
        <v>0.0295813055841261</v>
      </c>
      <c r="AH180" s="57">
        <v>0.319644369178662</v>
      </c>
      <c r="AI180" s="44">
        <v>0.1769</v>
      </c>
      <c r="AJ180" s="44">
        <v>0.0336</v>
      </c>
      <c r="AK180" s="45">
        <v>0.0006</v>
      </c>
      <c r="AL180" s="45">
        <v>0</v>
      </c>
      <c r="AM180" s="45">
        <v>0.1125</v>
      </c>
      <c r="AN180" s="57">
        <v>0.0239745977984759</v>
      </c>
      <c r="AO180" s="57">
        <v>0.171429663864911</v>
      </c>
      <c r="AP180" s="53"/>
      <c r="AQ180" s="53"/>
      <c r="AR180" s="53"/>
      <c r="AS180" s="53"/>
      <c r="AT180" s="53"/>
      <c r="AU180" s="53"/>
      <c r="AV180" s="53"/>
      <c r="AW180" s="53"/>
      <c r="AX180" s="53"/>
      <c r="AY180" s="53"/>
      <c r="AZ180" s="53"/>
      <c r="BA180" s="53"/>
      <c r="BB180" s="53"/>
      <c r="BC180" s="53"/>
      <c r="BD180" s="53"/>
      <c r="BE180" s="53"/>
      <c r="BF180" s="53"/>
      <c r="BG180" s="53"/>
      <c r="BH180" s="53"/>
      <c r="BI180" s="53"/>
      <c r="BJ180" s="53"/>
      <c r="BK180" s="53"/>
      <c r="BL180" s="53"/>
      <c r="BM180" s="53"/>
      <c r="BN180" s="53"/>
      <c r="BO180" s="53"/>
      <c r="BP180" s="53"/>
      <c r="BQ180" s="53"/>
      <c r="BR180" s="53"/>
      <c r="BS180" s="53"/>
      <c r="BT180" s="53"/>
      <c r="BU180" s="53"/>
      <c r="BV180" s="53"/>
      <c r="BW180" s="53"/>
      <c r="BX180" s="53"/>
      <c r="BY180" s="53"/>
      <c r="BZ180" s="53"/>
      <c r="CA180" s="53"/>
      <c r="CB180" s="53"/>
      <c r="CC180" s="53"/>
      <c r="CD180" s="53"/>
      <c r="CE180" s="53"/>
      <c r="CF180" s="53"/>
      <c r="CG180" s="53"/>
      <c r="CH180" s="53"/>
      <c r="CI180" s="53"/>
      <c r="CJ180" s="53"/>
      <c r="CK180" s="53"/>
    </row>
    <row r="181" customFormat="1" ht="66" spans="1:90">
      <c r="A181" s="53" t="s">
        <v>830</v>
      </c>
      <c r="B181" s="54" t="s">
        <v>831</v>
      </c>
      <c r="C181" s="53" t="s">
        <v>592</v>
      </c>
      <c r="D181" s="53"/>
      <c r="E181" s="32">
        <v>45973</v>
      </c>
      <c r="F181" s="55">
        <v>35</v>
      </c>
      <c r="G181" s="34">
        <f t="shared" si="6"/>
        <v>125</v>
      </c>
      <c r="H181" s="56">
        <v>2.1</v>
      </c>
      <c r="I181" s="56">
        <v>23.8849557522124</v>
      </c>
      <c r="J181" s="56">
        <v>4.6515101456</v>
      </c>
      <c r="K181" s="56">
        <v>47.124</v>
      </c>
      <c r="L181" s="56">
        <v>66.31428</v>
      </c>
      <c r="M181" s="56">
        <v>3.76992</v>
      </c>
      <c r="N181" s="56">
        <v>9.3867992064</v>
      </c>
      <c r="O181" s="35">
        <v>0</v>
      </c>
      <c r="P181" s="56">
        <v>2.4631360619469</v>
      </c>
      <c r="Q181" s="53" t="s">
        <v>93</v>
      </c>
      <c r="R181" s="53" t="s">
        <v>94</v>
      </c>
      <c r="S181" s="35">
        <v>6.8</v>
      </c>
      <c r="T181" s="53" t="s">
        <v>593</v>
      </c>
      <c r="U181" s="53">
        <v>95.5</v>
      </c>
      <c r="V181" s="53">
        <v>10.83</v>
      </c>
      <c r="W181" s="51" t="s">
        <v>594</v>
      </c>
      <c r="X181" s="56">
        <v>20.34171003648</v>
      </c>
      <c r="Y181" s="56">
        <v>45.8315664506173</v>
      </c>
      <c r="Z181" s="53"/>
      <c r="AA181" s="56">
        <v>103.011350454545</v>
      </c>
      <c r="AB181" s="56">
        <v>20.34</v>
      </c>
      <c r="AC181" s="41">
        <v>0.1</v>
      </c>
      <c r="AD181" s="56">
        <v>20.8937630015306</v>
      </c>
      <c r="AE181" s="56">
        <v>0.172688962289696</v>
      </c>
      <c r="AF181" s="57">
        <v>0.0178085492361249</v>
      </c>
      <c r="AG181" s="57">
        <v>0.0336305609462664</v>
      </c>
      <c r="AH181" s="57">
        <v>0.34070796460177</v>
      </c>
      <c r="AI181" s="44">
        <v>0.1769</v>
      </c>
      <c r="AJ181" s="44">
        <v>0.0336</v>
      </c>
      <c r="AK181" s="45">
        <v>0.0006</v>
      </c>
      <c r="AL181" s="45">
        <v>0</v>
      </c>
      <c r="AM181" s="45">
        <v>0.1125</v>
      </c>
      <c r="AN181" s="57">
        <v>0.0272566371681416</v>
      </c>
      <c r="AO181" s="57">
        <v>0.0843073257580014</v>
      </c>
      <c r="AP181" s="53"/>
      <c r="AQ181" s="53"/>
      <c r="AR181" s="53"/>
      <c r="AS181" s="53"/>
      <c r="AT181" s="53"/>
      <c r="AU181" s="53"/>
      <c r="AV181" s="53"/>
      <c r="AW181" s="53"/>
      <c r="AX181" s="53"/>
      <c r="AY181" s="53"/>
      <c r="AZ181" s="53"/>
      <c r="BA181" s="53"/>
      <c r="BB181" s="53"/>
      <c r="BC181" s="53"/>
      <c r="BD181" s="53"/>
      <c r="BE181" s="53"/>
      <c r="BF181" s="53"/>
      <c r="BG181" s="53"/>
      <c r="BH181" s="53"/>
      <c r="BI181" s="53"/>
      <c r="BJ181" s="53"/>
      <c r="BK181" s="53"/>
      <c r="BL181" s="53"/>
      <c r="BM181" s="53"/>
      <c r="BN181" s="53"/>
      <c r="BO181" s="53"/>
      <c r="BP181" s="53"/>
      <c r="BQ181" s="53"/>
      <c r="BR181" s="53"/>
      <c r="BS181" s="53"/>
      <c r="BT181" s="53"/>
      <c r="BU181" s="53"/>
      <c r="BV181" s="53"/>
      <c r="BW181" s="53"/>
      <c r="BX181" s="53"/>
      <c r="BY181" s="53"/>
      <c r="BZ181" s="53"/>
      <c r="CA181" s="53"/>
      <c r="CB181" s="53"/>
      <c r="CC181" s="53"/>
      <c r="CD181" s="53"/>
      <c r="CE181" s="53"/>
      <c r="CF181" s="53"/>
      <c r="CG181" s="53"/>
      <c r="CH181" s="53"/>
      <c r="CI181" s="53"/>
      <c r="CJ181" s="53"/>
      <c r="CK181" s="53"/>
    </row>
    <row r="182" customFormat="1" ht="33" spans="1:90">
      <c r="A182" s="53" t="s">
        <v>832</v>
      </c>
      <c r="B182" s="54" t="s">
        <v>833</v>
      </c>
      <c r="C182" s="53" t="s">
        <v>597</v>
      </c>
      <c r="D182" s="53"/>
      <c r="E182" s="32">
        <v>45973</v>
      </c>
      <c r="F182" s="55">
        <v>35</v>
      </c>
      <c r="G182" s="34">
        <f t="shared" si="6"/>
        <v>125</v>
      </c>
      <c r="H182" s="56">
        <v>2.3</v>
      </c>
      <c r="I182" s="56">
        <v>22.5929203539823</v>
      </c>
      <c r="J182" s="56">
        <v>5.6068552004</v>
      </c>
      <c r="K182" s="56">
        <v>51.34</v>
      </c>
      <c r="L182" s="56">
        <v>68.23868</v>
      </c>
      <c r="M182" s="56">
        <v>4.5441</v>
      </c>
      <c r="N182" s="56">
        <v>11.314445472</v>
      </c>
      <c r="O182" s="35">
        <v>0</v>
      </c>
      <c r="P182" s="56">
        <v>2.32989491150443</v>
      </c>
      <c r="Q182" s="53" t="s">
        <v>93</v>
      </c>
      <c r="R182" s="53" t="s">
        <v>94</v>
      </c>
      <c r="S182" s="35">
        <v>6.8</v>
      </c>
      <c r="T182" s="53" t="s">
        <v>598</v>
      </c>
      <c r="U182" s="53">
        <v>70.6</v>
      </c>
      <c r="V182" s="53">
        <v>3.18</v>
      </c>
      <c r="W182" s="51" t="s">
        <v>599</v>
      </c>
      <c r="X182" s="56">
        <v>31.6454306028463</v>
      </c>
      <c r="Y182" s="56">
        <v>45.9798736374028</v>
      </c>
      <c r="Z182" s="53"/>
      <c r="AA182" s="56">
        <v>100.810008666667</v>
      </c>
      <c r="AB182" s="56">
        <v>30.99</v>
      </c>
      <c r="AC182" s="41">
        <v>0.1</v>
      </c>
      <c r="AD182" s="56">
        <v>22.0470288366654</v>
      </c>
      <c r="AE182" s="56">
        <v>0.107211625922889</v>
      </c>
      <c r="AF182" s="57">
        <v>0.011056198923298</v>
      </c>
      <c r="AG182" s="57">
        <v>0.0266065675853691</v>
      </c>
      <c r="AH182" s="57">
        <v>0.243626976444014</v>
      </c>
      <c r="AI182" s="44">
        <v>0.1769</v>
      </c>
      <c r="AJ182" s="44">
        <v>0.0336</v>
      </c>
      <c r="AK182" s="45">
        <v>0.0006</v>
      </c>
      <c r="AL182" s="45">
        <v>0</v>
      </c>
      <c r="AM182" s="45">
        <v>0.1125</v>
      </c>
      <c r="AN182" s="57">
        <v>0.0215634075508228</v>
      </c>
      <c r="AO182" s="57">
        <v>0.266335223573607</v>
      </c>
      <c r="AP182" s="53"/>
      <c r="AQ182" s="53"/>
      <c r="AR182" s="53"/>
      <c r="AS182" s="53"/>
      <c r="AT182" s="53"/>
      <c r="AU182" s="53"/>
      <c r="AV182" s="53"/>
      <c r="AW182" s="53"/>
      <c r="AX182" s="53"/>
      <c r="AY182" s="53"/>
      <c r="AZ182" s="53"/>
      <c r="BA182" s="53"/>
      <c r="BB182" s="53"/>
      <c r="BC182" s="53"/>
      <c r="BD182" s="53"/>
      <c r="BE182" s="53"/>
      <c r="BF182" s="53"/>
      <c r="BG182" s="53"/>
      <c r="BH182" s="53"/>
      <c r="BI182" s="53"/>
      <c r="BJ182" s="53"/>
      <c r="BK182" s="53"/>
      <c r="BL182" s="53"/>
      <c r="BM182" s="53"/>
      <c r="BN182" s="53"/>
      <c r="BO182" s="53"/>
      <c r="BP182" s="53"/>
      <c r="BQ182" s="53"/>
      <c r="BR182" s="53"/>
      <c r="BS182" s="53"/>
      <c r="BT182" s="53"/>
      <c r="BU182" s="53"/>
      <c r="BV182" s="53"/>
      <c r="BW182" s="53"/>
      <c r="BX182" s="53"/>
      <c r="BY182" s="53"/>
      <c r="BZ182" s="53"/>
      <c r="CA182" s="53"/>
      <c r="CB182" s="53"/>
      <c r="CC182" s="53"/>
      <c r="CD182" s="53"/>
      <c r="CE182" s="53"/>
      <c r="CF182" s="53"/>
      <c r="CG182" s="53"/>
      <c r="CH182" s="53"/>
      <c r="CI182" s="53"/>
      <c r="CJ182" s="53"/>
      <c r="CK182" s="53"/>
    </row>
    <row r="183" customFormat="1" ht="165" spans="1:90">
      <c r="A183" s="53" t="s">
        <v>834</v>
      </c>
      <c r="B183" s="54" t="s">
        <v>835</v>
      </c>
      <c r="C183" s="53" t="s">
        <v>602</v>
      </c>
      <c r="D183" s="53"/>
      <c r="E183" s="32">
        <v>45973</v>
      </c>
      <c r="F183" s="55">
        <v>35</v>
      </c>
      <c r="G183" s="34">
        <f t="shared" si="6"/>
        <v>125</v>
      </c>
      <c r="H183" s="56">
        <v>4.2</v>
      </c>
      <c r="I183" s="56">
        <v>22.1946902654867</v>
      </c>
      <c r="J183" s="56">
        <v>7.0350908723</v>
      </c>
      <c r="K183" s="56">
        <v>53.516</v>
      </c>
      <c r="L183" s="56">
        <v>68.23868</v>
      </c>
      <c r="M183" s="56">
        <v>5.702004</v>
      </c>
      <c r="N183" s="56">
        <v>14.19753379968</v>
      </c>
      <c r="O183" s="35">
        <v>0</v>
      </c>
      <c r="P183" s="56">
        <v>2.28882743362832</v>
      </c>
      <c r="Q183" s="53" t="s">
        <v>93</v>
      </c>
      <c r="R183" s="53" t="s">
        <v>94</v>
      </c>
      <c r="S183" s="35">
        <v>6.8</v>
      </c>
      <c r="T183" s="53" t="s">
        <v>603</v>
      </c>
      <c r="U183" s="53">
        <v>111.6</v>
      </c>
      <c r="V183" s="53">
        <v>6.93</v>
      </c>
      <c r="W183" s="51" t="s">
        <v>604</v>
      </c>
      <c r="X183" s="56">
        <v>25.7720565844533</v>
      </c>
      <c r="Y183" s="56">
        <v>113.649627576264</v>
      </c>
      <c r="Z183" s="53"/>
      <c r="AA183" s="56">
        <v>543.188935608561</v>
      </c>
      <c r="AB183" s="56">
        <v>25.99</v>
      </c>
      <c r="AC183" s="41">
        <v>0.1</v>
      </c>
      <c r="AD183" s="56">
        <v>23.1499297290013</v>
      </c>
      <c r="AE183" s="56">
        <v>0.125583879916974</v>
      </c>
      <c r="AF183" s="57">
        <v>0.012950837616438</v>
      </c>
      <c r="AG183" s="57">
        <v>0.0398065481763348</v>
      </c>
      <c r="AH183" s="57">
        <v>0.302808772604848</v>
      </c>
      <c r="AI183" s="44">
        <v>0.1769</v>
      </c>
      <c r="AJ183" s="44">
        <v>0.0336</v>
      </c>
      <c r="AK183" s="45">
        <v>0.0006</v>
      </c>
      <c r="AL183" s="45">
        <v>0</v>
      </c>
      <c r="AM183" s="45">
        <v>0.1125</v>
      </c>
      <c r="AN183" s="57">
        <v>0.0322635629088111</v>
      </c>
      <c r="AO183" s="57">
        <v>0.162986398776594</v>
      </c>
      <c r="AP183" s="53"/>
      <c r="AQ183" s="53"/>
      <c r="AR183" s="53"/>
      <c r="AS183" s="53"/>
      <c r="AT183" s="53"/>
      <c r="AU183" s="53"/>
      <c r="AV183" s="53"/>
      <c r="AW183" s="53"/>
      <c r="AX183" s="53"/>
      <c r="AY183" s="53"/>
      <c r="AZ183" s="53"/>
      <c r="BA183" s="53"/>
      <c r="BB183" s="53"/>
      <c r="BC183" s="53"/>
      <c r="BD183" s="53"/>
      <c r="BE183" s="53"/>
      <c r="BF183" s="53"/>
      <c r="BG183" s="53"/>
      <c r="BH183" s="53"/>
      <c r="BI183" s="53"/>
      <c r="BJ183" s="53"/>
      <c r="BK183" s="53"/>
      <c r="BL183" s="53"/>
      <c r="BM183" s="53"/>
      <c r="BN183" s="53"/>
      <c r="BO183" s="53"/>
      <c r="BP183" s="53"/>
      <c r="BQ183" s="53"/>
      <c r="BR183" s="53"/>
      <c r="BS183" s="53"/>
      <c r="BT183" s="53"/>
      <c r="BU183" s="53"/>
      <c r="BV183" s="53"/>
      <c r="BW183" s="53"/>
      <c r="BX183" s="53"/>
      <c r="BY183" s="53"/>
      <c r="BZ183" s="53"/>
      <c r="CA183" s="53"/>
      <c r="CB183" s="53"/>
      <c r="CC183" s="53"/>
      <c r="CD183" s="53"/>
      <c r="CE183" s="53"/>
      <c r="CF183" s="53"/>
      <c r="CG183" s="53"/>
      <c r="CH183" s="53"/>
      <c r="CI183" s="53"/>
      <c r="CJ183" s="53"/>
      <c r="CK183" s="53"/>
    </row>
    <row r="184" customFormat="1" ht="165" spans="1:90">
      <c r="A184" s="53" t="s">
        <v>836</v>
      </c>
      <c r="B184" s="54" t="s">
        <v>837</v>
      </c>
      <c r="C184" s="53" t="s">
        <v>607</v>
      </c>
      <c r="D184" s="53"/>
      <c r="E184" s="32">
        <v>45973</v>
      </c>
      <c r="F184" s="55">
        <v>35</v>
      </c>
      <c r="G184" s="34">
        <f t="shared" si="6"/>
        <v>125</v>
      </c>
      <c r="H184" s="56">
        <v>2.5</v>
      </c>
      <c r="I184" s="56">
        <v>16.9823008849558</v>
      </c>
      <c r="J184" s="56">
        <v>4.1403834095</v>
      </c>
      <c r="K184" s="56">
        <v>47.124</v>
      </c>
      <c r="L184" s="56">
        <v>66.31428</v>
      </c>
      <c r="M184" s="56">
        <v>3.35576736</v>
      </c>
      <c r="N184" s="56">
        <v>8.3555922650112</v>
      </c>
      <c r="O184" s="35">
        <v>0</v>
      </c>
      <c r="P184" s="56">
        <v>1.75129977876106</v>
      </c>
      <c r="Q184" s="53" t="s">
        <v>93</v>
      </c>
      <c r="R184" s="53" t="s">
        <v>94</v>
      </c>
      <c r="S184" s="35">
        <v>6.8</v>
      </c>
      <c r="T184" s="53" t="s">
        <v>608</v>
      </c>
      <c r="U184" s="53">
        <v>229.4</v>
      </c>
      <c r="V184" s="53">
        <v>6.4</v>
      </c>
      <c r="W184" s="51" t="s">
        <v>609</v>
      </c>
      <c r="X184" s="56">
        <v>21.8459166535928</v>
      </c>
      <c r="Y184" s="56">
        <v>46.4641761488095</v>
      </c>
      <c r="Z184" s="53"/>
      <c r="AA184" s="56">
        <v>251.076941779762</v>
      </c>
      <c r="AB184" s="56">
        <v>21.8459166535928</v>
      </c>
      <c r="AC184" s="41">
        <v>0.1</v>
      </c>
      <c r="AD184" s="56">
        <v>18.7149833227581</v>
      </c>
      <c r="AE184" s="56">
        <v>0.114318718164356</v>
      </c>
      <c r="AF184" s="57">
        <v>0.0117891178106992</v>
      </c>
      <c r="AG184" s="57">
        <v>0.0278715662435537</v>
      </c>
      <c r="AH184" s="57">
        <v>0.317221754064519</v>
      </c>
      <c r="AI184" s="44">
        <v>0.1769</v>
      </c>
      <c r="AJ184" s="44">
        <v>0.0336</v>
      </c>
      <c r="AK184" s="45">
        <v>0.0006</v>
      </c>
      <c r="AL184" s="45">
        <v>0</v>
      </c>
      <c r="AM184" s="45">
        <v>0.1125</v>
      </c>
      <c r="AN184" s="57">
        <v>0.0225898142808688</v>
      </c>
      <c r="AO184" s="57">
        <v>0.182609029436004</v>
      </c>
      <c r="AP184" s="53"/>
      <c r="AQ184" s="53"/>
      <c r="AR184" s="53"/>
      <c r="AS184" s="53"/>
      <c r="AT184" s="53"/>
      <c r="AU184" s="53"/>
      <c r="AV184" s="53"/>
      <c r="AW184" s="53"/>
      <c r="AX184" s="53"/>
      <c r="AY184" s="53"/>
      <c r="AZ184" s="53"/>
      <c r="BA184" s="53"/>
      <c r="BB184" s="53"/>
      <c r="BC184" s="53"/>
      <c r="BD184" s="53"/>
      <c r="BE184" s="53"/>
      <c r="BF184" s="53"/>
      <c r="BG184" s="53"/>
      <c r="BH184" s="53"/>
      <c r="BI184" s="53"/>
      <c r="BJ184" s="53"/>
      <c r="BK184" s="53"/>
      <c r="BL184" s="53"/>
      <c r="BM184" s="53"/>
      <c r="BN184" s="53"/>
      <c r="BO184" s="53"/>
      <c r="BP184" s="53"/>
      <c r="BQ184" s="53"/>
      <c r="BR184" s="53"/>
      <c r="BS184" s="53"/>
      <c r="BT184" s="53"/>
      <c r="BU184" s="53"/>
      <c r="BV184" s="53"/>
      <c r="BW184" s="53"/>
      <c r="BX184" s="53"/>
      <c r="BY184" s="53"/>
      <c r="BZ184" s="53"/>
      <c r="CA184" s="53"/>
      <c r="CB184" s="53"/>
      <c r="CC184" s="53"/>
      <c r="CD184" s="53"/>
      <c r="CE184" s="53"/>
      <c r="CF184" s="53"/>
      <c r="CG184" s="53"/>
      <c r="CH184" s="53"/>
      <c r="CI184" s="53"/>
      <c r="CJ184" s="53"/>
      <c r="CK184" s="53"/>
    </row>
    <row r="185" customFormat="1" ht="66" spans="1:90">
      <c r="A185" s="53" t="s">
        <v>838</v>
      </c>
      <c r="B185" s="54" t="s">
        <v>839</v>
      </c>
      <c r="C185" s="53" t="s">
        <v>612</v>
      </c>
      <c r="D185" s="53"/>
      <c r="E185" s="32">
        <v>45973</v>
      </c>
      <c r="F185" s="55">
        <v>40</v>
      </c>
      <c r="G185" s="34">
        <f t="shared" si="6"/>
        <v>130</v>
      </c>
      <c r="H185" s="56">
        <v>2.5</v>
      </c>
      <c r="I185" s="56">
        <v>22.9469026548673</v>
      </c>
      <c r="J185" s="56">
        <v>9.2267034717</v>
      </c>
      <c r="K185" s="56">
        <v>55.692</v>
      </c>
      <c r="L185" s="56">
        <v>69.90468</v>
      </c>
      <c r="M185" s="56">
        <v>7.477008</v>
      </c>
      <c r="N185" s="56">
        <v>18.61715175936</v>
      </c>
      <c r="O185" s="35">
        <v>0</v>
      </c>
      <c r="P185" s="56">
        <v>2.36639933628319</v>
      </c>
      <c r="Q185" s="53" t="s">
        <v>93</v>
      </c>
      <c r="R185" s="53" t="s">
        <v>94</v>
      </c>
      <c r="S185" s="35">
        <v>6.8</v>
      </c>
      <c r="T185" s="53" t="s">
        <v>613</v>
      </c>
      <c r="U185" s="53">
        <v>56</v>
      </c>
      <c r="V185" s="53">
        <v>3.44</v>
      </c>
      <c r="W185" s="51" t="s">
        <v>614</v>
      </c>
      <c r="X185" s="56">
        <v>29.7189603090615</v>
      </c>
      <c r="Y185" s="56">
        <v>18.0638373275236</v>
      </c>
      <c r="Z185" s="53"/>
      <c r="AA185" s="56">
        <v>70.6865087692308</v>
      </c>
      <c r="AB185" s="56">
        <v>29.72</v>
      </c>
      <c r="AC185" s="41">
        <v>0.1</v>
      </c>
      <c r="AD185" s="56">
        <v>24.9288212492475</v>
      </c>
      <c r="AE185" s="56">
        <v>0.113544566220347</v>
      </c>
      <c r="AF185" s="57">
        <v>0.0117092833914733</v>
      </c>
      <c r="AG185" s="57">
        <v>0.0456550524092511</v>
      </c>
      <c r="AH185" s="57">
        <v>0.27557200538358</v>
      </c>
      <c r="AI185" s="44">
        <v>0.1769</v>
      </c>
      <c r="AJ185" s="44">
        <v>0.0336</v>
      </c>
      <c r="AK185" s="45">
        <v>0.0006</v>
      </c>
      <c r="AL185" s="45">
        <v>0</v>
      </c>
      <c r="AM185" s="45">
        <v>0.1125</v>
      </c>
      <c r="AN185" s="57">
        <v>0.0369973082099596</v>
      </c>
      <c r="AO185" s="57">
        <v>0.192921784385389</v>
      </c>
      <c r="AP185" s="53"/>
      <c r="AQ185" s="53"/>
      <c r="AR185" s="53"/>
      <c r="AS185" s="53"/>
      <c r="AT185" s="53"/>
      <c r="AU185" s="53"/>
      <c r="AV185" s="53"/>
      <c r="AW185" s="53"/>
      <c r="AX185" s="53"/>
      <c r="AY185" s="53"/>
      <c r="AZ185" s="53"/>
      <c r="BA185" s="53"/>
      <c r="BB185" s="53"/>
      <c r="BC185" s="53"/>
      <c r="BD185" s="53"/>
      <c r="BE185" s="53"/>
      <c r="BF185" s="53"/>
      <c r="BG185" s="53"/>
      <c r="BH185" s="53"/>
      <c r="BI185" s="53"/>
      <c r="BJ185" s="53"/>
      <c r="BK185" s="53"/>
      <c r="BL185" s="53"/>
      <c r="BM185" s="53"/>
      <c r="BN185" s="53"/>
      <c r="BO185" s="53"/>
      <c r="BP185" s="53"/>
      <c r="BQ185" s="53"/>
      <c r="BR185" s="53"/>
      <c r="BS185" s="53"/>
      <c r="BT185" s="53"/>
      <c r="BU185" s="53"/>
      <c r="BV185" s="53"/>
      <c r="BW185" s="53"/>
      <c r="BX185" s="53"/>
      <c r="BY185" s="53"/>
      <c r="BZ185" s="53"/>
      <c r="CA185" s="53"/>
      <c r="CB185" s="53"/>
      <c r="CC185" s="53"/>
      <c r="CD185" s="53"/>
      <c r="CE185" s="53"/>
      <c r="CF185" s="53"/>
      <c r="CG185" s="53"/>
      <c r="CH185" s="53"/>
      <c r="CI185" s="53"/>
      <c r="CJ185" s="53"/>
      <c r="CK185" s="53"/>
    </row>
    <row r="186" customFormat="1" ht="33" spans="1:90">
      <c r="A186" s="53" t="s">
        <v>840</v>
      </c>
      <c r="B186" s="54" t="s">
        <v>841</v>
      </c>
      <c r="C186" s="53" t="s">
        <v>617</v>
      </c>
      <c r="D186" s="53"/>
      <c r="E186" s="32">
        <v>45973</v>
      </c>
      <c r="F186" s="55">
        <v>40</v>
      </c>
      <c r="G186" s="34">
        <f t="shared" si="6"/>
        <v>130</v>
      </c>
      <c r="H186" s="56">
        <v>2.5</v>
      </c>
      <c r="I186" s="56">
        <v>17.8141592920354</v>
      </c>
      <c r="J186" s="56">
        <v>6.2131482017</v>
      </c>
      <c r="K186" s="56">
        <v>51.34</v>
      </c>
      <c r="L186" s="56">
        <v>68.23868</v>
      </c>
      <c r="M186" s="56">
        <v>5.035536</v>
      </c>
      <c r="N186" s="56">
        <v>12.53808179712</v>
      </c>
      <c r="O186" s="35">
        <v>0</v>
      </c>
      <c r="P186" s="56">
        <v>1.83708517699115</v>
      </c>
      <c r="Q186" s="53" t="s">
        <v>93</v>
      </c>
      <c r="R186" s="53" t="s">
        <v>94</v>
      </c>
      <c r="S186" s="35">
        <v>6.8</v>
      </c>
      <c r="T186" s="53" t="s">
        <v>618</v>
      </c>
      <c r="U186" s="53">
        <v>150.4</v>
      </c>
      <c r="V186" s="53">
        <v>8.86</v>
      </c>
      <c r="W186" s="51" t="s">
        <v>619</v>
      </c>
      <c r="X186" s="56">
        <v>24.8057458774945</v>
      </c>
      <c r="Y186" s="56">
        <v>26.510153909465</v>
      </c>
      <c r="Z186" s="53"/>
      <c r="AA186" s="56">
        <v>60.9258841666667</v>
      </c>
      <c r="AB186" s="56">
        <v>24.81</v>
      </c>
      <c r="AC186" s="41">
        <v>0.1</v>
      </c>
      <c r="AD186" s="56">
        <v>20.9821428824771</v>
      </c>
      <c r="AE186" s="56">
        <v>0.105591668990418</v>
      </c>
      <c r="AF186" s="57">
        <v>0.0108891408646368</v>
      </c>
      <c r="AG186" s="57">
        <v>0.0368278220457832</v>
      </c>
      <c r="AH186" s="57">
        <v>0.304312777106006</v>
      </c>
      <c r="AI186" s="44">
        <v>0.1769</v>
      </c>
      <c r="AJ186" s="44">
        <v>0.0336</v>
      </c>
      <c r="AK186" s="45">
        <v>0.0006</v>
      </c>
      <c r="AL186" s="45">
        <v>0</v>
      </c>
      <c r="AM186" s="45">
        <v>0.1125</v>
      </c>
      <c r="AN186" s="57">
        <v>0.0298476420798065</v>
      </c>
      <c r="AO186" s="57">
        <v>0.18893094891335</v>
      </c>
      <c r="AP186" s="53"/>
      <c r="AQ186" s="53"/>
      <c r="AR186" s="53"/>
      <c r="AS186" s="53"/>
      <c r="AT186" s="53"/>
      <c r="AU186" s="53"/>
      <c r="AV186" s="53"/>
      <c r="AW186" s="53"/>
      <c r="AX186" s="53"/>
      <c r="AY186" s="53"/>
      <c r="AZ186" s="53"/>
      <c r="BA186" s="53"/>
      <c r="BB186" s="53"/>
      <c r="BC186" s="53"/>
      <c r="BD186" s="53"/>
      <c r="BE186" s="53"/>
      <c r="BF186" s="53"/>
      <c r="BG186" s="53"/>
      <c r="BH186" s="53"/>
      <c r="BI186" s="53"/>
      <c r="BJ186" s="53"/>
      <c r="BK186" s="53"/>
      <c r="BL186" s="53"/>
      <c r="BM186" s="53"/>
      <c r="BN186" s="53"/>
      <c r="BO186" s="53"/>
      <c r="BP186" s="53"/>
      <c r="BQ186" s="53"/>
      <c r="BR186" s="53"/>
      <c r="BS186" s="53"/>
      <c r="BT186" s="53"/>
      <c r="BU186" s="53"/>
      <c r="BV186" s="53"/>
      <c r="BW186" s="53"/>
      <c r="BX186" s="53"/>
      <c r="BY186" s="53"/>
      <c r="BZ186" s="53"/>
      <c r="CA186" s="53"/>
      <c r="CB186" s="53"/>
      <c r="CC186" s="53"/>
      <c r="CD186" s="53"/>
      <c r="CE186" s="53"/>
      <c r="CF186" s="53"/>
      <c r="CG186" s="53"/>
      <c r="CH186" s="53"/>
      <c r="CI186" s="53"/>
      <c r="CJ186" s="53"/>
      <c r="CK186" s="53"/>
    </row>
    <row r="187" customFormat="1" ht="66" spans="1:90">
      <c r="A187" s="53" t="s">
        <v>842</v>
      </c>
      <c r="B187" s="54" t="s">
        <v>843</v>
      </c>
      <c r="C187" s="53" t="s">
        <v>622</v>
      </c>
      <c r="D187" s="53"/>
      <c r="E187" s="32">
        <v>45973</v>
      </c>
      <c r="F187" s="55">
        <v>35</v>
      </c>
      <c r="G187" s="34">
        <f t="shared" si="6"/>
        <v>125</v>
      </c>
      <c r="H187" s="56">
        <v>4.2</v>
      </c>
      <c r="I187" s="56">
        <v>20.9203539823009</v>
      </c>
      <c r="J187" s="56">
        <v>4.1403834095</v>
      </c>
      <c r="K187" s="56">
        <v>47.124</v>
      </c>
      <c r="L187" s="56">
        <v>66.31428</v>
      </c>
      <c r="M187" s="56">
        <v>3.35576736</v>
      </c>
      <c r="N187" s="56">
        <v>8.3555922650112</v>
      </c>
      <c r="O187" s="35">
        <v>0</v>
      </c>
      <c r="P187" s="56">
        <v>2.15741150442478</v>
      </c>
      <c r="Q187" s="53" t="s">
        <v>93</v>
      </c>
      <c r="R187" s="53" t="s">
        <v>94</v>
      </c>
      <c r="S187" s="35">
        <v>6.8</v>
      </c>
      <c r="T187" s="53" t="s">
        <v>623</v>
      </c>
      <c r="U187" s="53">
        <v>72.1</v>
      </c>
      <c r="V187" s="53">
        <v>4.33</v>
      </c>
      <c r="W187" s="51" t="s">
        <v>624</v>
      </c>
      <c r="X187" s="56">
        <v>20.4432670720819</v>
      </c>
      <c r="Y187" s="56">
        <v>49.7048628956848</v>
      </c>
      <c r="Z187" s="53"/>
      <c r="AA187" s="56">
        <v>118.031005672054</v>
      </c>
      <c r="AB187" s="56">
        <v>20.4432670720819</v>
      </c>
      <c r="AC187" s="41">
        <v>0.1</v>
      </c>
      <c r="AD187" s="56">
        <v>19.823324349978</v>
      </c>
      <c r="AE187" s="56">
        <v>0.150490752461843</v>
      </c>
      <c r="AF187" s="57">
        <v>0.0155193588476275</v>
      </c>
      <c r="AG187" s="57">
        <v>0.0297838848856636</v>
      </c>
      <c r="AH187" s="57">
        <v>0.338986913176117</v>
      </c>
      <c r="AI187" s="44">
        <v>0.1769</v>
      </c>
      <c r="AJ187" s="44">
        <v>0.0336</v>
      </c>
      <c r="AK187" s="45">
        <v>0.0006</v>
      </c>
      <c r="AL187" s="45">
        <v>0</v>
      </c>
      <c r="AM187" s="45">
        <v>0.1125</v>
      </c>
      <c r="AN187" s="57">
        <v>0.0241397423542901</v>
      </c>
      <c r="AO187" s="57">
        <v>0.117479348274459</v>
      </c>
      <c r="AP187" s="53"/>
      <c r="AQ187" s="53"/>
      <c r="AR187" s="53"/>
      <c r="AS187" s="53"/>
      <c r="AT187" s="53"/>
      <c r="AU187" s="53"/>
      <c r="AV187" s="53"/>
      <c r="AW187" s="53"/>
      <c r="AX187" s="53"/>
      <c r="AY187" s="53"/>
      <c r="AZ187" s="53"/>
      <c r="BA187" s="53"/>
      <c r="BB187" s="53"/>
      <c r="BC187" s="53"/>
      <c r="BD187" s="53"/>
      <c r="BE187" s="53"/>
      <c r="BF187" s="53"/>
      <c r="BG187" s="53"/>
      <c r="BH187" s="53"/>
      <c r="BI187" s="53"/>
      <c r="BJ187" s="53"/>
      <c r="BK187" s="53"/>
      <c r="BL187" s="53"/>
      <c r="BM187" s="53"/>
      <c r="BN187" s="53"/>
      <c r="BO187" s="53"/>
      <c r="BP187" s="53"/>
      <c r="BQ187" s="53"/>
      <c r="BR187" s="53"/>
      <c r="BS187" s="53"/>
      <c r="BT187" s="53"/>
      <c r="BU187" s="53"/>
      <c r="BV187" s="53"/>
      <c r="BW187" s="53"/>
      <c r="BX187" s="53"/>
      <c r="BY187" s="53"/>
      <c r="BZ187" s="53"/>
      <c r="CA187" s="53"/>
      <c r="CB187" s="53"/>
      <c r="CC187" s="53"/>
      <c r="CD187" s="53"/>
      <c r="CE187" s="53"/>
      <c r="CF187" s="53"/>
      <c r="CG187" s="53"/>
      <c r="CH187" s="53"/>
      <c r="CI187" s="53"/>
      <c r="CJ187" s="53"/>
      <c r="CK187" s="53"/>
    </row>
    <row r="188" customFormat="1" ht="66" spans="1:90">
      <c r="A188" s="53" t="s">
        <v>844</v>
      </c>
      <c r="B188" s="54" t="s">
        <v>845</v>
      </c>
      <c r="C188" s="53" t="s">
        <v>627</v>
      </c>
      <c r="D188" s="53"/>
      <c r="E188" s="32">
        <v>45973</v>
      </c>
      <c r="F188" s="55">
        <v>40</v>
      </c>
      <c r="G188" s="34">
        <f t="shared" si="6"/>
        <v>130</v>
      </c>
      <c r="H188" s="56">
        <v>2.5</v>
      </c>
      <c r="I188" s="56">
        <v>16.8318584070796</v>
      </c>
      <c r="J188" s="56">
        <v>6.5563110067</v>
      </c>
      <c r="K188" s="56">
        <v>53.516</v>
      </c>
      <c r="L188" s="56">
        <v>68.23868</v>
      </c>
      <c r="M188" s="56">
        <v>5.313792</v>
      </c>
      <c r="N188" s="56">
        <v>13.23091697664</v>
      </c>
      <c r="O188" s="35">
        <v>0</v>
      </c>
      <c r="P188" s="56">
        <v>1.73578539823009</v>
      </c>
      <c r="Q188" s="53" t="s">
        <v>93</v>
      </c>
      <c r="R188" s="53" t="s">
        <v>94</v>
      </c>
      <c r="S188" s="35">
        <v>6.8</v>
      </c>
      <c r="T188" s="53" t="s">
        <v>628</v>
      </c>
      <c r="U188" s="53">
        <v>212.4</v>
      </c>
      <c r="V188" s="53">
        <v>11.08</v>
      </c>
      <c r="W188" s="51" t="s">
        <v>629</v>
      </c>
      <c r="X188" s="56">
        <v>23.5541640596441</v>
      </c>
      <c r="Y188" s="56">
        <v>19.8852764134908</v>
      </c>
      <c r="Z188" s="53"/>
      <c r="AA188" s="56">
        <v>45.6511275</v>
      </c>
      <c r="AB188" s="56">
        <v>23.55</v>
      </c>
      <c r="AC188" s="41">
        <v>0.1</v>
      </c>
      <c r="AD188" s="56">
        <v>21.4193949289734</v>
      </c>
      <c r="AE188" s="56">
        <v>0.105107146291243</v>
      </c>
      <c r="AF188" s="57">
        <v>0.0108391744612844</v>
      </c>
      <c r="AG188" s="57">
        <v>0.0409411203116023</v>
      </c>
      <c r="AH188" s="57">
        <v>0.334182590233546</v>
      </c>
      <c r="AI188" s="44">
        <v>0.1769</v>
      </c>
      <c r="AJ188" s="44">
        <v>0.0336</v>
      </c>
      <c r="AK188" s="45">
        <v>0.0006</v>
      </c>
      <c r="AL188" s="45">
        <v>0</v>
      </c>
      <c r="AM188" s="45">
        <v>0.1125</v>
      </c>
      <c r="AN188" s="57">
        <v>0.0331821656050955</v>
      </c>
      <c r="AO188" s="57">
        <v>0.152147803097229</v>
      </c>
      <c r="AP188" s="53"/>
      <c r="AQ188" s="53"/>
      <c r="AR188" s="53"/>
      <c r="AS188" s="53"/>
      <c r="AT188" s="53"/>
      <c r="AU188" s="53"/>
      <c r="AV188" s="53"/>
      <c r="AW188" s="53"/>
      <c r="AX188" s="53"/>
      <c r="AY188" s="53"/>
      <c r="AZ188" s="53"/>
      <c r="BA188" s="53"/>
      <c r="BB188" s="53"/>
      <c r="BC188" s="53"/>
      <c r="BD188" s="53"/>
      <c r="BE188" s="53"/>
      <c r="BF188" s="53"/>
      <c r="BG188" s="53"/>
      <c r="BH188" s="53"/>
      <c r="BI188" s="53"/>
      <c r="BJ188" s="53"/>
      <c r="BK188" s="53"/>
      <c r="BL188" s="53"/>
      <c r="BM188" s="53"/>
      <c r="BN188" s="53"/>
      <c r="BO188" s="53"/>
      <c r="BP188" s="53"/>
      <c r="BQ188" s="53"/>
      <c r="BR188" s="53"/>
      <c r="BS188" s="53"/>
      <c r="BT188" s="53"/>
      <c r="BU188" s="53"/>
      <c r="BV188" s="53"/>
      <c r="BW188" s="53"/>
      <c r="BX188" s="53"/>
      <c r="BY188" s="53"/>
      <c r="BZ188" s="53"/>
      <c r="CA188" s="53"/>
      <c r="CB188" s="53"/>
      <c r="CC188" s="53"/>
      <c r="CD188" s="53"/>
      <c r="CE188" s="53"/>
      <c r="CF188" s="53"/>
      <c r="CG188" s="53"/>
      <c r="CH188" s="53"/>
      <c r="CI188" s="53"/>
      <c r="CJ188" s="53"/>
      <c r="CK188" s="53"/>
    </row>
    <row r="189" customFormat="1" ht="132" spans="1:90">
      <c r="A189" s="53" t="s">
        <v>846</v>
      </c>
      <c r="B189" s="54" t="s">
        <v>847</v>
      </c>
      <c r="C189" s="53" t="s">
        <v>632</v>
      </c>
      <c r="D189" s="53"/>
      <c r="E189" s="32">
        <v>45973</v>
      </c>
      <c r="F189" s="55">
        <v>40</v>
      </c>
      <c r="G189" s="34">
        <f t="shared" si="6"/>
        <v>130</v>
      </c>
      <c r="H189" s="56">
        <v>2.5</v>
      </c>
      <c r="I189" s="56">
        <v>22.7256637168142</v>
      </c>
      <c r="J189" s="56">
        <v>6.990274414</v>
      </c>
      <c r="K189" s="56">
        <v>53.516</v>
      </c>
      <c r="L189" s="56">
        <v>68.23868</v>
      </c>
      <c r="M189" s="56">
        <v>5.664978</v>
      </c>
      <c r="N189" s="56">
        <v>14.10534202176</v>
      </c>
      <c r="O189" s="35">
        <v>0</v>
      </c>
      <c r="P189" s="56">
        <v>2.34358407079646</v>
      </c>
      <c r="Q189" s="53" t="s">
        <v>93</v>
      </c>
      <c r="R189" s="53" t="s">
        <v>94</v>
      </c>
      <c r="S189" s="35">
        <v>6.8</v>
      </c>
      <c r="T189" s="53" t="s">
        <v>633</v>
      </c>
      <c r="U189" s="53">
        <v>571.3</v>
      </c>
      <c r="V189" s="53">
        <v>7.54</v>
      </c>
      <c r="W189" s="51" t="s">
        <v>634</v>
      </c>
      <c r="X189" s="56">
        <v>27.1272989339499</v>
      </c>
      <c r="Y189" s="56">
        <v>60.6772141286306</v>
      </c>
      <c r="Z189" s="53"/>
      <c r="AA189" s="56">
        <v>225.19343467619</v>
      </c>
      <c r="AB189" s="56">
        <v>27.1272989339499</v>
      </c>
      <c r="AC189" s="41">
        <v>0.1</v>
      </c>
      <c r="AD189" s="56">
        <v>23.278488233664</v>
      </c>
      <c r="AE189" s="56">
        <v>0.123197277335164</v>
      </c>
      <c r="AF189" s="57">
        <v>0.0127047192251888</v>
      </c>
      <c r="AG189" s="57">
        <v>0.0378947249401254</v>
      </c>
      <c r="AH189" s="57">
        <v>0.290113660750451</v>
      </c>
      <c r="AI189" s="44">
        <v>0.1769</v>
      </c>
      <c r="AJ189" s="44">
        <v>0.0336</v>
      </c>
      <c r="AK189" s="45">
        <v>0.0006</v>
      </c>
      <c r="AL189" s="45">
        <v>0</v>
      </c>
      <c r="AM189" s="45">
        <v>0.1125</v>
      </c>
      <c r="AN189" s="57">
        <v>0.0307102082676352</v>
      </c>
      <c r="AO189" s="57">
        <v>0.181779409481435</v>
      </c>
      <c r="AP189" s="53"/>
      <c r="AQ189" s="53"/>
      <c r="AR189" s="53"/>
      <c r="AS189" s="53"/>
      <c r="AT189" s="53"/>
      <c r="AU189" s="53"/>
      <c r="AV189" s="53"/>
      <c r="AW189" s="53"/>
      <c r="AX189" s="53"/>
      <c r="AY189" s="53"/>
      <c r="AZ189" s="53"/>
      <c r="BA189" s="53"/>
      <c r="BB189" s="53"/>
      <c r="BC189" s="53"/>
      <c r="BD189" s="53"/>
      <c r="BE189" s="53"/>
      <c r="BF189" s="53"/>
      <c r="BG189" s="53"/>
      <c r="BH189" s="53"/>
      <c r="BI189" s="53"/>
      <c r="BJ189" s="53"/>
      <c r="BK189" s="53"/>
      <c r="BL189" s="53"/>
      <c r="BM189" s="53"/>
      <c r="BN189" s="53"/>
      <c r="BO189" s="53"/>
      <c r="BP189" s="53"/>
      <c r="BQ189" s="53"/>
      <c r="BR189" s="53"/>
      <c r="BS189" s="53"/>
      <c r="BT189" s="53"/>
      <c r="BU189" s="53"/>
      <c r="BV189" s="53"/>
      <c r="BW189" s="53"/>
      <c r="BX189" s="53"/>
      <c r="BY189" s="53"/>
      <c r="BZ189" s="53"/>
      <c r="CA189" s="53"/>
      <c r="CB189" s="53"/>
      <c r="CC189" s="53"/>
      <c r="CD189" s="53"/>
      <c r="CE189" s="53"/>
      <c r="CF189" s="53"/>
      <c r="CG189" s="53"/>
      <c r="CH189" s="53"/>
      <c r="CI189" s="53"/>
      <c r="CJ189" s="53"/>
      <c r="CK189" s="53"/>
    </row>
    <row r="190" customFormat="1" ht="165" spans="1:90">
      <c r="A190" s="53" t="s">
        <v>848</v>
      </c>
      <c r="B190" s="54" t="s">
        <v>849</v>
      </c>
      <c r="C190" s="53" t="s">
        <v>637</v>
      </c>
      <c r="D190" s="53"/>
      <c r="E190" s="32">
        <v>45973</v>
      </c>
      <c r="F190" s="55">
        <v>35</v>
      </c>
      <c r="G190" s="34">
        <f t="shared" si="6"/>
        <v>125</v>
      </c>
      <c r="H190" s="56">
        <v>2.5</v>
      </c>
      <c r="I190" s="56">
        <v>26.5663716814159</v>
      </c>
      <c r="J190" s="56">
        <v>5.0944860297</v>
      </c>
      <c r="K190" s="56">
        <v>51.34</v>
      </c>
      <c r="L190" s="56">
        <v>68.23868</v>
      </c>
      <c r="M190" s="56">
        <v>4.12896</v>
      </c>
      <c r="N190" s="56">
        <v>10.2807800832</v>
      </c>
      <c r="O190" s="35">
        <v>0</v>
      </c>
      <c r="P190" s="56">
        <v>2.73965707964602</v>
      </c>
      <c r="Q190" s="53" t="s">
        <v>93</v>
      </c>
      <c r="R190" s="53" t="s">
        <v>94</v>
      </c>
      <c r="S190" s="35">
        <v>6.8</v>
      </c>
      <c r="T190" s="53" t="s">
        <v>638</v>
      </c>
      <c r="U190" s="53">
        <v>248.6</v>
      </c>
      <c r="V190" s="53">
        <v>6.55</v>
      </c>
      <c r="W190" s="51" t="s">
        <v>639</v>
      </c>
      <c r="X190" s="56">
        <v>23.6956081254886</v>
      </c>
      <c r="Y190" s="56">
        <v>183.81772962963</v>
      </c>
      <c r="Z190" s="53"/>
      <c r="AA190" s="56">
        <v>1173.7020318254</v>
      </c>
      <c r="AB190" s="56">
        <v>26.99</v>
      </c>
      <c r="AC190" s="41">
        <v>0.1</v>
      </c>
      <c r="AD190" s="56">
        <v>22.9286940214011</v>
      </c>
      <c r="AE190" s="56">
        <v>0.144750624857877</v>
      </c>
      <c r="AF190" s="57">
        <v>0.0149274081884686</v>
      </c>
      <c r="AG190" s="57">
        <v>0.0277580260101781</v>
      </c>
      <c r="AH190" s="57">
        <v>0.279733234531308</v>
      </c>
      <c r="AI190" s="44">
        <v>0.1769</v>
      </c>
      <c r="AJ190" s="44">
        <v>0.0336</v>
      </c>
      <c r="AK190" s="45">
        <v>0.0006</v>
      </c>
      <c r="AL190" s="45">
        <v>0</v>
      </c>
      <c r="AM190" s="45">
        <v>0.1125</v>
      </c>
      <c r="AN190" s="57">
        <v>0.0224972211930345</v>
      </c>
      <c r="AO190" s="57">
        <v>0.186733485219133</v>
      </c>
      <c r="AP190" s="53"/>
      <c r="AQ190" s="53"/>
      <c r="AR190" s="53"/>
      <c r="AS190" s="53"/>
      <c r="AT190" s="53"/>
      <c r="AU190" s="53"/>
      <c r="AV190" s="53"/>
      <c r="AW190" s="53"/>
      <c r="AX190" s="53"/>
      <c r="AY190" s="53"/>
      <c r="AZ190" s="53"/>
      <c r="BA190" s="53"/>
      <c r="BB190" s="53"/>
      <c r="BC190" s="53"/>
      <c r="BD190" s="53"/>
      <c r="BE190" s="53"/>
      <c r="BF190" s="53"/>
      <c r="BG190" s="53"/>
      <c r="BH190" s="53"/>
      <c r="BI190" s="53"/>
      <c r="BJ190" s="53"/>
      <c r="BK190" s="53"/>
      <c r="BL190" s="53"/>
      <c r="BM190" s="53"/>
      <c r="BN190" s="53"/>
      <c r="BO190" s="53"/>
      <c r="BP190" s="53"/>
      <c r="BQ190" s="53"/>
      <c r="BR190" s="53"/>
      <c r="BS190" s="53"/>
      <c r="BT190" s="53"/>
      <c r="BU190" s="53"/>
      <c r="BV190" s="53"/>
      <c r="BW190" s="53"/>
      <c r="BX190" s="53"/>
      <c r="BY190" s="53"/>
      <c r="BZ190" s="53"/>
      <c r="CA190" s="53"/>
      <c r="CB190" s="53"/>
      <c r="CC190" s="53"/>
      <c r="CD190" s="53"/>
      <c r="CE190" s="53"/>
      <c r="CF190" s="53"/>
      <c r="CG190" s="53"/>
      <c r="CH190" s="53"/>
      <c r="CI190" s="53"/>
      <c r="CJ190" s="53"/>
      <c r="CK190" s="53"/>
    </row>
    <row r="191" customFormat="1" ht="132" spans="1:90">
      <c r="A191" s="53" t="s">
        <v>850</v>
      </c>
      <c r="B191" s="54" t="s">
        <v>851</v>
      </c>
      <c r="C191" s="53" t="s">
        <v>642</v>
      </c>
      <c r="D191" s="53"/>
      <c r="E191" s="32">
        <v>45973</v>
      </c>
      <c r="F191" s="55">
        <v>35</v>
      </c>
      <c r="G191" s="34">
        <f t="shared" si="6"/>
        <v>125</v>
      </c>
      <c r="H191" s="56">
        <v>2.5</v>
      </c>
      <c r="I191" s="56">
        <v>20.2743362831858</v>
      </c>
      <c r="J191" s="56">
        <v>3.3954268776</v>
      </c>
      <c r="K191" s="56">
        <v>47.124</v>
      </c>
      <c r="L191" s="56">
        <v>66.31428</v>
      </c>
      <c r="M191" s="56">
        <v>2.75195184</v>
      </c>
      <c r="N191" s="56">
        <v>6.8521399254528</v>
      </c>
      <c r="O191" s="35">
        <v>0</v>
      </c>
      <c r="P191" s="56">
        <v>2.09079092920354</v>
      </c>
      <c r="Q191" s="53" t="s">
        <v>93</v>
      </c>
      <c r="R191" s="53" t="s">
        <v>94</v>
      </c>
      <c r="S191" s="35">
        <v>6.8</v>
      </c>
      <c r="T191" s="53" t="s">
        <v>643</v>
      </c>
      <c r="U191" s="53">
        <v>34.5</v>
      </c>
      <c r="V191" s="53">
        <v>0.990000000000009</v>
      </c>
      <c r="W191" s="51" t="s">
        <v>644</v>
      </c>
      <c r="X191" s="56">
        <v>27.5333495991316</v>
      </c>
      <c r="Y191" s="56">
        <v>103.641435109559</v>
      </c>
      <c r="Z191" s="53"/>
      <c r="AA191" s="56">
        <v>389.662945714286</v>
      </c>
      <c r="AB191" s="56">
        <v>27.53</v>
      </c>
      <c r="AC191" s="41">
        <v>0.1</v>
      </c>
      <c r="AD191" s="56">
        <v>19.2973899686669</v>
      </c>
      <c r="AE191" s="56">
        <v>0.108300764316926</v>
      </c>
      <c r="AF191" s="57">
        <v>0.011168516320183</v>
      </c>
      <c r="AG191" s="57">
        <v>0.0181375765346894</v>
      </c>
      <c r="AH191" s="57">
        <v>0.251725390483109</v>
      </c>
      <c r="AI191" s="44">
        <v>0.1769</v>
      </c>
      <c r="AJ191" s="44">
        <v>0.0336</v>
      </c>
      <c r="AK191" s="45">
        <v>0.0006</v>
      </c>
      <c r="AL191" s="45">
        <v>0</v>
      </c>
      <c r="AM191" s="45">
        <v>0.1125</v>
      </c>
      <c r="AN191" s="57">
        <v>0.0147002833272793</v>
      </c>
      <c r="AO191" s="57">
        <v>0.272367469017813</v>
      </c>
      <c r="AP191" s="53"/>
      <c r="AQ191" s="53"/>
      <c r="AR191" s="53"/>
      <c r="AS191" s="53"/>
      <c r="AT191" s="53"/>
      <c r="AU191" s="53"/>
      <c r="AV191" s="53"/>
      <c r="AW191" s="53"/>
      <c r="AX191" s="53"/>
      <c r="AY191" s="53"/>
      <c r="AZ191" s="53"/>
      <c r="BA191" s="53"/>
      <c r="BB191" s="53"/>
      <c r="BC191" s="53"/>
      <c r="BD191" s="53"/>
      <c r="BE191" s="53"/>
      <c r="BF191" s="53"/>
      <c r="BG191" s="53"/>
      <c r="BH191" s="53"/>
      <c r="BI191" s="53"/>
      <c r="BJ191" s="53"/>
      <c r="BK191" s="53"/>
      <c r="BL191" s="53"/>
      <c r="BM191" s="53"/>
      <c r="BN191" s="53"/>
      <c r="BO191" s="53"/>
      <c r="BP191" s="53"/>
      <c r="BQ191" s="53"/>
      <c r="BR191" s="53"/>
      <c r="BS191" s="53"/>
      <c r="BT191" s="53"/>
      <c r="BU191" s="53"/>
      <c r="BV191" s="53"/>
      <c r="BW191" s="53"/>
      <c r="BX191" s="53"/>
      <c r="BY191" s="53"/>
      <c r="BZ191" s="53"/>
      <c r="CA191" s="53"/>
      <c r="CB191" s="53"/>
      <c r="CC191" s="53"/>
      <c r="CD191" s="53"/>
      <c r="CE191" s="53"/>
      <c r="CF191" s="53"/>
      <c r="CG191" s="53"/>
      <c r="CH191" s="53"/>
      <c r="CI191" s="53"/>
      <c r="CJ191" s="53"/>
      <c r="CK191" s="53"/>
    </row>
    <row r="192" customFormat="1" ht="165" spans="1:90">
      <c r="A192" s="53" t="s">
        <v>852</v>
      </c>
      <c r="B192" s="54" t="s">
        <v>853</v>
      </c>
      <c r="C192" s="53" t="s">
        <v>647</v>
      </c>
      <c r="D192" s="53"/>
      <c r="E192" s="32">
        <v>45973</v>
      </c>
      <c r="F192" s="55">
        <v>35</v>
      </c>
      <c r="G192" s="34">
        <f t="shared" si="6"/>
        <v>125</v>
      </c>
      <c r="H192" s="56">
        <v>2.1</v>
      </c>
      <c r="I192" s="56">
        <v>19.1238938053097</v>
      </c>
      <c r="J192" s="56">
        <v>3.820756359</v>
      </c>
      <c r="K192" s="56">
        <v>47.124</v>
      </c>
      <c r="L192" s="56">
        <v>66.31428</v>
      </c>
      <c r="M192" s="56">
        <v>3.09672</v>
      </c>
      <c r="N192" s="56">
        <v>7.7105850624</v>
      </c>
      <c r="O192" s="35">
        <v>0</v>
      </c>
      <c r="P192" s="56">
        <v>1.97215154867257</v>
      </c>
      <c r="Q192" s="53" t="s">
        <v>93</v>
      </c>
      <c r="R192" s="53" t="s">
        <v>94</v>
      </c>
      <c r="S192" s="35">
        <v>6.8</v>
      </c>
      <c r="T192" s="53" t="s">
        <v>648</v>
      </c>
      <c r="U192" s="53">
        <v>65.71</v>
      </c>
      <c r="V192" s="53">
        <v>0.980000000000018</v>
      </c>
      <c r="W192" s="51" t="s">
        <v>649</v>
      </c>
      <c r="X192" s="56">
        <v>26.7783016517418</v>
      </c>
      <c r="Y192" s="56">
        <v>179.616600880766</v>
      </c>
      <c r="Z192" s="53"/>
      <c r="AA192" s="56">
        <v>778.647001761531</v>
      </c>
      <c r="AB192" s="56">
        <v>26.78</v>
      </c>
      <c r="AC192" s="41">
        <v>0.1</v>
      </c>
      <c r="AD192" s="56">
        <v>19.1700824879022</v>
      </c>
      <c r="AE192" s="56">
        <v>0.105016330258038</v>
      </c>
      <c r="AF192" s="57">
        <v>0.0108298090578602</v>
      </c>
      <c r="AG192" s="57">
        <v>0.0209811775633704</v>
      </c>
      <c r="AH192" s="57">
        <v>0.258775205377147</v>
      </c>
      <c r="AI192" s="44">
        <v>0.1769</v>
      </c>
      <c r="AJ192" s="44">
        <v>0.0336</v>
      </c>
      <c r="AK192" s="45">
        <v>0.0006</v>
      </c>
      <c r="AL192" s="45">
        <v>0</v>
      </c>
      <c r="AM192" s="45">
        <v>0.1125</v>
      </c>
      <c r="AN192" s="57">
        <v>0.0170052277819268</v>
      </c>
      <c r="AO192" s="57">
        <v>0.263792249961658</v>
      </c>
      <c r="AP192" s="53"/>
      <c r="AQ192" s="53"/>
      <c r="AR192" s="53"/>
      <c r="AS192" s="53"/>
      <c r="AT192" s="53"/>
      <c r="AU192" s="53"/>
      <c r="AV192" s="53"/>
      <c r="AW192" s="53"/>
      <c r="AX192" s="53"/>
      <c r="AY192" s="53"/>
      <c r="AZ192" s="53"/>
      <c r="BA192" s="53"/>
      <c r="BB192" s="53"/>
      <c r="BC192" s="53"/>
      <c r="BD192" s="53"/>
      <c r="BE192" s="53"/>
      <c r="BF192" s="53"/>
      <c r="BG192" s="53"/>
      <c r="BH192" s="53"/>
      <c r="BI192" s="53"/>
      <c r="BJ192" s="53"/>
      <c r="BK192" s="53"/>
      <c r="BL192" s="53"/>
      <c r="BM192" s="53"/>
      <c r="BN192" s="53"/>
      <c r="BO192" s="53"/>
      <c r="BP192" s="53"/>
      <c r="BQ192" s="53"/>
      <c r="BR192" s="53"/>
      <c r="BS192" s="53"/>
      <c r="BT192" s="53"/>
      <c r="BU192" s="53"/>
      <c r="BV192" s="53"/>
      <c r="BW192" s="53"/>
      <c r="BX192" s="53"/>
      <c r="BY192" s="53"/>
      <c r="BZ192" s="53"/>
      <c r="CA192" s="53"/>
      <c r="CB192" s="53"/>
      <c r="CC192" s="53"/>
      <c r="CD192" s="53"/>
      <c r="CE192" s="53"/>
      <c r="CF192" s="53"/>
      <c r="CG192" s="53"/>
      <c r="CH192" s="53"/>
      <c r="CI192" s="53"/>
      <c r="CJ192" s="53"/>
      <c r="CK192" s="53"/>
    </row>
    <row r="193" customFormat="1" ht="165" spans="1:89">
      <c r="A193" s="53" t="s">
        <v>854</v>
      </c>
      <c r="B193" s="54" t="s">
        <v>855</v>
      </c>
      <c r="C193" s="53" t="s">
        <v>652</v>
      </c>
      <c r="D193" s="53"/>
      <c r="E193" s="32">
        <v>45973</v>
      </c>
      <c r="F193" s="55">
        <v>40</v>
      </c>
      <c r="G193" s="34">
        <f t="shared" si="6"/>
        <v>130</v>
      </c>
      <c r="H193" s="56">
        <v>2.5</v>
      </c>
      <c r="I193" s="56">
        <v>23.2920353982301</v>
      </c>
      <c r="J193" s="56">
        <v>4.3463825841</v>
      </c>
      <c r="K193" s="56">
        <v>47.124</v>
      </c>
      <c r="L193" s="56">
        <v>66.31428</v>
      </c>
      <c r="M193" s="56">
        <v>3.522519</v>
      </c>
      <c r="N193" s="56">
        <v>8.77079050848</v>
      </c>
      <c r="O193" s="35">
        <v>0</v>
      </c>
      <c r="P193" s="56">
        <v>2.40199115044248</v>
      </c>
      <c r="Q193" s="53" t="s">
        <v>93</v>
      </c>
      <c r="R193" s="53" t="s">
        <v>94</v>
      </c>
      <c r="S193" s="35">
        <v>6.8</v>
      </c>
      <c r="T193" s="53" t="s">
        <v>653</v>
      </c>
      <c r="U193" s="53">
        <v>43.26</v>
      </c>
      <c r="V193" s="53">
        <v>1.3599999999999</v>
      </c>
      <c r="W193" s="51" t="s">
        <v>654</v>
      </c>
      <c r="X193" s="56">
        <v>26.0048233909103</v>
      </c>
      <c r="Y193" s="56">
        <v>104.568565018518</v>
      </c>
      <c r="Z193" s="53"/>
      <c r="AA193" s="56">
        <v>691.955656609523</v>
      </c>
      <c r="AB193" s="56">
        <v>26</v>
      </c>
      <c r="AC193" s="41">
        <v>0.1</v>
      </c>
      <c r="AD193" s="56">
        <v>20.5859207588614</v>
      </c>
      <c r="AE193" s="56">
        <v>0.131742281664197</v>
      </c>
      <c r="AF193" s="57">
        <v>0.0135859227966204</v>
      </c>
      <c r="AG193" s="57">
        <v>0.0245836119010181</v>
      </c>
      <c r="AH193" s="57">
        <v>0.266538461538462</v>
      </c>
      <c r="AI193" s="44">
        <v>0.1769</v>
      </c>
      <c r="AJ193" s="44">
        <v>0.0336</v>
      </c>
      <c r="AK193" s="45">
        <v>0.0006</v>
      </c>
      <c r="AL193" s="45">
        <v>0</v>
      </c>
      <c r="AM193" s="45">
        <v>0.1125</v>
      </c>
      <c r="AN193" s="57">
        <v>0.01992375</v>
      </c>
      <c r="AO193" s="57">
        <v>0.220025972099702</v>
      </c>
      <c r="AP193" s="53"/>
      <c r="AQ193" s="53"/>
      <c r="AR193" s="53"/>
      <c r="AS193" s="53"/>
      <c r="AT193" s="53"/>
      <c r="AU193" s="53"/>
      <c r="AV193" s="53"/>
      <c r="AW193" s="53"/>
      <c r="AX193" s="53"/>
      <c r="AY193" s="53"/>
      <c r="AZ193" s="53"/>
      <c r="BA193" s="53"/>
      <c r="BB193" s="53"/>
      <c r="BC193" s="53"/>
      <c r="BD193" s="53"/>
      <c r="BE193" s="53"/>
      <c r="BF193" s="53"/>
      <c r="BG193" s="53"/>
      <c r="BH193" s="53"/>
      <c r="BI193" s="53"/>
      <c r="BJ193" s="53"/>
      <c r="BK193" s="53"/>
      <c r="BL193" s="53"/>
      <c r="BM193" s="53"/>
      <c r="BN193" s="53"/>
      <c r="BO193" s="53"/>
      <c r="BP193" s="53"/>
      <c r="BQ193" s="53"/>
      <c r="BR193" s="53"/>
      <c r="BS193" s="53"/>
      <c r="BT193" s="53"/>
      <c r="BU193" s="53"/>
      <c r="BV193" s="53"/>
      <c r="BW193" s="53"/>
      <c r="BX193" s="53"/>
      <c r="BY193" s="53"/>
      <c r="BZ193" s="53"/>
      <c r="CA193" s="53"/>
      <c r="CB193" s="53"/>
      <c r="CC193" s="53"/>
      <c r="CD193" s="53"/>
      <c r="CE193" s="53"/>
      <c r="CF193" s="53"/>
      <c r="CG193" s="53"/>
      <c r="CH193" s="53"/>
      <c r="CI193" s="53"/>
      <c r="CJ193" s="53"/>
      <c r="CK193" s="53"/>
    </row>
    <row r="194" customFormat="1" ht="99" spans="1:89">
      <c r="A194" s="53" t="s">
        <v>856</v>
      </c>
      <c r="B194" s="54" t="s">
        <v>857</v>
      </c>
      <c r="C194" s="53" t="s">
        <v>657</v>
      </c>
      <c r="D194" s="53"/>
      <c r="E194" s="32">
        <v>45973</v>
      </c>
      <c r="F194" s="55">
        <v>35</v>
      </c>
      <c r="G194" s="34">
        <f t="shared" si="6"/>
        <v>125</v>
      </c>
      <c r="H194" s="56">
        <v>2.5</v>
      </c>
      <c r="I194" s="56">
        <v>23.8849557522124</v>
      </c>
      <c r="J194" s="56">
        <v>5.3160115949</v>
      </c>
      <c r="K194" s="56">
        <v>51.34</v>
      </c>
      <c r="L194" s="56">
        <v>68.23868</v>
      </c>
      <c r="M194" s="56">
        <v>4.30848</v>
      </c>
      <c r="N194" s="56">
        <v>10.7277705216</v>
      </c>
      <c r="O194" s="35">
        <v>0</v>
      </c>
      <c r="P194" s="56">
        <v>2.4631360619469</v>
      </c>
      <c r="Q194" s="53" t="s">
        <v>93</v>
      </c>
      <c r="R194" s="53" t="s">
        <v>94</v>
      </c>
      <c r="S194" s="35">
        <v>6.8</v>
      </c>
      <c r="T194" s="53" t="s">
        <v>658</v>
      </c>
      <c r="U194" s="53">
        <v>175.96</v>
      </c>
      <c r="V194" s="53">
        <v>6.56999999999994</v>
      </c>
      <c r="W194" s="51" t="s">
        <v>659</v>
      </c>
      <c r="X194" s="56">
        <v>25.6339000292299</v>
      </c>
      <c r="Y194" s="56">
        <v>117.411402192422</v>
      </c>
      <c r="Z194" s="53"/>
      <c r="AA194" s="56">
        <v>355.222218333333</v>
      </c>
      <c r="AB194" s="56">
        <v>25.63</v>
      </c>
      <c r="AC194" s="41">
        <v>0.1</v>
      </c>
      <c r="AD194" s="56">
        <v>22.2763459324252</v>
      </c>
      <c r="AE194" s="56">
        <v>0.137046176081639</v>
      </c>
      <c r="AF194" s="57">
        <v>0.014132886908419</v>
      </c>
      <c r="AG194" s="57">
        <v>0.0305020058921071</v>
      </c>
      <c r="AH194" s="57">
        <v>0.294576667967226</v>
      </c>
      <c r="AI194" s="44">
        <v>0.1769</v>
      </c>
      <c r="AJ194" s="44">
        <v>0.0336</v>
      </c>
      <c r="AK194" s="45">
        <v>0.0006</v>
      </c>
      <c r="AL194" s="45">
        <v>0</v>
      </c>
      <c r="AM194" s="45">
        <v>0.1125</v>
      </c>
      <c r="AN194" s="57">
        <v>0.0247210300429185</v>
      </c>
      <c r="AO194" s="57">
        <v>0.17542123310769</v>
      </c>
      <c r="AP194" s="53"/>
      <c r="AQ194" s="53"/>
      <c r="AR194" s="53"/>
      <c r="AS194" s="53"/>
      <c r="AT194" s="53"/>
      <c r="AU194" s="53"/>
      <c r="AV194" s="53"/>
      <c r="AW194" s="53"/>
      <c r="AX194" s="53"/>
      <c r="AY194" s="53"/>
      <c r="AZ194" s="53"/>
      <c r="BA194" s="53"/>
      <c r="BB194" s="53"/>
      <c r="BC194" s="53"/>
      <c r="BD194" s="53"/>
      <c r="BE194" s="53"/>
      <c r="BF194" s="53"/>
      <c r="BG194" s="53"/>
      <c r="BH194" s="53"/>
      <c r="BI194" s="53"/>
      <c r="BJ194" s="53"/>
      <c r="BK194" s="53"/>
      <c r="BL194" s="53"/>
      <c r="BM194" s="53"/>
      <c r="BN194" s="53"/>
      <c r="BO194" s="53"/>
      <c r="BP194" s="53"/>
      <c r="BQ194" s="53"/>
      <c r="BR194" s="53"/>
      <c r="BS194" s="53"/>
      <c r="BT194" s="53"/>
      <c r="BU194" s="53"/>
      <c r="BV194" s="53"/>
      <c r="BW194" s="53"/>
      <c r="BX194" s="53"/>
      <c r="BY194" s="53"/>
      <c r="BZ194" s="53"/>
      <c r="CA194" s="53"/>
      <c r="CB194" s="53"/>
      <c r="CC194" s="53"/>
      <c r="CD194" s="53"/>
      <c r="CE194" s="53"/>
      <c r="CF194" s="53"/>
      <c r="CG194" s="53"/>
      <c r="CH194" s="53"/>
      <c r="CI194" s="53"/>
      <c r="CJ194" s="53"/>
      <c r="CK194" s="53"/>
    </row>
    <row r="195" customFormat="1" ht="66" spans="1:89">
      <c r="A195" s="53" t="s">
        <v>858</v>
      </c>
      <c r="B195" s="54" t="s">
        <v>859</v>
      </c>
      <c r="C195" s="53" t="s">
        <v>662</v>
      </c>
      <c r="D195" s="53"/>
      <c r="E195" s="32">
        <v>45973</v>
      </c>
      <c r="F195" s="55">
        <v>35</v>
      </c>
      <c r="G195" s="34">
        <f t="shared" ref="G195:G220" si="7">F195+15+15+60</f>
        <v>125</v>
      </c>
      <c r="H195" s="56">
        <v>1.7</v>
      </c>
      <c r="I195" s="56">
        <v>19.283185840708</v>
      </c>
      <c r="J195" s="56">
        <v>3.820756359</v>
      </c>
      <c r="K195" s="56">
        <v>47.124</v>
      </c>
      <c r="L195" s="56">
        <v>66.31428</v>
      </c>
      <c r="M195" s="56">
        <v>3.09672</v>
      </c>
      <c r="N195" s="56">
        <v>7.7105850624</v>
      </c>
      <c r="O195" s="35">
        <v>0</v>
      </c>
      <c r="P195" s="56">
        <v>1.98857853982301</v>
      </c>
      <c r="Q195" s="53" t="s">
        <v>93</v>
      </c>
      <c r="R195" s="53" t="s">
        <v>94</v>
      </c>
      <c r="S195" s="35">
        <v>6.8</v>
      </c>
      <c r="T195" s="53" t="s">
        <v>663</v>
      </c>
      <c r="U195" s="53">
        <v>84.83</v>
      </c>
      <c r="V195" s="53">
        <v>6.06999999999994</v>
      </c>
      <c r="W195" s="51" t="s">
        <v>664</v>
      </c>
      <c r="X195" s="56">
        <v>28.6421235475508</v>
      </c>
      <c r="Y195" s="56">
        <v>83.4563369341564</v>
      </c>
      <c r="Z195" s="53"/>
      <c r="AA195" s="56">
        <v>182.97645</v>
      </c>
      <c r="AB195" s="56">
        <v>28.64</v>
      </c>
      <c r="AC195" s="41">
        <v>0.1</v>
      </c>
      <c r="AD195" s="56">
        <v>19.2149142597897</v>
      </c>
      <c r="AE195" s="56">
        <v>0.0990140580877627</v>
      </c>
      <c r="AF195" s="57">
        <v>0.0102108247403005</v>
      </c>
      <c r="AG195" s="57">
        <v>0.0196185731545761</v>
      </c>
      <c r="AH195" s="57">
        <v>0.241969273743017</v>
      </c>
      <c r="AI195" s="44">
        <v>0.1769</v>
      </c>
      <c r="AJ195" s="44">
        <v>0.0336</v>
      </c>
      <c r="AK195" s="45">
        <v>0.0006</v>
      </c>
      <c r="AL195" s="45">
        <v>0</v>
      </c>
      <c r="AM195" s="45">
        <v>0.1125</v>
      </c>
      <c r="AN195" s="57">
        <v>0.0159008379888268</v>
      </c>
      <c r="AO195" s="57">
        <v>0.289686432285517</v>
      </c>
      <c r="AP195" s="53"/>
      <c r="AQ195" s="53"/>
      <c r="AR195" s="53"/>
      <c r="AS195" s="53"/>
      <c r="AT195" s="53"/>
      <c r="AU195" s="53"/>
      <c r="AV195" s="53"/>
      <c r="AW195" s="53"/>
      <c r="AX195" s="53"/>
      <c r="AY195" s="53"/>
      <c r="AZ195" s="53"/>
      <c r="BA195" s="53"/>
      <c r="BB195" s="53"/>
      <c r="BC195" s="53"/>
      <c r="BD195" s="53"/>
      <c r="BE195" s="53"/>
      <c r="BF195" s="53"/>
      <c r="BG195" s="53"/>
      <c r="BH195" s="53"/>
      <c r="BI195" s="53"/>
      <c r="BJ195" s="53"/>
      <c r="BK195" s="53"/>
      <c r="BL195" s="53"/>
      <c r="BM195" s="53"/>
      <c r="BN195" s="53"/>
      <c r="BO195" s="53"/>
      <c r="BP195" s="53"/>
      <c r="BQ195" s="53"/>
      <c r="BR195" s="53"/>
      <c r="BS195" s="53"/>
      <c r="BT195" s="53"/>
      <c r="BU195" s="53"/>
      <c r="BV195" s="53"/>
      <c r="BW195" s="53"/>
      <c r="BX195" s="53"/>
      <c r="BY195" s="53"/>
      <c r="BZ195" s="53"/>
      <c r="CA195" s="53"/>
      <c r="CB195" s="53"/>
      <c r="CC195" s="53"/>
      <c r="CD195" s="53"/>
      <c r="CE195" s="53"/>
      <c r="CF195" s="53"/>
      <c r="CG195" s="53"/>
      <c r="CH195" s="53"/>
      <c r="CI195" s="53"/>
      <c r="CJ195" s="53"/>
      <c r="CK195" s="53"/>
    </row>
    <row r="196" customFormat="1" ht="33" spans="1:89">
      <c r="A196" s="53" t="s">
        <v>860</v>
      </c>
      <c r="B196" s="54" t="s">
        <v>861</v>
      </c>
      <c r="C196" s="53" t="s">
        <v>667</v>
      </c>
      <c r="D196" s="53"/>
      <c r="E196" s="32">
        <v>45973</v>
      </c>
      <c r="F196" s="55">
        <v>35</v>
      </c>
      <c r="G196" s="34">
        <f t="shared" si="7"/>
        <v>125</v>
      </c>
      <c r="H196" s="56">
        <v>2.5</v>
      </c>
      <c r="I196" s="56">
        <v>21.5309734513274</v>
      </c>
      <c r="J196" s="56">
        <v>5.0944860297</v>
      </c>
      <c r="K196" s="56">
        <v>51.34</v>
      </c>
      <c r="L196" s="56">
        <v>68.23868</v>
      </c>
      <c r="M196" s="56">
        <v>4.12896</v>
      </c>
      <c r="N196" s="56">
        <v>10.2807800832</v>
      </c>
      <c r="O196" s="35">
        <v>0</v>
      </c>
      <c r="P196" s="56">
        <v>2.22038163716814</v>
      </c>
      <c r="Q196" s="53" t="s">
        <v>93</v>
      </c>
      <c r="R196" s="53" t="s">
        <v>94</v>
      </c>
      <c r="S196" s="35">
        <v>6.8</v>
      </c>
      <c r="T196" s="53" t="s">
        <v>668</v>
      </c>
      <c r="U196" s="53">
        <v>34.26</v>
      </c>
      <c r="V196" s="53">
        <v>3.92000000000007</v>
      </c>
      <c r="W196" s="51" t="s">
        <v>669</v>
      </c>
      <c r="X196" s="56">
        <v>26.5512106517719</v>
      </c>
      <c r="Y196" s="56">
        <v>39.4081685660019</v>
      </c>
      <c r="Z196" s="53"/>
      <c r="AA196" s="56">
        <v>91.6655</v>
      </c>
      <c r="AB196" s="56">
        <v>26.55</v>
      </c>
      <c r="AC196" s="41">
        <v>0.1</v>
      </c>
      <c r="AD196" s="56">
        <v>21.5115118989559</v>
      </c>
      <c r="AE196" s="56">
        <v>0.119258742945206</v>
      </c>
      <c r="AF196" s="57">
        <v>0.0122985578662243</v>
      </c>
      <c r="AG196" s="57">
        <v>0.0282180460269192</v>
      </c>
      <c r="AH196" s="57">
        <v>0.284369114877589</v>
      </c>
      <c r="AI196" s="44">
        <v>0.1769</v>
      </c>
      <c r="AJ196" s="44">
        <v>0.0336</v>
      </c>
      <c r="AK196" s="45">
        <v>0.0006</v>
      </c>
      <c r="AL196" s="45">
        <v>0</v>
      </c>
      <c r="AM196" s="45">
        <v>0.1125</v>
      </c>
      <c r="AN196" s="57">
        <v>0.0228700564971751</v>
      </c>
      <c r="AO196" s="57">
        <v>0.209385481786887</v>
      </c>
      <c r="AP196" s="53"/>
      <c r="AQ196" s="53"/>
      <c r="AR196" s="53"/>
      <c r="AS196" s="53"/>
      <c r="AT196" s="53"/>
      <c r="AU196" s="53"/>
      <c r="AV196" s="53"/>
      <c r="AW196" s="53"/>
      <c r="AX196" s="53"/>
      <c r="AY196" s="53"/>
      <c r="AZ196" s="53"/>
      <c r="BA196" s="53"/>
      <c r="BB196" s="53"/>
      <c r="BC196" s="53"/>
      <c r="BD196" s="53"/>
      <c r="BE196" s="53"/>
      <c r="BF196" s="53"/>
      <c r="BG196" s="53"/>
      <c r="BH196" s="53"/>
      <c r="BI196" s="53"/>
      <c r="BJ196" s="53"/>
      <c r="BK196" s="53"/>
      <c r="BL196" s="53"/>
      <c r="BM196" s="53"/>
      <c r="BN196" s="53"/>
      <c r="BO196" s="53"/>
      <c r="BP196" s="53"/>
      <c r="BQ196" s="53"/>
      <c r="BR196" s="53"/>
      <c r="BS196" s="53"/>
      <c r="BT196" s="53"/>
      <c r="BU196" s="53"/>
      <c r="BV196" s="53"/>
      <c r="BW196" s="53"/>
      <c r="BX196" s="53"/>
      <c r="BY196" s="53"/>
      <c r="BZ196" s="53"/>
      <c r="CA196" s="53"/>
      <c r="CB196" s="53"/>
      <c r="CC196" s="53"/>
      <c r="CD196" s="53"/>
      <c r="CE196" s="53"/>
      <c r="CF196" s="53"/>
      <c r="CG196" s="53"/>
      <c r="CH196" s="53"/>
      <c r="CI196" s="53"/>
      <c r="CJ196" s="53"/>
      <c r="CK196" s="53"/>
    </row>
    <row r="197" customFormat="1" ht="99" spans="1:89">
      <c r="A197" s="53" t="s">
        <v>862</v>
      </c>
      <c r="B197" s="54" t="s">
        <v>863</v>
      </c>
      <c r="C197" s="53" t="s">
        <v>672</v>
      </c>
      <c r="D197" s="53"/>
      <c r="E197" s="32">
        <v>45973</v>
      </c>
      <c r="F197" s="55">
        <v>35</v>
      </c>
      <c r="G197" s="34">
        <f t="shared" si="7"/>
        <v>125</v>
      </c>
      <c r="H197" s="56">
        <v>1.7</v>
      </c>
      <c r="I197" s="56">
        <v>18.5221238938053</v>
      </c>
      <c r="J197" s="56">
        <v>5.0944860297</v>
      </c>
      <c r="K197" s="56">
        <v>51.34</v>
      </c>
      <c r="L197" s="56">
        <v>68.23868</v>
      </c>
      <c r="M197" s="56">
        <v>4.12896</v>
      </c>
      <c r="N197" s="56">
        <v>10.2807800832</v>
      </c>
      <c r="O197" s="35">
        <v>0</v>
      </c>
      <c r="P197" s="56">
        <v>1.91009402654867</v>
      </c>
      <c r="Q197" s="53" t="s">
        <v>93</v>
      </c>
      <c r="R197" s="53" t="s">
        <v>94</v>
      </c>
      <c r="S197" s="35">
        <v>6.8</v>
      </c>
      <c r="T197" s="53" t="s">
        <v>673</v>
      </c>
      <c r="U197" s="53">
        <v>82.35</v>
      </c>
      <c r="V197" s="53">
        <v>11.1400000000001</v>
      </c>
      <c r="W197" s="51" t="s">
        <v>674</v>
      </c>
      <c r="X197" s="56">
        <v>26.5832165465617</v>
      </c>
      <c r="Y197" s="56">
        <v>90.6883463876782</v>
      </c>
      <c r="Z197" s="53"/>
      <c r="AA197" s="56">
        <v>264.469047083333</v>
      </c>
      <c r="AB197" s="56">
        <v>26.58</v>
      </c>
      <c r="AC197" s="41">
        <v>0.1</v>
      </c>
      <c r="AD197" s="56">
        <v>20.66468954108</v>
      </c>
      <c r="AE197" s="56">
        <v>0.102477116218548</v>
      </c>
      <c r="AF197" s="57">
        <v>0.0105679526100378</v>
      </c>
      <c r="AG197" s="57">
        <v>0.0281861972165051</v>
      </c>
      <c r="AH197" s="57">
        <v>0.284048156508653</v>
      </c>
      <c r="AI197" s="44">
        <v>0.1769</v>
      </c>
      <c r="AJ197" s="44">
        <v>0.0336</v>
      </c>
      <c r="AK197" s="45">
        <v>0.0006</v>
      </c>
      <c r="AL197" s="45">
        <v>0</v>
      </c>
      <c r="AM197" s="45">
        <v>0.1125</v>
      </c>
      <c r="AN197" s="57">
        <v>0.0228442437923251</v>
      </c>
      <c r="AO197" s="57">
        <v>0.228276333653931</v>
      </c>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c r="CJ197" s="53"/>
      <c r="CK197" s="53"/>
    </row>
    <row r="198" customFormat="1" ht="99" spans="1:89">
      <c r="A198" s="53" t="s">
        <v>864</v>
      </c>
      <c r="B198" s="54" t="s">
        <v>865</v>
      </c>
      <c r="C198" s="53" t="s">
        <v>677</v>
      </c>
      <c r="D198" s="53"/>
      <c r="E198" s="32">
        <v>45973</v>
      </c>
      <c r="F198" s="55">
        <v>35</v>
      </c>
      <c r="G198" s="34">
        <f t="shared" si="7"/>
        <v>125</v>
      </c>
      <c r="H198" s="56">
        <v>2.5</v>
      </c>
      <c r="I198" s="56">
        <v>25.3982300884956</v>
      </c>
      <c r="J198" s="56">
        <v>5.3641833943</v>
      </c>
      <c r="K198" s="56">
        <v>51.34</v>
      </c>
      <c r="L198" s="56">
        <v>68.23868</v>
      </c>
      <c r="M198" s="56">
        <v>4.34775</v>
      </c>
      <c r="N198" s="56">
        <v>10.82554968</v>
      </c>
      <c r="O198" s="35">
        <v>0</v>
      </c>
      <c r="P198" s="56">
        <v>2.61919247787611</v>
      </c>
      <c r="Q198" s="53" t="s">
        <v>93</v>
      </c>
      <c r="R198" s="53" t="s">
        <v>94</v>
      </c>
      <c r="S198" s="35">
        <v>6.8</v>
      </c>
      <c r="T198" s="53" t="s">
        <v>678</v>
      </c>
      <c r="U198" s="53">
        <v>104.61</v>
      </c>
      <c r="V198" s="53">
        <v>3.31999999999994</v>
      </c>
      <c r="W198" s="51" t="s">
        <v>679</v>
      </c>
      <c r="X198" s="56">
        <v>27.372832301309</v>
      </c>
      <c r="Y198" s="56">
        <v>61.2776089780378</v>
      </c>
      <c r="Z198" s="53"/>
      <c r="AA198" s="56">
        <v>168.517064833333</v>
      </c>
      <c r="AB198" s="56">
        <v>27.37</v>
      </c>
      <c r="AC198" s="41">
        <v>0.1</v>
      </c>
      <c r="AD198" s="56">
        <v>22.7245570785891</v>
      </c>
      <c r="AE198" s="56">
        <v>0.136464517228479</v>
      </c>
      <c r="AF198" s="57">
        <v>0.0140729033391869</v>
      </c>
      <c r="AG198" s="57">
        <v>0.0288217208316319</v>
      </c>
      <c r="AH198" s="57">
        <v>0.275849470222872</v>
      </c>
      <c r="AI198" s="44">
        <v>0.1769</v>
      </c>
      <c r="AJ198" s="44">
        <v>0.0336</v>
      </c>
      <c r="AK198" s="45">
        <v>0.0006</v>
      </c>
      <c r="AL198" s="45">
        <v>0</v>
      </c>
      <c r="AM198" s="45">
        <v>0.1125</v>
      </c>
      <c r="AN198" s="57">
        <v>0.0233604311289733</v>
      </c>
      <c r="AO198" s="57">
        <v>0.197830957248857</v>
      </c>
      <c r="AP198" s="53"/>
      <c r="AQ198" s="53"/>
      <c r="AR198" s="53"/>
      <c r="AS198" s="53"/>
      <c r="AT198" s="53"/>
      <c r="AU198" s="53"/>
      <c r="AV198" s="53"/>
      <c r="AW198" s="53"/>
      <c r="AX198" s="53"/>
      <c r="AY198" s="53"/>
      <c r="AZ198" s="53"/>
      <c r="BA198" s="53"/>
      <c r="BB198" s="53"/>
      <c r="BC198" s="53"/>
      <c r="BD198" s="53"/>
      <c r="BE198" s="53"/>
      <c r="BF198" s="53"/>
      <c r="BG198" s="53"/>
      <c r="BH198" s="53"/>
      <c r="BI198" s="53"/>
      <c r="BJ198" s="53"/>
      <c r="BK198" s="53"/>
      <c r="BL198" s="53"/>
      <c r="BM198" s="53"/>
      <c r="BN198" s="53"/>
      <c r="BO198" s="53"/>
      <c r="BP198" s="53"/>
      <c r="BQ198" s="53"/>
      <c r="BR198" s="53"/>
      <c r="BS198" s="53"/>
      <c r="BT198" s="53"/>
      <c r="BU198" s="53"/>
      <c r="BV198" s="53"/>
      <c r="BW198" s="53"/>
      <c r="BX198" s="53"/>
      <c r="BY198" s="53"/>
      <c r="BZ198" s="53"/>
      <c r="CA198" s="53"/>
      <c r="CB198" s="53"/>
      <c r="CC198" s="53"/>
      <c r="CD198" s="53"/>
      <c r="CE198" s="53"/>
      <c r="CF198" s="53"/>
      <c r="CG198" s="53"/>
      <c r="CH198" s="53"/>
      <c r="CI198" s="53"/>
      <c r="CJ198" s="53"/>
      <c r="CK198" s="53"/>
    </row>
    <row r="199" customFormat="1" ht="165" spans="1:89">
      <c r="A199" s="53" t="s">
        <v>866</v>
      </c>
      <c r="B199" s="54" t="s">
        <v>867</v>
      </c>
      <c r="C199" s="53" t="s">
        <v>682</v>
      </c>
      <c r="D199" s="53"/>
      <c r="E199" s="32">
        <v>45973</v>
      </c>
      <c r="F199" s="55">
        <v>35</v>
      </c>
      <c r="G199" s="34">
        <f t="shared" si="7"/>
        <v>125</v>
      </c>
      <c r="H199" s="56">
        <v>1.3</v>
      </c>
      <c r="I199" s="56">
        <v>14.3097345132743</v>
      </c>
      <c r="J199" s="56">
        <v>3.0281622217</v>
      </c>
      <c r="K199" s="56">
        <v>41.344</v>
      </c>
      <c r="L199" s="56">
        <v>66.31428</v>
      </c>
      <c r="M199" s="56">
        <v>2.454390708</v>
      </c>
      <c r="N199" s="56">
        <v>6.11123651166336</v>
      </c>
      <c r="O199" s="35">
        <v>0</v>
      </c>
      <c r="P199" s="56">
        <v>1.47569137168142</v>
      </c>
      <c r="Q199" s="53" t="s">
        <v>93</v>
      </c>
      <c r="R199" s="53" t="s">
        <v>94</v>
      </c>
      <c r="S199" s="35">
        <v>6.8</v>
      </c>
      <c r="T199" s="53" t="s">
        <v>683</v>
      </c>
      <c r="U199" s="53">
        <v>147.44</v>
      </c>
      <c r="V199" s="53">
        <v>9.23000000000002</v>
      </c>
      <c r="W199" s="51" t="s">
        <v>684</v>
      </c>
      <c r="X199" s="56">
        <v>16.6527297607608</v>
      </c>
      <c r="Y199" s="56">
        <v>36.207354625</v>
      </c>
      <c r="Z199" s="53"/>
      <c r="AA199" s="56">
        <v>177.686379579563</v>
      </c>
      <c r="AB199" s="56">
        <v>17.2</v>
      </c>
      <c r="AC199" s="41">
        <v>0.1</v>
      </c>
      <c r="AD199" s="56">
        <v>15.9743996241008</v>
      </c>
      <c r="AE199" s="56">
        <v>0.122347251310485</v>
      </c>
      <c r="AF199" s="57">
        <v>0.0126170602913938</v>
      </c>
      <c r="AG199" s="57">
        <v>0.025890579870896</v>
      </c>
      <c r="AH199" s="57">
        <v>0.353488372093023</v>
      </c>
      <c r="AI199" s="44">
        <v>0.1769</v>
      </c>
      <c r="AJ199" s="44">
        <v>0.0336</v>
      </c>
      <c r="AK199" s="45">
        <v>0.0006</v>
      </c>
      <c r="AL199" s="45">
        <v>0</v>
      </c>
      <c r="AM199" s="45">
        <v>0.1125</v>
      </c>
      <c r="AN199" s="57">
        <v>0.0209848726744186</v>
      </c>
      <c r="AO199" s="57">
        <v>0.141071863759784</v>
      </c>
      <c r="AP199" s="53"/>
      <c r="AQ199" s="53"/>
      <c r="AR199" s="53"/>
      <c r="AS199" s="53"/>
      <c r="AT199" s="53"/>
      <c r="AU199" s="53"/>
      <c r="AV199" s="53"/>
      <c r="AW199" s="53"/>
      <c r="AX199" s="53"/>
      <c r="AY199" s="53"/>
      <c r="AZ199" s="53"/>
      <c r="BA199" s="53"/>
      <c r="BB199" s="53"/>
      <c r="BC199" s="53"/>
      <c r="BD199" s="53"/>
      <c r="BE199" s="53"/>
      <c r="BF199" s="53"/>
      <c r="BG199" s="53"/>
      <c r="BH199" s="53"/>
      <c r="BI199" s="53"/>
      <c r="BJ199" s="53"/>
      <c r="BK199" s="53"/>
      <c r="BL199" s="53"/>
      <c r="BM199" s="53"/>
      <c r="BN199" s="53"/>
      <c r="BO199" s="53"/>
      <c r="BP199" s="53"/>
      <c r="BQ199" s="53"/>
      <c r="BR199" s="53"/>
      <c r="BS199" s="53"/>
      <c r="BT199" s="53"/>
      <c r="BU199" s="53"/>
      <c r="BV199" s="53"/>
      <c r="BW199" s="53"/>
      <c r="BX199" s="53"/>
      <c r="BY199" s="53"/>
      <c r="BZ199" s="53"/>
      <c r="CA199" s="53"/>
      <c r="CB199" s="53"/>
      <c r="CC199" s="53"/>
      <c r="CD199" s="53"/>
      <c r="CE199" s="53"/>
      <c r="CF199" s="53"/>
      <c r="CG199" s="53"/>
      <c r="CH199" s="53"/>
      <c r="CI199" s="53"/>
      <c r="CJ199" s="53"/>
      <c r="CK199" s="53"/>
    </row>
    <row r="200" customFormat="1" ht="99" spans="1:89">
      <c r="A200" s="53" t="s">
        <v>868</v>
      </c>
      <c r="B200" s="54" t="s">
        <v>869</v>
      </c>
      <c r="C200" s="53" t="s">
        <v>687</v>
      </c>
      <c r="D200" s="53"/>
      <c r="E200" s="32">
        <v>45973</v>
      </c>
      <c r="F200" s="55">
        <v>35</v>
      </c>
      <c r="G200" s="34">
        <f t="shared" si="7"/>
        <v>125</v>
      </c>
      <c r="H200" s="56">
        <v>0.8</v>
      </c>
      <c r="I200" s="56">
        <v>17.4955752212389</v>
      </c>
      <c r="J200" s="56">
        <v>4.1403834095</v>
      </c>
      <c r="K200" s="56">
        <v>47.124</v>
      </c>
      <c r="L200" s="56">
        <v>66.31428</v>
      </c>
      <c r="M200" s="56">
        <v>3.35576736</v>
      </c>
      <c r="N200" s="56">
        <v>8.3555922650112</v>
      </c>
      <c r="O200" s="35">
        <v>0</v>
      </c>
      <c r="P200" s="56">
        <v>1.80423119469027</v>
      </c>
      <c r="Q200" s="53" t="s">
        <v>93</v>
      </c>
      <c r="R200" s="53" t="s">
        <v>94</v>
      </c>
      <c r="S200" s="35">
        <v>6.8</v>
      </c>
      <c r="T200" s="53" t="s">
        <v>688</v>
      </c>
      <c r="U200" s="53">
        <v>60.45</v>
      </c>
      <c r="V200" s="53">
        <v>7.63000000000011</v>
      </c>
      <c r="W200" s="51" t="s">
        <v>689</v>
      </c>
      <c r="X200" s="56">
        <v>21.3275328579453</v>
      </c>
      <c r="Y200" s="56">
        <v>25.1007939201282</v>
      </c>
      <c r="Z200" s="53"/>
      <c r="AA200" s="56">
        <v>89.3431152747227</v>
      </c>
      <c r="AB200" s="56">
        <v>21.33</v>
      </c>
      <c r="AC200" s="41">
        <v>0.1</v>
      </c>
      <c r="AD200" s="56">
        <v>18.8594412543957</v>
      </c>
      <c r="AE200" s="56">
        <v>0.120622536756012</v>
      </c>
      <c r="AF200" s="57">
        <v>0.0124391991029637</v>
      </c>
      <c r="AG200" s="57">
        <v>0.0285457061960509</v>
      </c>
      <c r="AH200" s="57">
        <v>0.324894514767933</v>
      </c>
      <c r="AI200" s="44">
        <v>0.1769</v>
      </c>
      <c r="AJ200" s="44">
        <v>0.0336</v>
      </c>
      <c r="AK200" s="45">
        <v>0.0006</v>
      </c>
      <c r="AL200" s="45">
        <v>0</v>
      </c>
      <c r="AM200" s="45">
        <v>0.1125</v>
      </c>
      <c r="AN200" s="57">
        <v>0.0231362025316456</v>
      </c>
      <c r="AO200" s="57">
        <v>0.166761840645395</v>
      </c>
      <c r="AP200" s="53"/>
      <c r="AQ200" s="53"/>
      <c r="AR200" s="53"/>
      <c r="AS200" s="53"/>
      <c r="AT200" s="53"/>
      <c r="AU200" s="53"/>
      <c r="AV200" s="53"/>
      <c r="AW200" s="53"/>
      <c r="AX200" s="53"/>
      <c r="AY200" s="53"/>
      <c r="AZ200" s="53"/>
      <c r="BA200" s="53"/>
      <c r="BB200" s="53"/>
      <c r="BC200" s="53"/>
      <c r="BD200" s="53"/>
      <c r="BE200" s="53"/>
      <c r="BF200" s="53"/>
      <c r="BG200" s="53"/>
      <c r="BH200" s="53"/>
      <c r="BI200" s="53"/>
      <c r="BJ200" s="53"/>
      <c r="BK200" s="53"/>
      <c r="BL200" s="53"/>
      <c r="BM200" s="53"/>
      <c r="BN200" s="53"/>
      <c r="BO200" s="53"/>
      <c r="BP200" s="53"/>
      <c r="BQ200" s="53"/>
      <c r="BR200" s="53"/>
      <c r="BS200" s="53"/>
      <c r="BT200" s="53"/>
      <c r="BU200" s="53"/>
      <c r="BV200" s="53"/>
      <c r="BW200" s="53"/>
      <c r="BX200" s="53"/>
      <c r="BY200" s="53"/>
      <c r="BZ200" s="53"/>
      <c r="CA200" s="53"/>
      <c r="CB200" s="53"/>
      <c r="CC200" s="53"/>
      <c r="CD200" s="53"/>
      <c r="CE200" s="53"/>
      <c r="CF200" s="53"/>
      <c r="CG200" s="53"/>
      <c r="CH200" s="53"/>
      <c r="CI200" s="53"/>
      <c r="CJ200" s="53"/>
      <c r="CK200" s="53"/>
    </row>
    <row r="201" customFormat="1" ht="99" spans="1:89">
      <c r="A201" s="53" t="s">
        <v>870</v>
      </c>
      <c r="B201" s="54" t="s">
        <v>871</v>
      </c>
      <c r="C201" s="53" t="s">
        <v>692</v>
      </c>
      <c r="D201" s="53"/>
      <c r="E201" s="32">
        <v>45973</v>
      </c>
      <c r="F201" s="55">
        <v>35</v>
      </c>
      <c r="G201" s="34">
        <f t="shared" si="7"/>
        <v>125</v>
      </c>
      <c r="H201" s="56">
        <v>4.2</v>
      </c>
      <c r="I201" s="56">
        <v>15.7256637168142</v>
      </c>
      <c r="J201" s="56">
        <v>4.1403834095</v>
      </c>
      <c r="K201" s="56">
        <v>47.124</v>
      </c>
      <c r="L201" s="56">
        <v>66.31428</v>
      </c>
      <c r="M201" s="56">
        <v>3.35576736</v>
      </c>
      <c r="N201" s="56">
        <v>8.3555922650112</v>
      </c>
      <c r="O201" s="35">
        <v>0</v>
      </c>
      <c r="P201" s="56">
        <v>1.62170907079646</v>
      </c>
      <c r="Q201" s="53" t="s">
        <v>93</v>
      </c>
      <c r="R201" s="53" t="s">
        <v>94</v>
      </c>
      <c r="S201" s="35">
        <v>6.8</v>
      </c>
      <c r="T201" s="53" t="s">
        <v>693</v>
      </c>
      <c r="U201" s="53">
        <v>65.29</v>
      </c>
      <c r="V201" s="53">
        <v>8.71000000000004</v>
      </c>
      <c r="W201" s="51" t="s">
        <v>694</v>
      </c>
      <c r="X201" s="56">
        <v>22.9980098752675</v>
      </c>
      <c r="Y201" s="56">
        <v>64.7914566827274</v>
      </c>
      <c r="Z201" s="53"/>
      <c r="AA201" s="56">
        <v>201.239802275228</v>
      </c>
      <c r="AB201" s="56">
        <v>23</v>
      </c>
      <c r="AC201" s="41">
        <v>0.1</v>
      </c>
      <c r="AD201" s="56">
        <v>18.3613104556452</v>
      </c>
      <c r="AE201" s="56">
        <v>0.100547721974515</v>
      </c>
      <c r="AF201" s="57">
        <v>0.0103689838286219</v>
      </c>
      <c r="AG201" s="57">
        <v>0.0264730397026854</v>
      </c>
      <c r="AH201" s="57">
        <v>0.301304347826087</v>
      </c>
      <c r="AI201" s="44">
        <v>0.1769</v>
      </c>
      <c r="AJ201" s="44">
        <v>0.0336</v>
      </c>
      <c r="AK201" s="45">
        <v>0.0006</v>
      </c>
      <c r="AL201" s="45">
        <v>0</v>
      </c>
      <c r="AM201" s="45">
        <v>0.1125</v>
      </c>
      <c r="AN201" s="57">
        <v>0.0214563130434783</v>
      </c>
      <c r="AO201" s="57">
        <v>0.216249593624612</v>
      </c>
      <c r="AP201" s="53"/>
      <c r="AQ201" s="53"/>
      <c r="AR201" s="53"/>
      <c r="AS201" s="53"/>
      <c r="AT201" s="53"/>
      <c r="AU201" s="53"/>
      <c r="AV201" s="53"/>
      <c r="AW201" s="53"/>
      <c r="AX201" s="53"/>
      <c r="AY201" s="53"/>
      <c r="AZ201" s="53"/>
      <c r="BA201" s="53"/>
      <c r="BB201" s="53"/>
      <c r="BC201" s="53"/>
      <c r="BD201" s="53"/>
      <c r="BE201" s="53"/>
      <c r="BF201" s="53"/>
      <c r="BG201" s="53"/>
      <c r="BH201" s="53"/>
      <c r="BI201" s="53"/>
      <c r="BJ201" s="53"/>
      <c r="BK201" s="53"/>
      <c r="BL201" s="53"/>
      <c r="BM201" s="53"/>
      <c r="BN201" s="53"/>
      <c r="BO201" s="53"/>
      <c r="BP201" s="53"/>
      <c r="BQ201" s="53"/>
      <c r="BR201" s="53"/>
      <c r="BS201" s="53"/>
      <c r="BT201" s="53"/>
      <c r="BU201" s="53"/>
      <c r="BV201" s="53"/>
      <c r="BW201" s="53"/>
      <c r="BX201" s="53"/>
      <c r="BY201" s="53"/>
      <c r="BZ201" s="53"/>
      <c r="CA201" s="53"/>
      <c r="CB201" s="53"/>
      <c r="CC201" s="53"/>
      <c r="CD201" s="53"/>
      <c r="CE201" s="53"/>
      <c r="CF201" s="53"/>
      <c r="CG201" s="53"/>
      <c r="CH201" s="53"/>
      <c r="CI201" s="53"/>
      <c r="CJ201" s="53"/>
      <c r="CK201" s="53"/>
    </row>
    <row r="202" customFormat="1" ht="132" spans="1:89">
      <c r="A202" s="53" t="s">
        <v>872</v>
      </c>
      <c r="B202" s="54" t="s">
        <v>873</v>
      </c>
      <c r="C202" s="53" t="s">
        <v>697</v>
      </c>
      <c r="D202" s="53"/>
      <c r="E202" s="32">
        <v>45973</v>
      </c>
      <c r="F202" s="55">
        <v>35</v>
      </c>
      <c r="G202" s="34">
        <f t="shared" si="7"/>
        <v>125</v>
      </c>
      <c r="H202" s="56">
        <v>0.8</v>
      </c>
      <c r="I202" s="56">
        <v>17.283185840708</v>
      </c>
      <c r="J202" s="56">
        <v>3.3954268776</v>
      </c>
      <c r="K202" s="56">
        <v>47.124</v>
      </c>
      <c r="L202" s="56">
        <v>66.31428</v>
      </c>
      <c r="M202" s="56">
        <v>2.75195184</v>
      </c>
      <c r="N202" s="56">
        <v>6.8521399254528</v>
      </c>
      <c r="O202" s="35">
        <v>0</v>
      </c>
      <c r="P202" s="56">
        <v>1.78232853982301</v>
      </c>
      <c r="Q202" s="53" t="s">
        <v>93</v>
      </c>
      <c r="R202" s="53" t="s">
        <v>94</v>
      </c>
      <c r="S202" s="35">
        <v>6.8</v>
      </c>
      <c r="T202" s="53" t="s">
        <v>698</v>
      </c>
      <c r="U202" s="53">
        <v>12.07</v>
      </c>
      <c r="V202" s="53">
        <v>3.75</v>
      </c>
      <c r="W202" s="51" t="s">
        <v>699</v>
      </c>
      <c r="X202" s="56">
        <v>29.4699564862255</v>
      </c>
      <c r="Y202" s="56">
        <v>29.993365544877</v>
      </c>
      <c r="Z202" s="53"/>
      <c r="AA202" s="56">
        <v>116.651324358832</v>
      </c>
      <c r="AB202" s="56">
        <v>29.47</v>
      </c>
      <c r="AC202" s="41">
        <v>0.1</v>
      </c>
      <c r="AD202" s="56">
        <v>18.4555489187786</v>
      </c>
      <c r="AE202" s="56">
        <v>0.0862451637792569</v>
      </c>
      <c r="AF202" s="57">
        <v>0.00889403251473587</v>
      </c>
      <c r="AG202" s="57">
        <v>0.0169435860875467</v>
      </c>
      <c r="AH202" s="57">
        <v>0.235154394299287</v>
      </c>
      <c r="AI202" s="44">
        <v>0.1769</v>
      </c>
      <c r="AJ202" s="44">
        <v>0.0336</v>
      </c>
      <c r="AK202" s="45">
        <v>0.0006</v>
      </c>
      <c r="AL202" s="45">
        <v>0</v>
      </c>
      <c r="AM202" s="45">
        <v>0.1125</v>
      </c>
      <c r="AN202" s="57">
        <v>0.0137325687139464</v>
      </c>
      <c r="AO202" s="57">
        <v>0.315430254605227</v>
      </c>
      <c r="AP202" s="53"/>
      <c r="AQ202" s="53"/>
      <c r="AR202" s="53"/>
      <c r="AS202" s="53"/>
      <c r="AT202" s="53"/>
      <c r="AU202" s="53"/>
      <c r="AV202" s="53"/>
      <c r="AW202" s="53"/>
      <c r="AX202" s="53"/>
      <c r="AY202" s="53"/>
      <c r="AZ202" s="53"/>
      <c r="BA202" s="53"/>
      <c r="BB202" s="53"/>
      <c r="BC202" s="53"/>
      <c r="BD202" s="53"/>
      <c r="BE202" s="53"/>
      <c r="BF202" s="53"/>
      <c r="BG202" s="53"/>
      <c r="BH202" s="53"/>
      <c r="BI202" s="53"/>
      <c r="BJ202" s="53"/>
      <c r="BK202" s="53"/>
      <c r="BL202" s="53"/>
      <c r="BM202" s="53"/>
      <c r="BN202" s="53"/>
      <c r="BO202" s="53"/>
      <c r="BP202" s="53"/>
      <c r="BQ202" s="53"/>
      <c r="BR202" s="53"/>
      <c r="BS202" s="53"/>
      <c r="BT202" s="53"/>
      <c r="BU202" s="53"/>
      <c r="BV202" s="53"/>
      <c r="BW202" s="53"/>
      <c r="BX202" s="53"/>
      <c r="BY202" s="53"/>
      <c r="BZ202" s="53"/>
      <c r="CA202" s="53"/>
      <c r="CB202" s="53"/>
      <c r="CC202" s="53"/>
      <c r="CD202" s="53"/>
      <c r="CE202" s="53"/>
      <c r="CF202" s="53"/>
      <c r="CG202" s="53"/>
      <c r="CH202" s="53"/>
      <c r="CI202" s="53"/>
      <c r="CJ202" s="53"/>
      <c r="CK202" s="53"/>
    </row>
    <row r="203" customFormat="1" ht="99" spans="1:89">
      <c r="A203" s="53" t="s">
        <v>874</v>
      </c>
      <c r="B203" s="54" t="s">
        <v>875</v>
      </c>
      <c r="C203" s="53" t="s">
        <v>702</v>
      </c>
      <c r="D203" s="53"/>
      <c r="E203" s="32">
        <v>45973</v>
      </c>
      <c r="F203" s="55">
        <v>35</v>
      </c>
      <c r="G203" s="34">
        <f t="shared" si="7"/>
        <v>125</v>
      </c>
      <c r="H203" s="56">
        <v>1.8</v>
      </c>
      <c r="I203" s="56">
        <v>20.3451327433628</v>
      </c>
      <c r="J203" s="56">
        <v>4.7432162497</v>
      </c>
      <c r="K203" s="56">
        <v>51.34</v>
      </c>
      <c r="L203" s="56">
        <v>66.31428</v>
      </c>
      <c r="M203" s="56">
        <v>3.844203132</v>
      </c>
      <c r="N203" s="56">
        <v>9.57175826242944</v>
      </c>
      <c r="O203" s="35">
        <v>0</v>
      </c>
      <c r="P203" s="56">
        <v>2.09809181415929</v>
      </c>
      <c r="Q203" s="53" t="s">
        <v>93</v>
      </c>
      <c r="R203" s="53" t="s">
        <v>94</v>
      </c>
      <c r="S203" s="35">
        <v>6.8</v>
      </c>
      <c r="T203" s="53" t="s">
        <v>703</v>
      </c>
      <c r="U203" s="53">
        <v>187.73</v>
      </c>
      <c r="V203" s="53">
        <v>7.75999999999999</v>
      </c>
      <c r="W203" s="51" t="s">
        <v>704</v>
      </c>
      <c r="X203" s="56">
        <v>23.8912335967346</v>
      </c>
      <c r="Y203" s="56">
        <v>20.0185102469136</v>
      </c>
      <c r="Z203" s="53"/>
      <c r="AA203" s="56">
        <v>105.74019938701</v>
      </c>
      <c r="AB203" s="56">
        <v>23.89</v>
      </c>
      <c r="AC203" s="41">
        <v>0.1</v>
      </c>
      <c r="AD203" s="56">
        <v>21.015492697887</v>
      </c>
      <c r="AE203" s="56">
        <v>0.125237810204632</v>
      </c>
      <c r="AF203" s="57">
        <v>0.0129151491773526</v>
      </c>
      <c r="AG203" s="57">
        <v>0.0291976476109866</v>
      </c>
      <c r="AH203" s="57">
        <v>0.316031812473838</v>
      </c>
      <c r="AI203" s="44">
        <v>0.1769</v>
      </c>
      <c r="AJ203" s="44">
        <v>0.0336</v>
      </c>
      <c r="AK203" s="45">
        <v>0.0006</v>
      </c>
      <c r="AL203" s="45">
        <v>0</v>
      </c>
      <c r="AM203" s="45">
        <v>0.1125</v>
      </c>
      <c r="AN203" s="57">
        <v>0.0236636245290917</v>
      </c>
      <c r="AO203" s="57">
        <v>0.169353956004099</v>
      </c>
      <c r="AP203" s="53"/>
      <c r="AQ203" s="53"/>
      <c r="AR203" s="53"/>
      <c r="AS203" s="53"/>
      <c r="AT203" s="53"/>
      <c r="AU203" s="53"/>
      <c r="AV203" s="53"/>
      <c r="AW203" s="53"/>
      <c r="AX203" s="53"/>
      <c r="AY203" s="53"/>
      <c r="AZ203" s="53"/>
      <c r="BA203" s="53"/>
      <c r="BB203" s="53"/>
      <c r="BC203" s="53"/>
      <c r="BD203" s="53"/>
      <c r="BE203" s="53"/>
      <c r="BF203" s="53"/>
      <c r="BG203" s="53"/>
      <c r="BH203" s="53"/>
      <c r="BI203" s="53"/>
      <c r="BJ203" s="53"/>
      <c r="BK203" s="53"/>
      <c r="BL203" s="53"/>
      <c r="BM203" s="53"/>
      <c r="BN203" s="53"/>
      <c r="BO203" s="53"/>
      <c r="BP203" s="53"/>
      <c r="BQ203" s="53"/>
      <c r="BR203" s="53"/>
      <c r="BS203" s="53"/>
      <c r="BT203" s="53"/>
      <c r="BU203" s="53"/>
      <c r="BV203" s="53"/>
      <c r="BW203" s="53"/>
      <c r="BX203" s="53"/>
      <c r="BY203" s="53"/>
      <c r="BZ203" s="53"/>
      <c r="CA203" s="53"/>
      <c r="CB203" s="53"/>
      <c r="CC203" s="53"/>
      <c r="CD203" s="53"/>
      <c r="CE203" s="53"/>
      <c r="CF203" s="53"/>
      <c r="CG203" s="53"/>
      <c r="CH203" s="53"/>
      <c r="CI203" s="53"/>
      <c r="CJ203" s="53"/>
      <c r="CK203" s="53"/>
    </row>
    <row r="204" customFormat="1" ht="165" spans="1:89">
      <c r="A204" s="53" t="s">
        <v>876</v>
      </c>
      <c r="B204" s="54" t="s">
        <v>877</v>
      </c>
      <c r="C204" s="53" t="s">
        <v>707</v>
      </c>
      <c r="D204" s="53"/>
      <c r="E204" s="32">
        <v>45973</v>
      </c>
      <c r="F204" s="55">
        <v>35</v>
      </c>
      <c r="G204" s="34">
        <f t="shared" si="7"/>
        <v>125</v>
      </c>
      <c r="H204" s="56">
        <v>2.3</v>
      </c>
      <c r="I204" s="56">
        <v>36.0265486725664</v>
      </c>
      <c r="J204" s="56">
        <v>7.6059858204</v>
      </c>
      <c r="K204" s="56">
        <v>53.516</v>
      </c>
      <c r="L204" s="56">
        <v>69.90468</v>
      </c>
      <c r="M204" s="56">
        <v>6.164829</v>
      </c>
      <c r="N204" s="56">
        <v>15.34993102368</v>
      </c>
      <c r="O204" s="35">
        <v>0</v>
      </c>
      <c r="P204" s="56">
        <v>3.71523783185841</v>
      </c>
      <c r="Q204" s="53" t="s">
        <v>93</v>
      </c>
      <c r="R204" s="53" t="s">
        <v>94</v>
      </c>
      <c r="S204" s="35">
        <v>6.8</v>
      </c>
      <c r="T204" s="53" t="s">
        <v>708</v>
      </c>
      <c r="U204" s="53">
        <v>23.59</v>
      </c>
      <c r="V204" s="53">
        <v>11.1700000000001</v>
      </c>
      <c r="W204" s="51" t="s">
        <v>709</v>
      </c>
      <c r="X204" s="56">
        <v>36.5314912720976</v>
      </c>
      <c r="Y204" s="56">
        <v>45.0182852747253</v>
      </c>
      <c r="Z204" s="53"/>
      <c r="AA204" s="56">
        <v>148.079745186325</v>
      </c>
      <c r="AB204" s="56">
        <v>36.53</v>
      </c>
      <c r="AC204" s="41">
        <v>0.1</v>
      </c>
      <c r="AD204" s="56">
        <v>27.3065582838778</v>
      </c>
      <c r="AE204" s="56">
        <v>0.145032079485702</v>
      </c>
      <c r="AF204" s="57">
        <v>0.014956433196963</v>
      </c>
      <c r="AG204" s="57">
        <v>0.0306194176438383</v>
      </c>
      <c r="AH204" s="57">
        <v>0.215439364905557</v>
      </c>
      <c r="AI204" s="44">
        <v>0.1769</v>
      </c>
      <c r="AJ204" s="44">
        <v>0.0336</v>
      </c>
      <c r="AK204" s="45">
        <v>0.0006</v>
      </c>
      <c r="AL204" s="45">
        <v>0</v>
      </c>
      <c r="AM204" s="45">
        <v>0.1125</v>
      </c>
      <c r="AN204" s="57">
        <v>0.0248177525321653</v>
      </c>
      <c r="AO204" s="57">
        <v>0.245534952235774</v>
      </c>
      <c r="AP204" s="53"/>
      <c r="AQ204" s="53"/>
      <c r="AR204" s="53"/>
      <c r="AS204" s="53"/>
      <c r="AT204" s="53"/>
      <c r="AU204" s="53"/>
      <c r="AV204" s="53"/>
      <c r="AW204" s="53"/>
      <c r="AX204" s="53"/>
      <c r="AY204" s="53"/>
      <c r="AZ204" s="53"/>
      <c r="BA204" s="53"/>
      <c r="BB204" s="53"/>
      <c r="BC204" s="53"/>
      <c r="BD204" s="53"/>
      <c r="BE204" s="53"/>
      <c r="BF204" s="53"/>
      <c r="BG204" s="53"/>
      <c r="BH204" s="53"/>
      <c r="BI204" s="53"/>
      <c r="BJ204" s="53"/>
      <c r="BK204" s="53"/>
      <c r="BL204" s="53"/>
      <c r="BM204" s="53"/>
      <c r="BN204" s="53"/>
      <c r="BO204" s="53"/>
      <c r="BP204" s="53"/>
      <c r="BQ204" s="53"/>
      <c r="BR204" s="53"/>
      <c r="BS204" s="53"/>
      <c r="BT204" s="53"/>
      <c r="BU204" s="53"/>
      <c r="BV204" s="53"/>
      <c r="BW204" s="53"/>
      <c r="BX204" s="53"/>
      <c r="BY204" s="53"/>
      <c r="BZ204" s="53"/>
      <c r="CA204" s="53"/>
      <c r="CB204" s="53"/>
      <c r="CC204" s="53"/>
      <c r="CD204" s="53"/>
      <c r="CE204" s="53"/>
      <c r="CF204" s="53"/>
      <c r="CG204" s="53"/>
      <c r="CH204" s="53"/>
      <c r="CI204" s="53"/>
      <c r="CJ204" s="53"/>
      <c r="CK204" s="53"/>
    </row>
    <row r="205" customFormat="1" ht="132" spans="1:89">
      <c r="A205" s="53" t="s">
        <v>878</v>
      </c>
      <c r="B205" s="54" t="s">
        <v>879</v>
      </c>
      <c r="C205" s="53" t="s">
        <v>712</v>
      </c>
      <c r="D205" s="53"/>
      <c r="E205" s="32">
        <v>45973</v>
      </c>
      <c r="F205" s="55">
        <v>35</v>
      </c>
      <c r="G205" s="34">
        <f t="shared" si="7"/>
        <v>125</v>
      </c>
      <c r="H205" s="56">
        <v>0.8</v>
      </c>
      <c r="I205" s="56">
        <v>17</v>
      </c>
      <c r="J205" s="56">
        <v>3.4886326092</v>
      </c>
      <c r="K205" s="56">
        <v>47.124</v>
      </c>
      <c r="L205" s="56">
        <v>66.31428</v>
      </c>
      <c r="M205" s="56">
        <v>2.82744</v>
      </c>
      <c r="N205" s="56">
        <v>7.0400994048</v>
      </c>
      <c r="O205" s="35">
        <v>0</v>
      </c>
      <c r="P205" s="56">
        <v>1.753125</v>
      </c>
      <c r="Q205" s="53" t="s">
        <v>93</v>
      </c>
      <c r="R205" s="53" t="s">
        <v>94</v>
      </c>
      <c r="S205" s="35">
        <v>6.8</v>
      </c>
      <c r="T205" s="53" t="s">
        <v>713</v>
      </c>
      <c r="U205" s="53">
        <v>418.1</v>
      </c>
      <c r="V205" s="53">
        <v>9.8599999999999</v>
      </c>
      <c r="W205" s="51" t="s">
        <v>714</v>
      </c>
      <c r="X205" s="56">
        <v>24.0516844581211</v>
      </c>
      <c r="Y205" s="56">
        <v>16.9572200176725</v>
      </c>
      <c r="Z205" s="53"/>
      <c r="AA205" s="56">
        <v>69.3629215303754</v>
      </c>
      <c r="AB205" s="56">
        <v>24.05</v>
      </c>
      <c r="AC205" s="41">
        <v>0.1</v>
      </c>
      <c r="AD205" s="56">
        <v>18.4188874171327</v>
      </c>
      <c r="AE205" s="56">
        <v>0.103950103950104</v>
      </c>
      <c r="AF205" s="57">
        <v>0.0107198544698545</v>
      </c>
      <c r="AG205" s="57">
        <v>0.0213319836688272</v>
      </c>
      <c r="AH205" s="57">
        <v>0.288149688149688</v>
      </c>
      <c r="AI205" s="44">
        <v>0.1769</v>
      </c>
      <c r="AJ205" s="44">
        <v>0.0336</v>
      </c>
      <c r="AK205" s="45">
        <v>0.0006</v>
      </c>
      <c r="AL205" s="45">
        <v>0</v>
      </c>
      <c r="AM205" s="45">
        <v>0.1125</v>
      </c>
      <c r="AN205" s="57">
        <v>0.0172889812889813</v>
      </c>
      <c r="AO205" s="57">
        <v>0.234959388472545</v>
      </c>
      <c r="AP205" s="53"/>
      <c r="AQ205" s="53"/>
      <c r="AR205" s="53"/>
      <c r="AS205" s="53"/>
      <c r="AT205" s="53"/>
      <c r="AU205" s="53"/>
      <c r="AV205" s="53"/>
      <c r="AW205" s="53"/>
      <c r="AX205" s="53"/>
      <c r="AY205" s="53"/>
      <c r="AZ205" s="53"/>
      <c r="BA205" s="53"/>
      <c r="BB205" s="53"/>
      <c r="BC205" s="53"/>
      <c r="BD205" s="53"/>
      <c r="BE205" s="53"/>
      <c r="BF205" s="53"/>
      <c r="BG205" s="53"/>
      <c r="BH205" s="53"/>
      <c r="BI205" s="53"/>
      <c r="BJ205" s="53"/>
      <c r="BK205" s="53"/>
      <c r="BL205" s="53"/>
      <c r="BM205" s="53"/>
      <c r="BN205" s="53"/>
      <c r="BO205" s="53"/>
      <c r="BP205" s="53"/>
      <c r="BQ205" s="53"/>
      <c r="BR205" s="53"/>
      <c r="BS205" s="53"/>
      <c r="BT205" s="53"/>
      <c r="BU205" s="53"/>
      <c r="BV205" s="53"/>
      <c r="BW205" s="53"/>
      <c r="BX205" s="53"/>
      <c r="BY205" s="53"/>
      <c r="BZ205" s="53"/>
      <c r="CA205" s="53"/>
      <c r="CB205" s="53"/>
      <c r="CC205" s="53"/>
      <c r="CD205" s="53"/>
      <c r="CE205" s="53"/>
      <c r="CF205" s="53"/>
      <c r="CG205" s="53"/>
      <c r="CH205" s="53"/>
      <c r="CI205" s="53"/>
      <c r="CJ205" s="53"/>
      <c r="CK205" s="53"/>
    </row>
    <row r="206" customFormat="1" ht="66" spans="1:89">
      <c r="A206" s="53" t="s">
        <v>880</v>
      </c>
      <c r="B206" s="54" t="s">
        <v>881</v>
      </c>
      <c r="C206" s="53" t="s">
        <v>717</v>
      </c>
      <c r="D206" s="53"/>
      <c r="E206" s="32">
        <v>45973</v>
      </c>
      <c r="F206" s="55">
        <v>40</v>
      </c>
      <c r="G206" s="34">
        <f t="shared" si="7"/>
        <v>130</v>
      </c>
      <c r="H206" s="56">
        <v>2.5</v>
      </c>
      <c r="I206" s="56">
        <v>26.070796460177</v>
      </c>
      <c r="J206" s="56">
        <v>5.5371576773</v>
      </c>
      <c r="K206" s="56">
        <v>51.34</v>
      </c>
      <c r="L206" s="56">
        <v>68.23868</v>
      </c>
      <c r="M206" s="56">
        <v>4.488</v>
      </c>
      <c r="N206" s="56">
        <v>11.17476096</v>
      </c>
      <c r="O206" s="35">
        <v>0</v>
      </c>
      <c r="P206" s="56">
        <v>2.68855088495575</v>
      </c>
      <c r="Q206" s="53" t="s">
        <v>93</v>
      </c>
      <c r="R206" s="53" t="s">
        <v>94</v>
      </c>
      <c r="S206" s="35">
        <v>6.8</v>
      </c>
      <c r="T206" s="53" t="s">
        <v>718</v>
      </c>
      <c r="U206" s="53">
        <v>11.73</v>
      </c>
      <c r="V206" s="53">
        <v>4.5</v>
      </c>
      <c r="W206" s="51" t="s">
        <v>719</v>
      </c>
      <c r="X206" s="56">
        <v>25.6313238095217</v>
      </c>
      <c r="Y206" s="56">
        <v>43.4501061728395</v>
      </c>
      <c r="Z206" s="53"/>
      <c r="AA206" s="56">
        <v>122.786</v>
      </c>
      <c r="AB206" s="56">
        <v>25.63</v>
      </c>
      <c r="AC206" s="41">
        <v>0.1</v>
      </c>
      <c r="AD206" s="56">
        <v>22.9937607213212</v>
      </c>
      <c r="AE206" s="56">
        <v>0.149588008424049</v>
      </c>
      <c r="AF206" s="57">
        <v>0.0154262633687301</v>
      </c>
      <c r="AG206" s="57">
        <v>0.0317708893375181</v>
      </c>
      <c r="AH206" s="57">
        <v>0.294576667967226</v>
      </c>
      <c r="AI206" s="44">
        <v>0.1769</v>
      </c>
      <c r="AJ206" s="44">
        <v>0.0336</v>
      </c>
      <c r="AK206" s="45">
        <v>0.0006</v>
      </c>
      <c r="AL206" s="45">
        <v>0</v>
      </c>
      <c r="AM206" s="45">
        <v>0.1125</v>
      </c>
      <c r="AN206" s="57">
        <v>0.0257510729613734</v>
      </c>
      <c r="AO206" s="57">
        <v>0.159287097941103</v>
      </c>
      <c r="AP206" s="53"/>
      <c r="AQ206" s="53"/>
      <c r="AR206" s="53"/>
      <c r="AS206" s="53"/>
      <c r="AT206" s="53"/>
      <c r="AU206" s="53"/>
      <c r="AV206" s="53"/>
      <c r="AW206" s="53"/>
      <c r="AX206" s="53"/>
      <c r="AY206" s="53"/>
      <c r="AZ206" s="53"/>
      <c r="BA206" s="53"/>
      <c r="BB206" s="53"/>
      <c r="BC206" s="53"/>
      <c r="BD206" s="53"/>
      <c r="BE206" s="53"/>
      <c r="BF206" s="53"/>
      <c r="BG206" s="53"/>
      <c r="BH206" s="53"/>
      <c r="BI206" s="53"/>
      <c r="BJ206" s="53"/>
      <c r="BK206" s="53"/>
      <c r="BL206" s="53"/>
      <c r="BM206" s="53"/>
      <c r="BN206" s="53"/>
      <c r="BO206" s="53"/>
      <c r="BP206" s="53"/>
      <c r="BQ206" s="53"/>
      <c r="BR206" s="53"/>
      <c r="BS206" s="53"/>
      <c r="BT206" s="53"/>
      <c r="BU206" s="53"/>
      <c r="BV206" s="53"/>
      <c r="BW206" s="53"/>
      <c r="BX206" s="53"/>
      <c r="BY206" s="53"/>
      <c r="BZ206" s="53"/>
      <c r="CA206" s="53"/>
      <c r="CB206" s="53"/>
      <c r="CC206" s="53"/>
      <c r="CD206" s="53"/>
      <c r="CE206" s="53"/>
      <c r="CF206" s="53"/>
      <c r="CG206" s="53"/>
      <c r="CH206" s="53"/>
      <c r="CI206" s="53"/>
      <c r="CJ206" s="53"/>
      <c r="CK206" s="53"/>
    </row>
    <row r="207" customFormat="1" ht="132" spans="1:89">
      <c r="A207" s="53" t="s">
        <v>882</v>
      </c>
      <c r="B207" s="54" t="s">
        <v>883</v>
      </c>
      <c r="C207" s="53" t="s">
        <v>722</v>
      </c>
      <c r="D207" s="53"/>
      <c r="E207" s="32">
        <v>45973</v>
      </c>
      <c r="F207" s="55">
        <v>35</v>
      </c>
      <c r="G207" s="34">
        <f t="shared" si="7"/>
        <v>125</v>
      </c>
      <c r="H207" s="56">
        <v>2.7</v>
      </c>
      <c r="I207" s="56">
        <v>19.0442477876106</v>
      </c>
      <c r="J207" s="56">
        <v>2.8828275104</v>
      </c>
      <c r="K207" s="56">
        <v>41.344</v>
      </c>
      <c r="L207" s="56">
        <v>66.31428</v>
      </c>
      <c r="M207" s="56">
        <v>2.336565</v>
      </c>
      <c r="N207" s="56">
        <v>5.8178599248</v>
      </c>
      <c r="O207" s="35">
        <v>0</v>
      </c>
      <c r="P207" s="56">
        <v>1.96393805309735</v>
      </c>
      <c r="Q207" s="53" t="s">
        <v>93</v>
      </c>
      <c r="R207" s="53" t="s">
        <v>94</v>
      </c>
      <c r="S207" s="35">
        <v>6.8</v>
      </c>
      <c r="T207" s="53" t="s">
        <v>723</v>
      </c>
      <c r="U207" s="53">
        <v>154.76</v>
      </c>
      <c r="V207" s="53">
        <v>5.1099999999999</v>
      </c>
      <c r="W207" s="51" t="s">
        <v>724</v>
      </c>
      <c r="X207" s="56">
        <v>24.5102308911747</v>
      </c>
      <c r="Y207" s="56">
        <v>55.7126395480356</v>
      </c>
      <c r="Z207" s="53"/>
      <c r="AA207" s="56">
        <v>229.710602805556</v>
      </c>
      <c r="AB207" s="56">
        <v>24.51</v>
      </c>
      <c r="AC207" s="41">
        <v>0.1</v>
      </c>
      <c r="AD207" s="56">
        <v>17.2397585293883</v>
      </c>
      <c r="AE207" s="56">
        <v>0.114264572609083</v>
      </c>
      <c r="AF207" s="57">
        <v>0.0117835340503117</v>
      </c>
      <c r="AG207" s="57">
        <v>0.0172968266877865</v>
      </c>
      <c r="AH207" s="57">
        <v>0.248062015503876</v>
      </c>
      <c r="AI207" s="44">
        <v>0.1769</v>
      </c>
      <c r="AJ207" s="44">
        <v>0.0336</v>
      </c>
      <c r="AK207" s="45">
        <v>0.0006</v>
      </c>
      <c r="AL207" s="45">
        <v>0</v>
      </c>
      <c r="AM207" s="45">
        <v>0.1125</v>
      </c>
      <c r="AN207" s="57">
        <v>0.0140192778457772</v>
      </c>
      <c r="AO207" s="57">
        <v>0.270973773303166</v>
      </c>
      <c r="AP207" s="53"/>
      <c r="AQ207" s="53"/>
      <c r="AR207" s="53"/>
      <c r="AS207" s="53"/>
      <c r="AT207" s="53"/>
      <c r="AU207" s="53"/>
      <c r="AV207" s="53"/>
      <c r="AW207" s="53"/>
      <c r="AX207" s="53"/>
      <c r="AY207" s="53"/>
      <c r="AZ207" s="53"/>
      <c r="BA207" s="53"/>
      <c r="BB207" s="53"/>
      <c r="BC207" s="53"/>
      <c r="BD207" s="53"/>
      <c r="BE207" s="53"/>
      <c r="BF207" s="53"/>
      <c r="BG207" s="53"/>
      <c r="BH207" s="53"/>
      <c r="BI207" s="53"/>
      <c r="BJ207" s="53"/>
      <c r="BK207" s="53"/>
      <c r="BL207" s="53"/>
      <c r="BM207" s="53"/>
      <c r="BN207" s="53"/>
      <c r="BO207" s="53"/>
      <c r="BP207" s="53"/>
      <c r="BQ207" s="53"/>
      <c r="BR207" s="53"/>
      <c r="BS207" s="53"/>
      <c r="BT207" s="53"/>
      <c r="BU207" s="53"/>
      <c r="BV207" s="53"/>
      <c r="BW207" s="53"/>
      <c r="BX207" s="53"/>
      <c r="BY207" s="53"/>
      <c r="BZ207" s="53"/>
      <c r="CA207" s="53"/>
      <c r="CB207" s="53"/>
      <c r="CC207" s="53"/>
      <c r="CD207" s="53"/>
      <c r="CE207" s="53"/>
      <c r="CF207" s="53"/>
      <c r="CG207" s="53"/>
      <c r="CH207" s="53"/>
      <c r="CI207" s="53"/>
      <c r="CJ207" s="53"/>
      <c r="CK207" s="53"/>
    </row>
    <row r="208" customFormat="1" ht="99" spans="1:89">
      <c r="A208" s="53" t="s">
        <v>884</v>
      </c>
      <c r="B208" s="54" t="s">
        <v>885</v>
      </c>
      <c r="C208" s="53" t="s">
        <v>727</v>
      </c>
      <c r="D208" s="53"/>
      <c r="E208" s="32">
        <v>45973</v>
      </c>
      <c r="F208" s="55">
        <v>35</v>
      </c>
      <c r="G208" s="34">
        <f t="shared" si="7"/>
        <v>125</v>
      </c>
      <c r="H208" s="56">
        <v>1.7</v>
      </c>
      <c r="I208" s="56">
        <v>33.353982300885</v>
      </c>
      <c r="J208" s="56">
        <v>7.8283288895</v>
      </c>
      <c r="K208" s="56">
        <v>53.516</v>
      </c>
      <c r="L208" s="56">
        <v>69.90468</v>
      </c>
      <c r="M208" s="56">
        <v>6.34491</v>
      </c>
      <c r="N208" s="56">
        <v>15.7983183072</v>
      </c>
      <c r="O208" s="35">
        <v>0</v>
      </c>
      <c r="P208" s="56">
        <v>3.43962942477876</v>
      </c>
      <c r="Q208" s="53" t="s">
        <v>93</v>
      </c>
      <c r="R208" s="53" t="s">
        <v>94</v>
      </c>
      <c r="S208" s="35">
        <v>6.8</v>
      </c>
      <c r="T208" s="53" t="s">
        <v>728</v>
      </c>
      <c r="U208" s="53">
        <v>134.79</v>
      </c>
      <c r="V208" s="53">
        <v>4.72000000000003</v>
      </c>
      <c r="W208" s="51" t="s">
        <v>729</v>
      </c>
      <c r="X208" s="56">
        <v>31.299836778693</v>
      </c>
      <c r="Y208" s="56">
        <v>53.437420622223</v>
      </c>
      <c r="Z208" s="53"/>
      <c r="AA208" s="56">
        <v>160.606614285714</v>
      </c>
      <c r="AB208" s="56">
        <v>31.3</v>
      </c>
      <c r="AC208" s="41">
        <v>0.1</v>
      </c>
      <c r="AD208" s="56">
        <v>26.6570525511195</v>
      </c>
      <c r="AE208" s="56">
        <v>0.156709182018817</v>
      </c>
      <c r="AF208" s="57">
        <v>0.0161606343956905</v>
      </c>
      <c r="AG208" s="57">
        <v>0.0367803462201654</v>
      </c>
      <c r="AH208" s="57">
        <v>0.251437699680511</v>
      </c>
      <c r="AI208" s="44">
        <v>0.1769</v>
      </c>
      <c r="AJ208" s="44">
        <v>0.0336</v>
      </c>
      <c r="AK208" s="45">
        <v>0.0006</v>
      </c>
      <c r="AL208" s="45">
        <v>0</v>
      </c>
      <c r="AM208" s="45">
        <v>0.1125</v>
      </c>
      <c r="AN208" s="57">
        <v>0.0298107028753994</v>
      </c>
      <c r="AO208" s="57">
        <v>0.185501434809417</v>
      </c>
      <c r="AP208" s="53"/>
      <c r="AQ208" s="53"/>
      <c r="AR208" s="53"/>
      <c r="AS208" s="53"/>
      <c r="AT208" s="53"/>
      <c r="AU208" s="53"/>
      <c r="AV208" s="53"/>
      <c r="AW208" s="53"/>
      <c r="AX208" s="53"/>
      <c r="AY208" s="53"/>
      <c r="AZ208" s="53"/>
      <c r="BA208" s="53"/>
      <c r="BB208" s="53"/>
      <c r="BC208" s="53"/>
      <c r="BD208" s="53"/>
      <c r="BE208" s="53"/>
      <c r="BF208" s="53"/>
      <c r="BG208" s="53"/>
      <c r="BH208" s="53"/>
      <c r="BI208" s="53"/>
      <c r="BJ208" s="53"/>
      <c r="BK208" s="53"/>
      <c r="BL208" s="53"/>
      <c r="BM208" s="53"/>
      <c r="BN208" s="53"/>
      <c r="BO208" s="53"/>
      <c r="BP208" s="53"/>
      <c r="BQ208" s="53"/>
      <c r="BR208" s="53"/>
      <c r="BS208" s="53"/>
      <c r="BT208" s="53"/>
      <c r="BU208" s="53"/>
      <c r="BV208" s="53"/>
      <c r="BW208" s="53"/>
      <c r="BX208" s="53"/>
      <c r="BY208" s="53"/>
      <c r="BZ208" s="53"/>
      <c r="CA208" s="53"/>
      <c r="CB208" s="53"/>
      <c r="CC208" s="53"/>
      <c r="CD208" s="53"/>
      <c r="CE208" s="53"/>
      <c r="CF208" s="53"/>
      <c r="CG208" s="53"/>
      <c r="CH208" s="53"/>
      <c r="CI208" s="53"/>
      <c r="CJ208" s="53"/>
      <c r="CK208" s="53"/>
    </row>
    <row r="209" customFormat="1" ht="33" spans="1:89">
      <c r="A209" s="53" t="s">
        <v>886</v>
      </c>
      <c r="B209" s="54" t="s">
        <v>887</v>
      </c>
      <c r="C209" s="53" t="s">
        <v>732</v>
      </c>
      <c r="D209" s="53"/>
      <c r="E209" s="32">
        <v>45973</v>
      </c>
      <c r="F209" s="55">
        <v>35</v>
      </c>
      <c r="G209" s="34">
        <f t="shared" si="7"/>
        <v>125</v>
      </c>
      <c r="H209" s="56">
        <v>0.8</v>
      </c>
      <c r="I209" s="56">
        <v>23.6902654867257</v>
      </c>
      <c r="J209" s="56">
        <v>5.4818333286</v>
      </c>
      <c r="K209" s="56">
        <v>51.34</v>
      </c>
      <c r="L209" s="56">
        <v>68.23868</v>
      </c>
      <c r="M209" s="56">
        <v>4.44312</v>
      </c>
      <c r="N209" s="56">
        <v>11.0630133504</v>
      </c>
      <c r="O209" s="35">
        <v>0</v>
      </c>
      <c r="P209" s="56">
        <v>2.44305862831858</v>
      </c>
      <c r="Q209" s="53" t="s">
        <v>93</v>
      </c>
      <c r="R209" s="53" t="s">
        <v>94</v>
      </c>
      <c r="S209" s="35">
        <v>6.8</v>
      </c>
      <c r="T209" s="53" t="s">
        <v>733</v>
      </c>
      <c r="U209" s="53">
        <v>159.57</v>
      </c>
      <c r="V209" s="53">
        <v>5.24000000000001</v>
      </c>
      <c r="W209" s="51" t="s">
        <v>734</v>
      </c>
      <c r="X209" s="56">
        <v>23.5068787698232</v>
      </c>
      <c r="Y209" s="56">
        <v>13.6160423450826</v>
      </c>
      <c r="Z209" s="53"/>
      <c r="AA209" s="56">
        <v>31.6456777777778</v>
      </c>
      <c r="AB209" s="56">
        <v>23.51</v>
      </c>
      <c r="AC209" s="41">
        <v>0.1</v>
      </c>
      <c r="AD209" s="56">
        <v>22.2982093326847</v>
      </c>
      <c r="AE209" s="56">
        <v>0.148186413082829</v>
      </c>
      <c r="AF209" s="57">
        <v>0.0152817238491667</v>
      </c>
      <c r="AG209" s="57">
        <v>0.0342897473453099</v>
      </c>
      <c r="AH209" s="57">
        <v>0.321139940450872</v>
      </c>
      <c r="AI209" s="44">
        <v>0.1769</v>
      </c>
      <c r="AJ209" s="44">
        <v>0.0336</v>
      </c>
      <c r="AK209" s="45">
        <v>0.0006</v>
      </c>
      <c r="AL209" s="45">
        <v>0</v>
      </c>
      <c r="AM209" s="45">
        <v>0.1125</v>
      </c>
      <c r="AN209" s="57">
        <v>0.0277924287537218</v>
      </c>
      <c r="AO209" s="57">
        <v>0.129709746518101</v>
      </c>
      <c r="AP209" s="53"/>
      <c r="AQ209" s="53"/>
      <c r="AR209" s="53"/>
      <c r="AS209" s="53"/>
      <c r="AT209" s="53"/>
      <c r="AU209" s="53"/>
      <c r="AV209" s="53"/>
      <c r="AW209" s="53"/>
      <c r="AX209" s="53"/>
      <c r="AY209" s="53"/>
      <c r="AZ209" s="53"/>
      <c r="BA209" s="53"/>
      <c r="BB209" s="53"/>
      <c r="BC209" s="53"/>
      <c r="BD209" s="53"/>
      <c r="BE209" s="53"/>
      <c r="BF209" s="53"/>
      <c r="BG209" s="53"/>
      <c r="BH209" s="53"/>
      <c r="BI209" s="53"/>
      <c r="BJ209" s="53"/>
      <c r="BK209" s="53"/>
      <c r="BL209" s="53"/>
      <c r="BM209" s="53"/>
      <c r="BN209" s="53"/>
      <c r="BO209" s="53"/>
      <c r="BP209" s="53"/>
      <c r="BQ209" s="53"/>
      <c r="BR209" s="53"/>
      <c r="BS209" s="53"/>
      <c r="BT209" s="53"/>
      <c r="BU209" s="53"/>
      <c r="BV209" s="53"/>
      <c r="BW209" s="53"/>
      <c r="BX209" s="53"/>
      <c r="BY209" s="53"/>
      <c r="BZ209" s="53"/>
      <c r="CA209" s="53"/>
      <c r="CB209" s="53"/>
      <c r="CC209" s="53"/>
      <c r="CD209" s="53"/>
      <c r="CE209" s="53"/>
      <c r="CF209" s="53"/>
      <c r="CG209" s="53"/>
      <c r="CH209" s="53"/>
      <c r="CI209" s="53"/>
      <c r="CJ209" s="53"/>
      <c r="CK209" s="53"/>
    </row>
    <row r="210" customFormat="1" ht="165" spans="1:89">
      <c r="A210" s="53" t="s">
        <v>888</v>
      </c>
      <c r="B210" s="54" t="s">
        <v>889</v>
      </c>
      <c r="C210" s="53" t="s">
        <v>737</v>
      </c>
      <c r="D210" s="53"/>
      <c r="E210" s="32">
        <v>45973</v>
      </c>
      <c r="F210" s="55">
        <v>40</v>
      </c>
      <c r="G210" s="34">
        <f t="shared" si="7"/>
        <v>130</v>
      </c>
      <c r="H210" s="56">
        <v>2.5</v>
      </c>
      <c r="I210" s="56">
        <v>27.4955752212389</v>
      </c>
      <c r="J210" s="56">
        <v>5.8473363826</v>
      </c>
      <c r="K210" s="56">
        <v>51.34</v>
      </c>
      <c r="L210" s="56">
        <v>68.23868</v>
      </c>
      <c r="M210" s="56">
        <v>4.739328</v>
      </c>
      <c r="N210" s="56">
        <v>11.80054757376</v>
      </c>
      <c r="O210" s="35">
        <v>0</v>
      </c>
      <c r="P210" s="56">
        <v>2.83548119469027</v>
      </c>
      <c r="Q210" s="53" t="s">
        <v>93</v>
      </c>
      <c r="R210" s="53" t="s">
        <v>94</v>
      </c>
      <c r="S210" s="35">
        <v>6.8</v>
      </c>
      <c r="T210" s="53" t="s">
        <v>738</v>
      </c>
      <c r="U210" s="53">
        <v>49.72</v>
      </c>
      <c r="V210" s="53">
        <v>3.8599999999999</v>
      </c>
      <c r="W210" s="51" t="s">
        <v>739</v>
      </c>
      <c r="X210" s="56">
        <v>28.8548580304856</v>
      </c>
      <c r="Y210" s="56">
        <v>32.484446467857</v>
      </c>
      <c r="Z210" s="53"/>
      <c r="AA210" s="56">
        <v>154.309431129148</v>
      </c>
      <c r="AB210" s="56">
        <v>28.85</v>
      </c>
      <c r="AC210" s="41">
        <v>0.1</v>
      </c>
      <c r="AD210" s="56">
        <v>23.5380150626937</v>
      </c>
      <c r="AE210" s="56">
        <v>0.140154833424605</v>
      </c>
      <c r="AF210" s="57">
        <v>0.0144534671969124</v>
      </c>
      <c r="AG210" s="57">
        <v>0.0298059760556632</v>
      </c>
      <c r="AH210" s="57">
        <v>0.261698440207972</v>
      </c>
      <c r="AI210" s="44">
        <v>0.1769</v>
      </c>
      <c r="AJ210" s="44">
        <v>0.0336</v>
      </c>
      <c r="AK210" s="45">
        <v>0.0006</v>
      </c>
      <c r="AL210" s="45">
        <v>0</v>
      </c>
      <c r="AM210" s="45">
        <v>0.1125</v>
      </c>
      <c r="AN210" s="57">
        <v>0.0241580589254766</v>
      </c>
      <c r="AO210" s="57">
        <v>0.206129224189371</v>
      </c>
      <c r="AP210" s="53"/>
      <c r="AQ210" s="53"/>
      <c r="AR210" s="53"/>
      <c r="AS210" s="53"/>
      <c r="AT210" s="53"/>
      <c r="AU210" s="53"/>
      <c r="AV210" s="53"/>
      <c r="AW210" s="53"/>
      <c r="AX210" s="53"/>
      <c r="AY210" s="53"/>
      <c r="AZ210" s="53"/>
      <c r="BA210" s="53"/>
      <c r="BB210" s="53"/>
      <c r="BC210" s="53"/>
      <c r="BD210" s="53"/>
      <c r="BE210" s="53"/>
      <c r="BF210" s="53"/>
      <c r="BG210" s="53"/>
      <c r="BH210" s="53"/>
      <c r="BI210" s="53"/>
      <c r="BJ210" s="53"/>
      <c r="BK210" s="53"/>
      <c r="BL210" s="53"/>
      <c r="BM210" s="53"/>
      <c r="BN210" s="53"/>
      <c r="BO210" s="53"/>
      <c r="BP210" s="53"/>
      <c r="BQ210" s="53"/>
      <c r="BR210" s="53"/>
      <c r="BS210" s="53"/>
      <c r="BT210" s="53"/>
      <c r="BU210" s="53"/>
      <c r="BV210" s="53"/>
      <c r="BW210" s="53"/>
      <c r="BX210" s="53"/>
      <c r="BY210" s="53"/>
      <c r="BZ210" s="53"/>
      <c r="CA210" s="53"/>
      <c r="CB210" s="53"/>
      <c r="CC210" s="53"/>
      <c r="CD210" s="53"/>
      <c r="CE210" s="53"/>
      <c r="CF210" s="53"/>
      <c r="CG210" s="53"/>
      <c r="CH210" s="53"/>
      <c r="CI210" s="53"/>
      <c r="CJ210" s="53"/>
      <c r="CK210" s="53"/>
    </row>
    <row r="211" customFormat="1" ht="99" spans="1:89">
      <c r="A211" s="53" t="s">
        <v>890</v>
      </c>
      <c r="B211" s="54" t="s">
        <v>891</v>
      </c>
      <c r="C211" s="53" t="s">
        <v>742</v>
      </c>
      <c r="D211" s="53"/>
      <c r="E211" s="32">
        <v>45973</v>
      </c>
      <c r="F211" s="55">
        <v>35</v>
      </c>
      <c r="G211" s="34">
        <f t="shared" si="7"/>
        <v>125</v>
      </c>
      <c r="H211" s="56">
        <v>0.8</v>
      </c>
      <c r="I211" s="56">
        <v>20.1504424778761</v>
      </c>
      <c r="J211" s="56">
        <v>5.0944860297</v>
      </c>
      <c r="K211" s="56">
        <v>51.34</v>
      </c>
      <c r="L211" s="56">
        <v>68.23868</v>
      </c>
      <c r="M211" s="56">
        <v>4.12896</v>
      </c>
      <c r="N211" s="56">
        <v>10.2807800832</v>
      </c>
      <c r="O211" s="35">
        <v>0</v>
      </c>
      <c r="P211" s="56">
        <v>2.07801438053097</v>
      </c>
      <c r="Q211" s="53" t="s">
        <v>93</v>
      </c>
      <c r="R211" s="53" t="s">
        <v>94</v>
      </c>
      <c r="S211" s="35">
        <v>6.8</v>
      </c>
      <c r="T211" s="53" t="s">
        <v>743</v>
      </c>
      <c r="U211" s="53">
        <v>51.5</v>
      </c>
      <c r="V211" s="53">
        <v>17.04</v>
      </c>
      <c r="W211" s="51" t="s">
        <v>744</v>
      </c>
      <c r="X211" s="56">
        <v>20.4959732006562</v>
      </c>
      <c r="Y211" s="56">
        <v>30.1288485596708</v>
      </c>
      <c r="Z211" s="53"/>
      <c r="AA211" s="56">
        <v>98.5144666666667</v>
      </c>
      <c r="AB211" s="56">
        <v>21.99</v>
      </c>
      <c r="AC211" s="41">
        <v>0.1</v>
      </c>
      <c r="AD211" s="56">
        <v>21.1229698759305</v>
      </c>
      <c r="AE211" s="56">
        <v>0.134756724165236</v>
      </c>
      <c r="AF211" s="57">
        <v>0.01389678717954</v>
      </c>
      <c r="AG211" s="57">
        <v>0.0340695371539202</v>
      </c>
      <c r="AH211" s="57">
        <v>0.343337880854934</v>
      </c>
      <c r="AI211" s="44">
        <v>0.1769</v>
      </c>
      <c r="AJ211" s="44">
        <v>0.0336</v>
      </c>
      <c r="AK211" s="45">
        <v>0.0006</v>
      </c>
      <c r="AL211" s="45">
        <v>0</v>
      </c>
      <c r="AM211" s="45">
        <v>0.1125</v>
      </c>
      <c r="AN211" s="57">
        <v>0.027612551159618</v>
      </c>
      <c r="AO211" s="57">
        <v>0.122726519486752</v>
      </c>
      <c r="AP211" s="53"/>
      <c r="AQ211" s="53"/>
      <c r="AR211" s="53"/>
      <c r="AS211" s="53"/>
      <c r="AT211" s="53"/>
      <c r="AU211" s="53"/>
      <c r="AV211" s="53"/>
      <c r="AW211" s="53"/>
      <c r="AX211" s="53"/>
      <c r="AY211" s="53"/>
      <c r="AZ211" s="53"/>
      <c r="BA211" s="53"/>
      <c r="BB211" s="53"/>
      <c r="BC211" s="53"/>
      <c r="BD211" s="53"/>
      <c r="BE211" s="53"/>
      <c r="BF211" s="53"/>
      <c r="BG211" s="53"/>
      <c r="BH211" s="53"/>
      <c r="BI211" s="53"/>
      <c r="BJ211" s="53"/>
      <c r="BK211" s="53"/>
      <c r="BL211" s="53"/>
      <c r="BM211" s="53"/>
      <c r="BN211" s="53"/>
      <c r="BO211" s="53"/>
      <c r="BP211" s="53"/>
      <c r="BQ211" s="53"/>
      <c r="BR211" s="53"/>
      <c r="BS211" s="53"/>
      <c r="BT211" s="53"/>
      <c r="BU211" s="53"/>
      <c r="BV211" s="53"/>
      <c r="BW211" s="53"/>
      <c r="BX211" s="53"/>
      <c r="BY211" s="53"/>
      <c r="BZ211" s="53"/>
      <c r="CA211" s="53"/>
      <c r="CB211" s="53"/>
      <c r="CC211" s="53"/>
      <c r="CD211" s="53"/>
      <c r="CE211" s="53"/>
      <c r="CF211" s="53"/>
      <c r="CG211" s="53"/>
      <c r="CH211" s="53"/>
      <c r="CI211" s="53"/>
      <c r="CJ211" s="53"/>
      <c r="CK211" s="53"/>
    </row>
    <row r="212" customFormat="1" ht="33" spans="1:89">
      <c r="A212" s="53" t="s">
        <v>892</v>
      </c>
      <c r="B212" s="54" t="s">
        <v>893</v>
      </c>
      <c r="C212" s="53" t="s">
        <v>747</v>
      </c>
      <c r="D212" s="53"/>
      <c r="E212" s="32">
        <v>45973</v>
      </c>
      <c r="F212" s="55">
        <v>35</v>
      </c>
      <c r="G212" s="34">
        <f t="shared" si="7"/>
        <v>125</v>
      </c>
      <c r="H212" s="56">
        <v>0.8</v>
      </c>
      <c r="I212" s="56">
        <v>19.1327433628319</v>
      </c>
      <c r="J212" s="56">
        <v>3.3954268776</v>
      </c>
      <c r="K212" s="56">
        <v>47.124</v>
      </c>
      <c r="L212" s="56">
        <v>66.31428</v>
      </c>
      <c r="M212" s="56">
        <v>2.75195184</v>
      </c>
      <c r="N212" s="56">
        <v>6.8521399254528</v>
      </c>
      <c r="O212" s="35">
        <v>0</v>
      </c>
      <c r="P212" s="56">
        <v>1.97306415929204</v>
      </c>
      <c r="Q212" s="53" t="s">
        <v>93</v>
      </c>
      <c r="R212" s="53" t="s">
        <v>94</v>
      </c>
      <c r="S212" s="35">
        <v>6.8</v>
      </c>
      <c r="T212" s="53" t="s">
        <v>748</v>
      </c>
      <c r="U212" s="53">
        <v>49.19</v>
      </c>
      <c r="V212" s="53">
        <v>10.04</v>
      </c>
      <c r="W212" s="51" t="s">
        <v>749</v>
      </c>
      <c r="X212" s="56">
        <v>19.9900148148148</v>
      </c>
      <c r="Y212" s="56">
        <v>14.9486733593242</v>
      </c>
      <c r="Z212" s="53"/>
      <c r="AA212" s="56">
        <v>33.75</v>
      </c>
      <c r="AB212" s="56">
        <v>19.99</v>
      </c>
      <c r="AC212" s="41">
        <v>0.1</v>
      </c>
      <c r="AD212" s="56">
        <v>18.9760956034729</v>
      </c>
      <c r="AE212" s="56">
        <v>0.140752312647735</v>
      </c>
      <c r="AF212" s="57">
        <v>0.0145150822417976</v>
      </c>
      <c r="AG212" s="57">
        <v>0.0249788635317659</v>
      </c>
      <c r="AH212" s="57">
        <v>0.346673336668334</v>
      </c>
      <c r="AI212" s="44">
        <v>0.1769</v>
      </c>
      <c r="AJ212" s="44">
        <v>0.0336</v>
      </c>
      <c r="AK212" s="45">
        <v>0.0006</v>
      </c>
      <c r="AL212" s="45">
        <v>0</v>
      </c>
      <c r="AM212" s="45">
        <v>0.1125</v>
      </c>
      <c r="AN212" s="57">
        <v>0.0202450625312656</v>
      </c>
      <c r="AO212" s="57">
        <v>0.129235342379102</v>
      </c>
      <c r="AP212" s="53"/>
      <c r="AQ212" s="53"/>
      <c r="AR212" s="53"/>
      <c r="AS212" s="53"/>
      <c r="AT212" s="53"/>
      <c r="AU212" s="53"/>
      <c r="AV212" s="53"/>
      <c r="AW212" s="53"/>
      <c r="AX212" s="53"/>
      <c r="AY212" s="53"/>
      <c r="AZ212" s="53"/>
      <c r="BA212" s="53"/>
      <c r="BB212" s="53"/>
      <c r="BC212" s="53"/>
      <c r="BD212" s="53"/>
      <c r="BE212" s="53"/>
      <c r="BF212" s="53"/>
      <c r="BG212" s="53"/>
      <c r="BH212" s="53"/>
      <c r="BI212" s="53"/>
      <c r="BJ212" s="53"/>
      <c r="BK212" s="53"/>
      <c r="BL212" s="53"/>
      <c r="BM212" s="53"/>
      <c r="BN212" s="53"/>
      <c r="BO212" s="53"/>
      <c r="BP212" s="53"/>
      <c r="BQ212" s="53"/>
      <c r="BR212" s="53"/>
      <c r="BS212" s="53"/>
      <c r="BT212" s="53"/>
      <c r="BU212" s="53"/>
      <c r="BV212" s="53"/>
      <c r="BW212" s="53"/>
      <c r="BX212" s="53"/>
      <c r="BY212" s="53"/>
      <c r="BZ212" s="53"/>
      <c r="CA212" s="53"/>
      <c r="CB212" s="53"/>
      <c r="CC212" s="53"/>
      <c r="CD212" s="53"/>
      <c r="CE212" s="53"/>
      <c r="CF212" s="53"/>
      <c r="CG212" s="53"/>
      <c r="CH212" s="53"/>
      <c r="CI212" s="53"/>
      <c r="CJ212" s="53"/>
      <c r="CK212" s="53"/>
    </row>
    <row r="213" customFormat="1" ht="99" spans="1:89">
      <c r="A213" s="53" t="s">
        <v>894</v>
      </c>
      <c r="B213" s="54" t="s">
        <v>895</v>
      </c>
      <c r="C213" s="53" t="s">
        <v>752</v>
      </c>
      <c r="D213" s="53"/>
      <c r="E213" s="32">
        <v>45973</v>
      </c>
      <c r="F213" s="55">
        <v>35</v>
      </c>
      <c r="G213" s="34">
        <f t="shared" si="7"/>
        <v>125</v>
      </c>
      <c r="H213" s="56">
        <v>1.3</v>
      </c>
      <c r="I213" s="56">
        <v>17.283185840708</v>
      </c>
      <c r="J213" s="56">
        <v>3.3954268776</v>
      </c>
      <c r="K213" s="56">
        <v>47.124</v>
      </c>
      <c r="L213" s="56">
        <v>66.31428</v>
      </c>
      <c r="M213" s="56">
        <v>2.75195184</v>
      </c>
      <c r="N213" s="56">
        <v>6.8521399254528</v>
      </c>
      <c r="O213" s="35">
        <v>0</v>
      </c>
      <c r="P213" s="56">
        <v>1.78232853982301</v>
      </c>
      <c r="Q213" s="53" t="s">
        <v>93</v>
      </c>
      <c r="R213" s="53" t="s">
        <v>94</v>
      </c>
      <c r="S213" s="35">
        <v>6.8</v>
      </c>
      <c r="T213" s="53" t="s">
        <v>753</v>
      </c>
      <c r="U213" s="53">
        <v>17.82</v>
      </c>
      <c r="V213" s="53">
        <v>5.88000000000011</v>
      </c>
      <c r="W213" s="51" t="s">
        <v>754</v>
      </c>
      <c r="X213" s="56">
        <v>25.2254112812172</v>
      </c>
      <c r="Y213" s="56">
        <v>56.4741816940919</v>
      </c>
      <c r="Z213" s="53"/>
      <c r="AA213" s="56">
        <v>162.371960901073</v>
      </c>
      <c r="AB213" s="56">
        <v>25.23</v>
      </c>
      <c r="AC213" s="41">
        <v>0.1</v>
      </c>
      <c r="AD213" s="56">
        <v>18.4555489187786</v>
      </c>
      <c r="AE213" s="56">
        <v>0.100739000260591</v>
      </c>
      <c r="AF213" s="57">
        <v>0.0103887094018734</v>
      </c>
      <c r="AG213" s="57">
        <v>0.0197910218787158</v>
      </c>
      <c r="AH213" s="57">
        <v>0.274673008323425</v>
      </c>
      <c r="AI213" s="44">
        <v>0.1769</v>
      </c>
      <c r="AJ213" s="44">
        <v>0.0336</v>
      </c>
      <c r="AK213" s="45">
        <v>0.0006</v>
      </c>
      <c r="AL213" s="45">
        <v>0</v>
      </c>
      <c r="AM213" s="45">
        <v>0.1125</v>
      </c>
      <c r="AN213" s="57">
        <v>0.0160403804994055</v>
      </c>
      <c r="AO213" s="57">
        <v>0.25476787963599</v>
      </c>
      <c r="AP213" s="53"/>
      <c r="AQ213" s="53"/>
      <c r="AR213" s="53"/>
      <c r="AS213" s="53"/>
      <c r="AT213" s="53"/>
      <c r="AU213" s="53"/>
      <c r="AV213" s="53"/>
      <c r="AW213" s="53"/>
      <c r="AX213" s="53"/>
      <c r="AY213" s="53"/>
      <c r="AZ213" s="53"/>
      <c r="BA213" s="53"/>
      <c r="BB213" s="53"/>
      <c r="BC213" s="53"/>
      <c r="BD213" s="53"/>
      <c r="BE213" s="53"/>
      <c r="BF213" s="53"/>
      <c r="BG213" s="53"/>
      <c r="BH213" s="53"/>
      <c r="BI213" s="53"/>
      <c r="BJ213" s="53"/>
      <c r="BK213" s="53"/>
      <c r="BL213" s="53"/>
      <c r="BM213" s="53"/>
      <c r="BN213" s="53"/>
      <c r="BO213" s="53"/>
      <c r="BP213" s="53"/>
      <c r="BQ213" s="53"/>
      <c r="BR213" s="53"/>
      <c r="BS213" s="53"/>
      <c r="BT213" s="53"/>
      <c r="BU213" s="53"/>
      <c r="BV213" s="53"/>
      <c r="BW213" s="53"/>
      <c r="BX213" s="53"/>
      <c r="BY213" s="53"/>
      <c r="BZ213" s="53"/>
      <c r="CA213" s="53"/>
      <c r="CB213" s="53"/>
      <c r="CC213" s="53"/>
      <c r="CD213" s="53"/>
      <c r="CE213" s="53"/>
      <c r="CF213" s="53"/>
      <c r="CG213" s="53"/>
      <c r="CH213" s="53"/>
      <c r="CI213" s="53"/>
      <c r="CJ213" s="53"/>
      <c r="CK213" s="53"/>
    </row>
    <row r="214" customFormat="1" ht="33" spans="1:89">
      <c r="A214" s="53" t="s">
        <v>896</v>
      </c>
      <c r="B214" s="54" t="s">
        <v>897</v>
      </c>
      <c r="C214" s="53" t="s">
        <v>757</v>
      </c>
      <c r="D214" s="53"/>
      <c r="E214" s="32">
        <v>45973</v>
      </c>
      <c r="F214" s="55">
        <v>35</v>
      </c>
      <c r="G214" s="34">
        <f t="shared" si="7"/>
        <v>125</v>
      </c>
      <c r="H214" s="56">
        <v>1.3</v>
      </c>
      <c r="I214" s="56">
        <v>25.9380530973451</v>
      </c>
      <c r="J214" s="56">
        <v>5.2143493426</v>
      </c>
      <c r="K214" s="56">
        <v>51.34</v>
      </c>
      <c r="L214" s="56">
        <v>68.23868</v>
      </c>
      <c r="M214" s="56">
        <v>4.226013</v>
      </c>
      <c r="N214" s="56">
        <v>10.52243428896</v>
      </c>
      <c r="O214" s="35">
        <v>0</v>
      </c>
      <c r="P214" s="56">
        <v>2.67486172566372</v>
      </c>
      <c r="Q214" s="53" t="s">
        <v>93</v>
      </c>
      <c r="R214" s="53" t="s">
        <v>94</v>
      </c>
      <c r="S214" s="35">
        <v>6.8</v>
      </c>
      <c r="T214" s="53" t="s">
        <v>758</v>
      </c>
      <c r="U214" s="53">
        <v>19</v>
      </c>
      <c r="V214" s="53">
        <v>5.56999999999994</v>
      </c>
      <c r="W214" s="51" t="s">
        <v>759</v>
      </c>
      <c r="X214" s="56">
        <v>23.9899458932133</v>
      </c>
      <c r="Y214" s="56">
        <v>25.2962329575953</v>
      </c>
      <c r="Z214" s="53"/>
      <c r="AA214" s="56">
        <v>57.6083</v>
      </c>
      <c r="AB214" s="56">
        <v>23.99</v>
      </c>
      <c r="AC214" s="41">
        <v>0.1</v>
      </c>
      <c r="AD214" s="56">
        <v>22.8072001585931</v>
      </c>
      <c r="AE214" s="56">
        <v>0.159000399047061</v>
      </c>
      <c r="AF214" s="57">
        <v>0.0163969161517282</v>
      </c>
      <c r="AG214" s="57">
        <v>0.0319639883198882</v>
      </c>
      <c r="AH214" s="57">
        <v>0.31471446436015</v>
      </c>
      <c r="AI214" s="44">
        <v>0.1769</v>
      </c>
      <c r="AJ214" s="44">
        <v>0.0336</v>
      </c>
      <c r="AK214" s="45">
        <v>0.0006</v>
      </c>
      <c r="AL214" s="45">
        <v>0</v>
      </c>
      <c r="AM214" s="45">
        <v>0.1125</v>
      </c>
      <c r="AN214" s="57">
        <v>0.0259054814506044</v>
      </c>
      <c r="AO214" s="57">
        <v>0.128418750670568</v>
      </c>
      <c r="AP214" s="53"/>
      <c r="AQ214" s="53"/>
      <c r="AR214" s="53"/>
      <c r="AS214" s="53"/>
      <c r="AT214" s="53"/>
      <c r="AU214" s="53"/>
      <c r="AV214" s="53"/>
      <c r="AW214" s="53"/>
      <c r="AX214" s="53"/>
      <c r="AY214" s="53"/>
      <c r="AZ214" s="53"/>
      <c r="BA214" s="53"/>
      <c r="BB214" s="53"/>
      <c r="BC214" s="53"/>
      <c r="BD214" s="53"/>
      <c r="BE214" s="53"/>
      <c r="BF214" s="53"/>
      <c r="BG214" s="53"/>
      <c r="BH214" s="53"/>
      <c r="BI214" s="53"/>
      <c r="BJ214" s="53"/>
      <c r="BK214" s="53"/>
      <c r="BL214" s="53"/>
      <c r="BM214" s="53"/>
      <c r="BN214" s="53"/>
      <c r="BO214" s="53"/>
      <c r="BP214" s="53"/>
      <c r="BQ214" s="53"/>
      <c r="BR214" s="53"/>
      <c r="BS214" s="53"/>
      <c r="BT214" s="53"/>
      <c r="BU214" s="53"/>
      <c r="BV214" s="53"/>
      <c r="BW214" s="53"/>
      <c r="BX214" s="53"/>
      <c r="BY214" s="53"/>
      <c r="BZ214" s="53"/>
      <c r="CA214" s="53"/>
      <c r="CB214" s="53"/>
      <c r="CC214" s="53"/>
      <c r="CD214" s="53"/>
      <c r="CE214" s="53"/>
      <c r="CF214" s="53"/>
      <c r="CG214" s="53"/>
      <c r="CH214" s="53"/>
      <c r="CI214" s="53"/>
      <c r="CJ214" s="53"/>
      <c r="CK214" s="53"/>
    </row>
    <row r="215" customFormat="1" ht="165" spans="1:89">
      <c r="A215" s="53" t="s">
        <v>898</v>
      </c>
      <c r="B215" s="54" t="s">
        <v>899</v>
      </c>
      <c r="C215" s="53" t="s">
        <v>762</v>
      </c>
      <c r="D215" s="53"/>
      <c r="E215" s="32">
        <v>45973</v>
      </c>
      <c r="F215" s="55">
        <v>35</v>
      </c>
      <c r="G215" s="34">
        <f t="shared" si="7"/>
        <v>125</v>
      </c>
      <c r="H215" s="56">
        <v>0.8</v>
      </c>
      <c r="I215" s="56">
        <v>25.3893805309735</v>
      </c>
      <c r="J215" s="56">
        <v>5.0183386646</v>
      </c>
      <c r="K215" s="56">
        <v>51.34</v>
      </c>
      <c r="L215" s="56">
        <v>66.31428</v>
      </c>
      <c r="M215" s="56">
        <v>4.06725</v>
      </c>
      <c r="N215" s="56">
        <v>10.12712712</v>
      </c>
      <c r="O215" s="35">
        <v>0</v>
      </c>
      <c r="P215" s="56">
        <v>2.61827986725664</v>
      </c>
      <c r="Q215" s="53" t="s">
        <v>93</v>
      </c>
      <c r="R215" s="53" t="s">
        <v>94</v>
      </c>
      <c r="S215" s="35">
        <v>6.8</v>
      </c>
      <c r="T215" s="53" t="s">
        <v>763</v>
      </c>
      <c r="U215" s="53">
        <v>123.32</v>
      </c>
      <c r="V215" s="53">
        <v>3.20000000000005</v>
      </c>
      <c r="W215" s="51" t="s">
        <v>764</v>
      </c>
      <c r="X215" s="56">
        <v>23.2945595277094</v>
      </c>
      <c r="Y215" s="56">
        <v>15.9522855378009</v>
      </c>
      <c r="Z215" s="53"/>
      <c r="AA215" s="56">
        <v>113.62659778022</v>
      </c>
      <c r="AB215" s="56">
        <v>23.99</v>
      </c>
      <c r="AC215" s="41">
        <v>0.1</v>
      </c>
      <c r="AD215" s="56">
        <v>22.5622650382777</v>
      </c>
      <c r="AE215" s="56">
        <v>0.155637033389975</v>
      </c>
      <c r="AF215" s="57">
        <v>0.0160500690683412</v>
      </c>
      <c r="AG215" s="57">
        <v>0.0307624418544492</v>
      </c>
      <c r="AH215" s="57">
        <v>0.31471446436015</v>
      </c>
      <c r="AI215" s="44">
        <v>0.1769</v>
      </c>
      <c r="AJ215" s="44">
        <v>0.0336</v>
      </c>
      <c r="AK215" s="45">
        <v>0.0006</v>
      </c>
      <c r="AL215" s="45">
        <v>0</v>
      </c>
      <c r="AM215" s="45">
        <v>0.1125</v>
      </c>
      <c r="AN215" s="57">
        <v>0.0249322634431013</v>
      </c>
      <c r="AO215" s="57">
        <v>0.134303727883983</v>
      </c>
      <c r="AP215" s="53"/>
      <c r="AQ215" s="53"/>
      <c r="AR215" s="53"/>
      <c r="AS215" s="53"/>
      <c r="AT215" s="53"/>
      <c r="AU215" s="53"/>
      <c r="AV215" s="53"/>
      <c r="AW215" s="53"/>
      <c r="AX215" s="53"/>
      <c r="AY215" s="53"/>
      <c r="AZ215" s="53"/>
      <c r="BA215" s="53"/>
      <c r="BB215" s="53"/>
      <c r="BC215" s="53"/>
      <c r="BD215" s="53"/>
      <c r="BE215" s="53"/>
      <c r="BF215" s="53"/>
      <c r="BG215" s="53"/>
      <c r="BH215" s="53"/>
      <c r="BI215" s="53"/>
      <c r="BJ215" s="53"/>
      <c r="BK215" s="53"/>
      <c r="BL215" s="53"/>
      <c r="BM215" s="53"/>
      <c r="BN215" s="53"/>
      <c r="BO215" s="53"/>
      <c r="BP215" s="53"/>
      <c r="BQ215" s="53"/>
      <c r="BR215" s="53"/>
      <c r="BS215" s="53"/>
      <c r="BT215" s="53"/>
      <c r="BU215" s="53"/>
      <c r="BV215" s="53"/>
      <c r="BW215" s="53"/>
      <c r="BX215" s="53"/>
      <c r="BY215" s="53"/>
      <c r="BZ215" s="53"/>
      <c r="CA215" s="53"/>
      <c r="CB215" s="53"/>
      <c r="CC215" s="53"/>
      <c r="CD215" s="53"/>
      <c r="CE215" s="53"/>
      <c r="CF215" s="53"/>
      <c r="CG215" s="53"/>
      <c r="CH215" s="53"/>
      <c r="CI215" s="53"/>
      <c r="CJ215" s="53"/>
      <c r="CK215" s="53"/>
    </row>
    <row r="216" customFormat="1" ht="66" spans="1:89">
      <c r="A216" s="53" t="s">
        <v>900</v>
      </c>
      <c r="B216" s="54" t="s">
        <v>901</v>
      </c>
      <c r="C216" s="53" t="s">
        <v>767</v>
      </c>
      <c r="D216" s="53"/>
      <c r="E216" s="32">
        <v>45973</v>
      </c>
      <c r="F216" s="55">
        <v>35</v>
      </c>
      <c r="G216" s="34">
        <f t="shared" si="7"/>
        <v>125</v>
      </c>
      <c r="H216" s="56">
        <v>1.3</v>
      </c>
      <c r="I216" s="56">
        <v>23.8849557522124</v>
      </c>
      <c r="J216" s="56">
        <v>6.2816819503</v>
      </c>
      <c r="K216" s="56">
        <v>53.516</v>
      </c>
      <c r="L216" s="56">
        <v>68.23868</v>
      </c>
      <c r="M216" s="56">
        <v>5.091075</v>
      </c>
      <c r="N216" s="56">
        <v>12.676369464</v>
      </c>
      <c r="O216" s="35">
        <v>0</v>
      </c>
      <c r="P216" s="56">
        <v>2.4631360619469</v>
      </c>
      <c r="Q216" s="53" t="s">
        <v>93</v>
      </c>
      <c r="R216" s="53" t="s">
        <v>94</v>
      </c>
      <c r="S216" s="35">
        <v>6.8</v>
      </c>
      <c r="T216" s="53" t="s">
        <v>768</v>
      </c>
      <c r="U216" s="53">
        <v>45.49</v>
      </c>
      <c r="V216" s="53">
        <v>11.54</v>
      </c>
      <c r="W216" s="51" t="s">
        <v>769</v>
      </c>
      <c r="X216" s="56">
        <v>24.239802983789</v>
      </c>
      <c r="Y216" s="56">
        <v>29.4318064638448</v>
      </c>
      <c r="Z216" s="53"/>
      <c r="AA216" s="56">
        <v>69.2590854285714</v>
      </c>
      <c r="AB216" s="56">
        <v>24.239802983789</v>
      </c>
      <c r="AC216" s="41">
        <v>0.1</v>
      </c>
      <c r="AD216" s="56">
        <v>23.2775566305209</v>
      </c>
      <c r="AE216" s="56">
        <v>0.144906024827078</v>
      </c>
      <c r="AF216" s="57">
        <v>0.0149434338102924</v>
      </c>
      <c r="AG216" s="57">
        <v>0.0381099119499799</v>
      </c>
      <c r="AH216" s="57">
        <v>0.324672605848458</v>
      </c>
      <c r="AI216" s="44">
        <v>0.1769</v>
      </c>
      <c r="AJ216" s="44">
        <v>0.0336</v>
      </c>
      <c r="AK216" s="45">
        <v>0.0006</v>
      </c>
      <c r="AL216" s="45">
        <v>0</v>
      </c>
      <c r="AM216" s="45">
        <v>0.1125</v>
      </c>
      <c r="AN216" s="57">
        <v>0.0308866990585981</v>
      </c>
      <c r="AO216" s="57">
        <v>0.122881324505594</v>
      </c>
      <c r="AP216" s="53"/>
      <c r="AQ216" s="53"/>
      <c r="AR216" s="53"/>
      <c r="AS216" s="53"/>
      <c r="AT216" s="53"/>
      <c r="AU216" s="53"/>
      <c r="AV216" s="53"/>
      <c r="AW216" s="53"/>
      <c r="AX216" s="53"/>
      <c r="AY216" s="53"/>
      <c r="AZ216" s="53"/>
      <c r="BA216" s="53"/>
      <c r="BB216" s="53"/>
      <c r="BC216" s="53"/>
      <c r="BD216" s="53"/>
      <c r="BE216" s="53"/>
      <c r="BF216" s="53"/>
      <c r="BG216" s="53"/>
      <c r="BH216" s="53"/>
      <c r="BI216" s="53"/>
      <c r="BJ216" s="53"/>
      <c r="BK216" s="53"/>
      <c r="BL216" s="53"/>
      <c r="BM216" s="53"/>
      <c r="BN216" s="53"/>
      <c r="BO216" s="53"/>
      <c r="BP216" s="53"/>
      <c r="BQ216" s="53"/>
      <c r="BR216" s="53"/>
      <c r="BS216" s="53"/>
      <c r="BT216" s="53"/>
      <c r="BU216" s="53"/>
      <c r="BV216" s="53"/>
      <c r="BW216" s="53"/>
      <c r="BX216" s="53"/>
      <c r="BY216" s="53"/>
      <c r="BZ216" s="53"/>
      <c r="CA216" s="53"/>
      <c r="CB216" s="53"/>
      <c r="CC216" s="53"/>
      <c r="CD216" s="53"/>
      <c r="CE216" s="53"/>
      <c r="CF216" s="53"/>
      <c r="CG216" s="53"/>
      <c r="CH216" s="53"/>
      <c r="CI216" s="53"/>
      <c r="CJ216" s="53"/>
      <c r="CK216" s="53"/>
    </row>
    <row r="217" customFormat="1" ht="33" spans="1:89">
      <c r="A217" s="53" t="s">
        <v>902</v>
      </c>
      <c r="B217" s="54" t="s">
        <v>903</v>
      </c>
      <c r="C217" s="53" t="s">
        <v>772</v>
      </c>
      <c r="D217" s="53"/>
      <c r="E217" s="32">
        <v>45973</v>
      </c>
      <c r="F217" s="55">
        <v>35</v>
      </c>
      <c r="G217" s="34">
        <f t="shared" si="7"/>
        <v>125</v>
      </c>
      <c r="H217" s="56">
        <v>1.8</v>
      </c>
      <c r="I217" s="56">
        <v>20.0796460176991</v>
      </c>
      <c r="J217" s="56">
        <v>4.0226579156</v>
      </c>
      <c r="K217" s="56">
        <v>47.124</v>
      </c>
      <c r="L217" s="56">
        <v>66.31428</v>
      </c>
      <c r="M217" s="56">
        <v>3.26039175</v>
      </c>
      <c r="N217" s="56">
        <v>8.11811462616</v>
      </c>
      <c r="O217" s="35">
        <v>0</v>
      </c>
      <c r="P217" s="56">
        <v>2.07071349557522</v>
      </c>
      <c r="Q217" s="53" t="s">
        <v>93</v>
      </c>
      <c r="R217" s="53" t="s">
        <v>94</v>
      </c>
      <c r="S217" s="35">
        <v>6.8</v>
      </c>
      <c r="T217" s="53" t="s">
        <v>773</v>
      </c>
      <c r="U217" s="53">
        <v>19.74</v>
      </c>
      <c r="V217" s="53">
        <v>6.98000000000002</v>
      </c>
      <c r="W217" s="51" t="s">
        <v>774</v>
      </c>
      <c r="X217" s="56">
        <v>25.9100138412102</v>
      </c>
      <c r="Y217" s="56">
        <v>35.7782251851852</v>
      </c>
      <c r="Z217" s="53"/>
      <c r="AA217" s="56">
        <v>82.0015</v>
      </c>
      <c r="AB217" s="56">
        <v>25.91</v>
      </c>
      <c r="AC217" s="41">
        <v>0.1</v>
      </c>
      <c r="AD217" s="56">
        <v>19.5323430366153</v>
      </c>
      <c r="AE217" s="56">
        <v>0.113967160179462</v>
      </c>
      <c r="AF217" s="57">
        <v>0.0117528633935071</v>
      </c>
      <c r="AG217" s="57">
        <v>0.0228316225599927</v>
      </c>
      <c r="AH217" s="57">
        <v>0.267464299498263</v>
      </c>
      <c r="AI217" s="44">
        <v>0.1769</v>
      </c>
      <c r="AJ217" s="44">
        <v>0.0336</v>
      </c>
      <c r="AK217" s="45">
        <v>0.0006</v>
      </c>
      <c r="AL217" s="45">
        <v>0</v>
      </c>
      <c r="AM217" s="45">
        <v>0.1125</v>
      </c>
      <c r="AN217" s="57">
        <v>0.0185051862215361</v>
      </c>
      <c r="AO217" s="57">
        <v>0.241878868147239</v>
      </c>
      <c r="AP217" s="53"/>
      <c r="AQ217" s="53"/>
      <c r="AR217" s="53"/>
      <c r="AS217" s="53"/>
      <c r="AT217" s="53"/>
      <c r="AU217" s="53"/>
      <c r="AV217" s="53"/>
      <c r="AW217" s="53"/>
      <c r="AX217" s="53"/>
      <c r="AY217" s="53"/>
      <c r="AZ217" s="53"/>
      <c r="BA217" s="53"/>
      <c r="BB217" s="53"/>
      <c r="BC217" s="53"/>
      <c r="BD217" s="53"/>
      <c r="BE217" s="53"/>
      <c r="BF217" s="53"/>
      <c r="BG217" s="53"/>
      <c r="BH217" s="53"/>
      <c r="BI217" s="53"/>
      <c r="BJ217" s="53"/>
      <c r="BK217" s="53"/>
      <c r="BL217" s="53"/>
      <c r="BM217" s="53"/>
      <c r="BN217" s="53"/>
      <c r="BO217" s="53"/>
      <c r="BP217" s="53"/>
      <c r="BQ217" s="53"/>
      <c r="BR217" s="53"/>
      <c r="BS217" s="53"/>
      <c r="BT217" s="53"/>
      <c r="BU217" s="53"/>
      <c r="BV217" s="53"/>
      <c r="BW217" s="53"/>
      <c r="BX217" s="53"/>
      <c r="BY217" s="53"/>
      <c r="BZ217" s="53"/>
      <c r="CA217" s="53"/>
      <c r="CB217" s="53"/>
      <c r="CC217" s="53"/>
      <c r="CD217" s="53"/>
      <c r="CE217" s="53"/>
      <c r="CF217" s="53"/>
      <c r="CG217" s="53"/>
      <c r="CH217" s="53"/>
      <c r="CI217" s="53"/>
      <c r="CJ217" s="53"/>
      <c r="CK217" s="53"/>
    </row>
    <row r="218" customFormat="1" ht="66" spans="1:89">
      <c r="A218" s="53" t="s">
        <v>904</v>
      </c>
      <c r="B218" s="54" t="s">
        <v>905</v>
      </c>
      <c r="C218" s="53" t="s">
        <v>777</v>
      </c>
      <c r="D218" s="53"/>
      <c r="E218" s="32">
        <v>45973</v>
      </c>
      <c r="F218" s="55">
        <v>35</v>
      </c>
      <c r="G218" s="34">
        <f t="shared" si="7"/>
        <v>125</v>
      </c>
      <c r="H218" s="56">
        <v>1.3</v>
      </c>
      <c r="I218" s="56">
        <v>24.0619469026549</v>
      </c>
      <c r="J218" s="56">
        <v>5.3989446932</v>
      </c>
      <c r="K218" s="56">
        <v>51.34</v>
      </c>
      <c r="L218" s="56">
        <v>68.23868</v>
      </c>
      <c r="M218" s="56">
        <v>4.3758</v>
      </c>
      <c r="N218" s="56">
        <v>10.895391936</v>
      </c>
      <c r="O218" s="35">
        <v>0</v>
      </c>
      <c r="P218" s="56">
        <v>2.48138827433628</v>
      </c>
      <c r="Q218" s="53" t="s">
        <v>93</v>
      </c>
      <c r="R218" s="53" t="s">
        <v>94</v>
      </c>
      <c r="S218" s="35">
        <v>6.8</v>
      </c>
      <c r="T218" s="53" t="s">
        <v>778</v>
      </c>
      <c r="U218" s="53">
        <v>14.79</v>
      </c>
      <c r="V218" s="53">
        <v>3.41000000000008</v>
      </c>
      <c r="W218" s="51" t="s">
        <v>779</v>
      </c>
      <c r="X218" s="56">
        <v>27.5153435077812</v>
      </c>
      <c r="Y218" s="56">
        <v>33.3981560703263</v>
      </c>
      <c r="Z218" s="53"/>
      <c r="AA218" s="56">
        <v>76.696224</v>
      </c>
      <c r="AB218" s="56">
        <v>27.52</v>
      </c>
      <c r="AC218" s="41">
        <v>0.1</v>
      </c>
      <c r="AD218" s="56">
        <v>22.3644935783441</v>
      </c>
      <c r="AE218" s="56">
        <v>0.128580000121061</v>
      </c>
      <c r="AF218" s="57">
        <v>0.0132598125124844</v>
      </c>
      <c r="AG218" s="57">
        <v>0.0288503799012483</v>
      </c>
      <c r="AH218" s="57">
        <v>0.274345930232558</v>
      </c>
      <c r="AI218" s="44">
        <v>0.1769</v>
      </c>
      <c r="AJ218" s="44">
        <v>0.0336</v>
      </c>
      <c r="AK218" s="45">
        <v>0.0006</v>
      </c>
      <c r="AL218" s="45">
        <v>0</v>
      </c>
      <c r="AM218" s="45">
        <v>0.1125</v>
      </c>
      <c r="AN218" s="57">
        <v>0.0233829941860465</v>
      </c>
      <c r="AO218" s="57">
        <v>0.207980883046602</v>
      </c>
      <c r="AP218" s="53"/>
      <c r="AQ218" s="53"/>
      <c r="AR218" s="53"/>
      <c r="AS218" s="53"/>
      <c r="AT218" s="53"/>
      <c r="AU218" s="53"/>
      <c r="AV218" s="53"/>
      <c r="AW218" s="53"/>
      <c r="AX218" s="53"/>
      <c r="AY218" s="53"/>
      <c r="AZ218" s="53"/>
      <c r="BA218" s="53"/>
      <c r="BB218" s="53"/>
      <c r="BC218" s="53"/>
      <c r="BD218" s="53"/>
      <c r="BE218" s="53"/>
      <c r="BF218" s="53"/>
      <c r="BG218" s="53"/>
      <c r="BH218" s="53"/>
      <c r="BI218" s="53"/>
      <c r="BJ218" s="53"/>
      <c r="BK218" s="53"/>
      <c r="BL218" s="53"/>
      <c r="BM218" s="53"/>
      <c r="BN218" s="53"/>
      <c r="BO218" s="53"/>
      <c r="BP218" s="53"/>
      <c r="BQ218" s="53"/>
      <c r="BR218" s="53"/>
      <c r="BS218" s="53"/>
      <c r="BT218" s="53"/>
      <c r="BU218" s="53"/>
      <c r="BV218" s="53"/>
      <c r="BW218" s="53"/>
      <c r="BX218" s="53"/>
      <c r="BY218" s="53"/>
      <c r="BZ218" s="53"/>
      <c r="CA218" s="53"/>
      <c r="CB218" s="53"/>
      <c r="CC218" s="53"/>
      <c r="CD218" s="53"/>
      <c r="CE218" s="53"/>
      <c r="CF218" s="53"/>
      <c r="CG218" s="53"/>
      <c r="CH218" s="53"/>
      <c r="CI218" s="53"/>
      <c r="CJ218" s="53"/>
      <c r="CK218" s="53"/>
    </row>
    <row r="219" customFormat="1" ht="33" spans="1:89">
      <c r="A219" s="53" t="s">
        <v>906</v>
      </c>
      <c r="B219" s="54" t="s">
        <v>907</v>
      </c>
      <c r="C219" s="53" t="s">
        <v>782</v>
      </c>
      <c r="D219" s="53"/>
      <c r="E219" s="32">
        <v>45973</v>
      </c>
      <c r="F219" s="55">
        <v>40</v>
      </c>
      <c r="G219" s="34">
        <f t="shared" si="7"/>
        <v>130</v>
      </c>
      <c r="H219" s="56">
        <v>2.5</v>
      </c>
      <c r="I219" s="56">
        <v>23.2389380530973</v>
      </c>
      <c r="J219" s="56">
        <v>4.1199089861</v>
      </c>
      <c r="K219" s="56">
        <v>47.124</v>
      </c>
      <c r="L219" s="56">
        <v>66.31428</v>
      </c>
      <c r="M219" s="56">
        <v>3.339072</v>
      </c>
      <c r="N219" s="56">
        <v>8.31402215424</v>
      </c>
      <c r="O219" s="35">
        <v>0</v>
      </c>
      <c r="P219" s="56">
        <v>2.39651548672566</v>
      </c>
      <c r="Q219" s="53" t="s">
        <v>93</v>
      </c>
      <c r="R219" s="53" t="s">
        <v>94</v>
      </c>
      <c r="S219" s="35">
        <v>6.8</v>
      </c>
      <c r="T219" s="53" t="s">
        <v>783</v>
      </c>
      <c r="U219" s="53">
        <v>70.77</v>
      </c>
      <c r="V219" s="53">
        <v>2.15000000000009</v>
      </c>
      <c r="W219" s="51" t="s">
        <v>784</v>
      </c>
      <c r="X219" s="56">
        <v>29.9</v>
      </c>
      <c r="Y219" s="56">
        <v>86.8105576841209</v>
      </c>
      <c r="Z219" s="53"/>
      <c r="AA219" s="56">
        <v>200</v>
      </c>
      <c r="AB219" s="56">
        <v>29.9</v>
      </c>
      <c r="AC219" s="41">
        <v>0.1</v>
      </c>
      <c r="AD219" s="56">
        <v>20.4663924475249</v>
      </c>
      <c r="AE219" s="56">
        <v>0.114297354185999</v>
      </c>
      <c r="AF219" s="57">
        <v>0.0117869146504312</v>
      </c>
      <c r="AG219" s="57">
        <v>0.0202631762054889</v>
      </c>
      <c r="AH219" s="57">
        <v>0.231772575250836</v>
      </c>
      <c r="AI219" s="44">
        <v>0.1769</v>
      </c>
      <c r="AJ219" s="44">
        <v>0.0336</v>
      </c>
      <c r="AK219" s="45">
        <v>0.0006</v>
      </c>
      <c r="AL219" s="45">
        <v>0</v>
      </c>
      <c r="AM219" s="45">
        <v>0.1125</v>
      </c>
      <c r="AN219" s="57">
        <v>0.0164227424749164</v>
      </c>
      <c r="AO219" s="57">
        <v>0.281857237232328</v>
      </c>
      <c r="AP219" s="53"/>
      <c r="AQ219" s="53"/>
      <c r="AR219" s="53"/>
      <c r="AS219" s="53"/>
      <c r="AT219" s="53"/>
      <c r="AU219" s="53"/>
      <c r="AV219" s="53"/>
      <c r="AW219" s="53"/>
      <c r="AX219" s="53"/>
      <c r="AY219" s="53"/>
      <c r="AZ219" s="53"/>
      <c r="BA219" s="53"/>
      <c r="BB219" s="53"/>
      <c r="BC219" s="53"/>
      <c r="BD219" s="53"/>
      <c r="BE219" s="53"/>
      <c r="BF219" s="53"/>
      <c r="BG219" s="53"/>
      <c r="BH219" s="53"/>
      <c r="BI219" s="53"/>
      <c r="BJ219" s="53"/>
      <c r="BK219" s="53"/>
      <c r="BL219" s="53"/>
      <c r="BM219" s="53"/>
      <c r="BN219" s="53"/>
      <c r="BO219" s="53"/>
      <c r="BP219" s="53"/>
      <c r="BQ219" s="53"/>
      <c r="BR219" s="53"/>
      <c r="BS219" s="53"/>
      <c r="BT219" s="53"/>
      <c r="BU219" s="53"/>
      <c r="BV219" s="53"/>
      <c r="BW219" s="53"/>
      <c r="BX219" s="53"/>
      <c r="BY219" s="53"/>
      <c r="BZ219" s="53"/>
      <c r="CA219" s="53"/>
      <c r="CB219" s="53"/>
      <c r="CC219" s="53"/>
      <c r="CD219" s="53"/>
      <c r="CE219" s="53"/>
      <c r="CF219" s="53"/>
      <c r="CG219" s="53"/>
      <c r="CH219" s="53"/>
      <c r="CI219" s="53"/>
      <c r="CJ219" s="53"/>
      <c r="CK219" s="53"/>
    </row>
    <row r="220" customFormat="1" ht="66" spans="1:89">
      <c r="A220" s="53" t="s">
        <v>908</v>
      </c>
      <c r="B220" s="54" t="s">
        <v>909</v>
      </c>
      <c r="C220" s="53" t="s">
        <v>787</v>
      </c>
      <c r="D220" s="53"/>
      <c r="E220" s="32">
        <v>45973</v>
      </c>
      <c r="F220" s="55">
        <v>35</v>
      </c>
      <c r="G220" s="34">
        <f t="shared" si="7"/>
        <v>125</v>
      </c>
      <c r="H220" s="56">
        <v>1.3</v>
      </c>
      <c r="I220" s="56">
        <v>18.3893805309735</v>
      </c>
      <c r="J220" s="56">
        <v>5.0944860297</v>
      </c>
      <c r="K220" s="56">
        <v>51.34</v>
      </c>
      <c r="L220" s="56">
        <v>68.23868</v>
      </c>
      <c r="M220" s="56">
        <v>4.12896</v>
      </c>
      <c r="N220" s="56">
        <v>10.2807800832</v>
      </c>
      <c r="O220" s="35">
        <v>0</v>
      </c>
      <c r="P220" s="56"/>
      <c r="Q220" s="53" t="s">
        <v>93</v>
      </c>
      <c r="R220" s="53" t="s">
        <v>94</v>
      </c>
      <c r="S220" s="35">
        <v>6.8</v>
      </c>
      <c r="T220" s="53" t="s">
        <v>788</v>
      </c>
      <c r="U220" s="53">
        <v>19.5</v>
      </c>
      <c r="V220" s="53">
        <v>1.41</v>
      </c>
      <c r="W220" s="51" t="s">
        <v>789</v>
      </c>
      <c r="X220" s="56">
        <v>25.6513135523922</v>
      </c>
      <c r="Y220" s="56">
        <v>41.7870364501967</v>
      </c>
      <c r="Z220" s="53"/>
      <c r="AA220" s="56">
        <v>137.219836362637</v>
      </c>
      <c r="AB220" s="56">
        <v>25.65</v>
      </c>
      <c r="AC220" s="41">
        <v>0.1</v>
      </c>
      <c r="AD220" s="56">
        <v>20.1434937340984</v>
      </c>
      <c r="AE220" s="56">
        <v>0.105431604924742</v>
      </c>
      <c r="AF220" s="57">
        <v>0</v>
      </c>
      <c r="AG220" s="57">
        <v>0.0292081529050568</v>
      </c>
      <c r="AH220" s="57">
        <v>0.294346978557505</v>
      </c>
      <c r="AI220" s="44">
        <v>0.1769</v>
      </c>
      <c r="AJ220" s="44">
        <v>0.0336</v>
      </c>
      <c r="AK220" s="45">
        <v>0.0006</v>
      </c>
      <c r="AL220" s="45">
        <v>0</v>
      </c>
      <c r="AM220" s="45">
        <v>0.1125</v>
      </c>
      <c r="AN220" s="57">
        <v>0.023672514619883</v>
      </c>
      <c r="AO220" s="57">
        <v>0.223740748992813</v>
      </c>
      <c r="AP220" s="53"/>
      <c r="AQ220" s="53"/>
      <c r="AR220" s="53"/>
      <c r="AS220" s="53"/>
      <c r="AT220" s="53"/>
      <c r="AU220" s="53"/>
      <c r="AV220" s="53"/>
      <c r="AW220" s="53"/>
      <c r="AX220" s="53"/>
      <c r="AY220" s="53"/>
      <c r="AZ220" s="53"/>
      <c r="BA220" s="53"/>
      <c r="BB220" s="53"/>
      <c r="BC220" s="53"/>
      <c r="BD220" s="53"/>
      <c r="BE220" s="53"/>
      <c r="BF220" s="53"/>
      <c r="BG220" s="53"/>
      <c r="BH220" s="53"/>
      <c r="BI220" s="53"/>
      <c r="BJ220" s="53"/>
      <c r="BK220" s="53"/>
      <c r="BL220" s="53"/>
      <c r="BM220" s="53"/>
      <c r="BN220" s="53"/>
      <c r="BO220" s="53"/>
      <c r="BP220" s="53"/>
      <c r="BQ220" s="53"/>
      <c r="BR220" s="53"/>
      <c r="BS220" s="53"/>
      <c r="BT220" s="53"/>
      <c r="BU220" s="53"/>
      <c r="BV220" s="53"/>
      <c r="BW220" s="53"/>
      <c r="BX220" s="53"/>
      <c r="BY220" s="53"/>
      <c r="BZ220" s="53"/>
      <c r="CA220" s="53"/>
      <c r="CB220" s="53"/>
      <c r="CC220" s="53"/>
      <c r="CD220" s="53"/>
      <c r="CE220" s="53"/>
      <c r="CF220" s="53"/>
      <c r="CG220" s="53"/>
      <c r="CH220" s="53"/>
      <c r="CI220" s="53"/>
      <c r="CJ220" s="53"/>
      <c r="CK220" s="53"/>
    </row>
  </sheetData>
  <autoFilter xmlns:etc="http://www.wps.cn/officeDocument/2017/etCustomData" ref="A1:CK220"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Z1626"/>
  <sheetViews>
    <sheetView workbookViewId="0">
      <selection activeCell="E59" sqref="E59"/>
    </sheetView>
  </sheetViews>
  <sheetFormatPr defaultColWidth="7.875" defaultRowHeight="16.5"/>
  <cols>
    <col min="1" max="1" width="7.875" style="2"/>
    <col min="2" max="2" width="15.875" style="2" customWidth="1"/>
    <col min="3" max="5" width="17" style="2" customWidth="1"/>
    <col min="6" max="7" width="7.875" style="2"/>
    <col min="8" max="8" width="14.25" style="7"/>
    <col min="9" max="9" width="15.625" style="7"/>
    <col min="10" max="11" width="15.625" style="8"/>
    <col min="12" max="12" width="14.25" style="7"/>
    <col min="13" max="18" width="14.25" style="8"/>
    <col min="19" max="19" width="14.625" style="8" customWidth="1"/>
    <col min="20" max="20" width="15.625" style="8"/>
    <col min="21" max="21" width="14.25" style="8"/>
    <col min="22" max="23" width="15.625" style="8"/>
    <col min="24" max="24" width="14.25" style="8"/>
    <col min="25" max="25" width="7.875" style="8"/>
    <col min="26" max="26" width="15.625" style="8"/>
    <col min="27" max="16384" width="7.875" style="2"/>
  </cols>
  <sheetData>
    <row r="1" s="2" customFormat="1" spans="1:26">
      <c r="A1" s="1" t="s">
        <v>910</v>
      </c>
      <c r="B1" s="1" t="s">
        <v>911</v>
      </c>
      <c r="C1" s="1" t="s">
        <v>0</v>
      </c>
      <c r="D1" s="1" t="s">
        <v>912</v>
      </c>
      <c r="E1" s="1" t="s">
        <v>913</v>
      </c>
      <c r="F1" s="1" t="s">
        <v>914</v>
      </c>
      <c r="G1" s="1" t="s">
        <v>915</v>
      </c>
      <c r="H1" s="9" t="s">
        <v>916</v>
      </c>
      <c r="I1" s="9" t="s">
        <v>917</v>
      </c>
      <c r="J1" s="10" t="s">
        <v>918</v>
      </c>
      <c r="K1" s="10" t="s">
        <v>919</v>
      </c>
      <c r="L1" s="9" t="s">
        <v>920</v>
      </c>
      <c r="M1" s="10" t="s">
        <v>921</v>
      </c>
      <c r="N1" s="10" t="s">
        <v>922</v>
      </c>
      <c r="O1" s="10" t="s">
        <v>923</v>
      </c>
      <c r="P1" s="10" t="s">
        <v>924</v>
      </c>
      <c r="Q1" s="10" t="s">
        <v>925</v>
      </c>
      <c r="R1" s="10" t="s">
        <v>926</v>
      </c>
      <c r="S1" s="10" t="s">
        <v>927</v>
      </c>
      <c r="T1" s="10" t="s">
        <v>928</v>
      </c>
      <c r="U1" s="10" t="s">
        <v>929</v>
      </c>
      <c r="V1" s="10" t="s">
        <v>930</v>
      </c>
      <c r="W1" s="10" t="s">
        <v>931</v>
      </c>
      <c r="X1" s="10" t="s">
        <v>932</v>
      </c>
      <c r="Y1" s="10" t="s">
        <v>933</v>
      </c>
      <c r="Z1" s="10" t="s">
        <v>934</v>
      </c>
    </row>
    <row r="2" s="2" customFormat="1" hidden="1" spans="1:26">
      <c r="A2" s="11" t="s">
        <v>935</v>
      </c>
      <c r="B2" s="11" t="s">
        <v>936</v>
      </c>
      <c r="C2" s="11" t="s">
        <v>936</v>
      </c>
      <c r="D2" s="11"/>
      <c r="E2" s="11"/>
      <c r="F2" s="11" t="s">
        <v>936</v>
      </c>
      <c r="G2" s="4">
        <v>36302.9999999992</v>
      </c>
      <c r="H2" s="12">
        <v>5750546.56014</v>
      </c>
      <c r="I2" s="12">
        <v>740635.13541</v>
      </c>
      <c r="J2" s="13">
        <v>0.1287938681</v>
      </c>
      <c r="K2" s="13">
        <v>0.1287938681</v>
      </c>
      <c r="L2" s="12">
        <v>23.2947307876</v>
      </c>
      <c r="M2" s="13">
        <v>0.1308345261</v>
      </c>
      <c r="N2" s="13">
        <v>0.0431092448</v>
      </c>
      <c r="O2" s="13">
        <v>0.3065749139</v>
      </c>
      <c r="P2" s="13">
        <v>0.0405678636</v>
      </c>
      <c r="Q2" s="13">
        <v>0.0256318746</v>
      </c>
      <c r="R2" s="13">
        <v>0.2028275818</v>
      </c>
      <c r="S2" s="13">
        <v>0</v>
      </c>
      <c r="T2" s="13">
        <v>0.1091284362</v>
      </c>
      <c r="U2" s="13">
        <v>0.0134877513</v>
      </c>
      <c r="V2" s="13">
        <v>-0.005524751</v>
      </c>
      <c r="W2" s="13">
        <v>-0.0020593273</v>
      </c>
      <c r="X2" s="13">
        <v>0.0008643693</v>
      </c>
      <c r="Y2" s="13">
        <v>0</v>
      </c>
      <c r="Z2" s="13">
        <v>0.0057636482</v>
      </c>
    </row>
    <row r="3" s="2" customFormat="1" hidden="1" spans="1:26">
      <c r="A3" s="11" t="s">
        <v>935</v>
      </c>
      <c r="B3" s="11" t="s">
        <v>937</v>
      </c>
      <c r="C3" s="14" t="s">
        <v>790</v>
      </c>
      <c r="D3" s="14" t="s">
        <v>938</v>
      </c>
      <c r="E3" s="14" t="s">
        <v>939</v>
      </c>
      <c r="F3" s="3" t="s">
        <v>936</v>
      </c>
      <c r="G3" s="4">
        <v>57</v>
      </c>
      <c r="H3" s="12">
        <v>8713.724</v>
      </c>
      <c r="I3" s="12">
        <v>-1560.273543</v>
      </c>
      <c r="J3" s="13">
        <v>-0.1790593256</v>
      </c>
      <c r="K3" s="13">
        <v>-0.1790593256</v>
      </c>
      <c r="L3" s="12">
        <v>22.4812280701</v>
      </c>
      <c r="M3" s="13">
        <v>0.1413985516</v>
      </c>
      <c r="N3" s="13">
        <v>0.0439501754</v>
      </c>
      <c r="O3" s="13">
        <v>0.3329951694</v>
      </c>
      <c r="P3" s="13">
        <v>0</v>
      </c>
      <c r="Q3" s="13">
        <v>0.1501860294</v>
      </c>
      <c r="R3" s="13">
        <v>0.4043572276</v>
      </c>
      <c r="S3" s="13">
        <v>0</v>
      </c>
      <c r="T3" s="13">
        <v>0.0920221939</v>
      </c>
      <c r="U3" s="13">
        <v>0.0145817277</v>
      </c>
      <c r="V3" s="13">
        <v>-0.0059137057</v>
      </c>
      <c r="W3" s="13">
        <v>0</v>
      </c>
      <c r="X3" s="13">
        <v>0</v>
      </c>
      <c r="Y3" s="13">
        <v>0</v>
      </c>
      <c r="Z3" s="13">
        <v>0.005481956</v>
      </c>
    </row>
    <row r="4" s="2" customFormat="1" hidden="1" spans="1:26">
      <c r="A4" s="11" t="s">
        <v>935</v>
      </c>
      <c r="B4" s="11" t="s">
        <v>937</v>
      </c>
      <c r="C4" s="14" t="s">
        <v>790</v>
      </c>
      <c r="D4" s="14" t="s">
        <v>938</v>
      </c>
      <c r="E4" s="14" t="s">
        <v>939</v>
      </c>
      <c r="F4" s="3" t="s">
        <v>940</v>
      </c>
      <c r="G4" s="4">
        <v>0</v>
      </c>
      <c r="H4" s="12">
        <v>0</v>
      </c>
      <c r="I4" s="12">
        <v>-11.56</v>
      </c>
      <c r="J4" s="13"/>
      <c r="K4" s="13"/>
      <c r="L4" s="12"/>
      <c r="M4" s="13"/>
      <c r="N4" s="13"/>
      <c r="O4" s="13"/>
      <c r="P4" s="13"/>
      <c r="Q4" s="13"/>
      <c r="R4" s="13"/>
      <c r="S4" s="13"/>
      <c r="T4" s="13"/>
      <c r="U4" s="13"/>
      <c r="V4" s="13"/>
      <c r="W4" s="13"/>
      <c r="X4" s="13"/>
      <c r="Y4" s="13"/>
      <c r="Z4" s="13"/>
    </row>
    <row r="5" s="2" customFormat="1" hidden="1" spans="1:26">
      <c r="A5" s="11" t="s">
        <v>935</v>
      </c>
      <c r="B5" s="11" t="s">
        <v>937</v>
      </c>
      <c r="C5" s="14" t="s">
        <v>790</v>
      </c>
      <c r="D5" s="14" t="s">
        <v>938</v>
      </c>
      <c r="E5" s="14" t="s">
        <v>939</v>
      </c>
      <c r="F5" s="3" t="s">
        <v>941</v>
      </c>
      <c r="G5" s="4">
        <v>17</v>
      </c>
      <c r="H5" s="12">
        <v>2746.044</v>
      </c>
      <c r="I5" s="12">
        <v>-808.300187</v>
      </c>
      <c r="J5" s="13">
        <v>-0.2943507777</v>
      </c>
      <c r="K5" s="13">
        <v>-0.2943507777</v>
      </c>
      <c r="L5" s="12">
        <v>23.7547058823</v>
      </c>
      <c r="M5" s="13">
        <v>0.1338182465</v>
      </c>
      <c r="N5" s="13">
        <v>0.0438502525</v>
      </c>
      <c r="O5" s="13">
        <v>0.308818067</v>
      </c>
      <c r="P5" s="13">
        <v>0</v>
      </c>
      <c r="Q5" s="13">
        <v>0.0574528791</v>
      </c>
      <c r="R5" s="13">
        <v>0.6772656752</v>
      </c>
      <c r="S5" s="13">
        <v>0</v>
      </c>
      <c r="T5" s="13">
        <v>0.0540078746</v>
      </c>
      <c r="U5" s="13">
        <v>0.0138000086</v>
      </c>
      <c r="V5" s="13">
        <v>0</v>
      </c>
      <c r="W5" s="13">
        <v>0</v>
      </c>
      <c r="X5" s="13">
        <v>0</v>
      </c>
      <c r="Y5" s="13">
        <v>0</v>
      </c>
      <c r="Z5" s="13">
        <v>0.0053377739</v>
      </c>
    </row>
    <row r="6" s="2" customFormat="1" hidden="1" spans="1:26">
      <c r="A6" s="11" t="s">
        <v>935</v>
      </c>
      <c r="B6" s="11" t="s">
        <v>937</v>
      </c>
      <c r="C6" s="14" t="s">
        <v>790</v>
      </c>
      <c r="D6" s="14" t="s">
        <v>938</v>
      </c>
      <c r="E6" s="14" t="s">
        <v>939</v>
      </c>
      <c r="F6" s="3" t="s">
        <v>942</v>
      </c>
      <c r="G6" s="4">
        <v>13</v>
      </c>
      <c r="H6" s="12">
        <v>1835.116</v>
      </c>
      <c r="I6" s="12">
        <v>-364.147999</v>
      </c>
      <c r="J6" s="13">
        <v>-0.198433232</v>
      </c>
      <c r="K6" s="13">
        <v>-0.198433232</v>
      </c>
      <c r="L6" s="12">
        <v>20.7592307692</v>
      </c>
      <c r="M6" s="13">
        <v>0.1531276916</v>
      </c>
      <c r="N6" s="13">
        <v>0.0370309184</v>
      </c>
      <c r="O6" s="13">
        <v>0.3636936302</v>
      </c>
      <c r="P6" s="13">
        <v>0</v>
      </c>
      <c r="Q6" s="13">
        <v>0.2060191246</v>
      </c>
      <c r="R6" s="13">
        <v>0.2977087083</v>
      </c>
      <c r="S6" s="13">
        <v>0</v>
      </c>
      <c r="T6" s="13">
        <v>0.1185756104</v>
      </c>
      <c r="U6" s="13">
        <v>0.0157912954</v>
      </c>
      <c r="V6" s="13">
        <v>0</v>
      </c>
      <c r="W6" s="13">
        <v>0</v>
      </c>
      <c r="X6" s="13">
        <v>0</v>
      </c>
      <c r="Y6" s="13">
        <v>0</v>
      </c>
      <c r="Z6" s="13">
        <v>0.0064862526</v>
      </c>
    </row>
    <row r="7" s="2" customFormat="1" hidden="1" spans="1:26">
      <c r="A7" s="11" t="s">
        <v>935</v>
      </c>
      <c r="B7" s="11" t="s">
        <v>937</v>
      </c>
      <c r="C7" s="14" t="s">
        <v>790</v>
      </c>
      <c r="D7" s="14" t="s">
        <v>938</v>
      </c>
      <c r="E7" s="14" t="s">
        <v>939</v>
      </c>
      <c r="F7" s="3" t="s">
        <v>943</v>
      </c>
      <c r="G7" s="4">
        <v>9</v>
      </c>
      <c r="H7" s="12">
        <v>1359.388</v>
      </c>
      <c r="I7" s="12">
        <v>-342.844112</v>
      </c>
      <c r="J7" s="13">
        <v>-0.2522047509</v>
      </c>
      <c r="K7" s="13">
        <v>-0.2522047509</v>
      </c>
      <c r="L7" s="12">
        <v>22.2122222222</v>
      </c>
      <c r="M7" s="13">
        <v>0.1431109889</v>
      </c>
      <c r="N7" s="13">
        <v>0.0447359892</v>
      </c>
      <c r="O7" s="13">
        <v>0.3399029563</v>
      </c>
      <c r="P7" s="13">
        <v>0</v>
      </c>
      <c r="Q7" s="13">
        <v>0.2734083911</v>
      </c>
      <c r="R7" s="13">
        <v>0.3228674829</v>
      </c>
      <c r="S7" s="13">
        <v>0</v>
      </c>
      <c r="T7" s="13">
        <v>0.1005452453</v>
      </c>
      <c r="U7" s="13">
        <v>0.0147583228</v>
      </c>
      <c r="V7" s="13">
        <v>0</v>
      </c>
      <c r="W7" s="13">
        <v>0</v>
      </c>
      <c r="X7" s="13">
        <v>0</v>
      </c>
      <c r="Y7" s="13">
        <v>0</v>
      </c>
      <c r="Z7" s="13">
        <v>0.012875374</v>
      </c>
    </row>
    <row r="8" s="2" customFormat="1" spans="1:26">
      <c r="A8" s="11" t="s">
        <v>935</v>
      </c>
      <c r="B8" s="11" t="s">
        <v>937</v>
      </c>
      <c r="C8" s="14" t="s">
        <v>790</v>
      </c>
      <c r="D8" s="14" t="s">
        <v>938</v>
      </c>
      <c r="E8" s="14" t="s">
        <v>939</v>
      </c>
      <c r="F8" s="3" t="s">
        <v>944</v>
      </c>
      <c r="G8" s="4">
        <v>17</v>
      </c>
      <c r="H8" s="12">
        <v>2637.244</v>
      </c>
      <c r="I8" s="12">
        <v>-60.518035</v>
      </c>
      <c r="J8" s="13">
        <v>-0.0229474538</v>
      </c>
      <c r="K8" s="13">
        <v>-0.0229474538</v>
      </c>
      <c r="L8" s="12">
        <v>22.8135294117</v>
      </c>
      <c r="M8" s="13">
        <v>0.1393389436</v>
      </c>
      <c r="N8" s="13">
        <v>0.0479109468</v>
      </c>
      <c r="O8" s="13">
        <v>0.3309439702</v>
      </c>
      <c r="P8" s="13">
        <v>0</v>
      </c>
      <c r="Q8" s="13">
        <v>0.1521188016</v>
      </c>
      <c r="R8" s="13">
        <v>0.2491108603</v>
      </c>
      <c r="S8" s="13">
        <v>0</v>
      </c>
      <c r="T8" s="13">
        <v>0.1072892762</v>
      </c>
      <c r="U8" s="13">
        <v>0.0143693306</v>
      </c>
      <c r="V8" s="13">
        <v>-0.0195394889</v>
      </c>
      <c r="W8" s="13">
        <v>0</v>
      </c>
      <c r="X8" s="13">
        <v>0</v>
      </c>
      <c r="Y8" s="13">
        <v>0</v>
      </c>
      <c r="Z8" s="13">
        <v>0.0014048131</v>
      </c>
    </row>
    <row r="9" s="2" customFormat="1" hidden="1" spans="1:26">
      <c r="A9" s="11" t="s">
        <v>935</v>
      </c>
      <c r="B9" s="11" t="s">
        <v>937</v>
      </c>
      <c r="C9" s="14" t="s">
        <v>790</v>
      </c>
      <c r="D9" s="14" t="s">
        <v>938</v>
      </c>
      <c r="E9" s="14" t="s">
        <v>939</v>
      </c>
      <c r="F9" s="3" t="s">
        <v>945</v>
      </c>
      <c r="G9" s="4">
        <v>1</v>
      </c>
      <c r="H9" s="12">
        <v>135.932</v>
      </c>
      <c r="I9" s="12">
        <v>27.09679</v>
      </c>
      <c r="J9" s="13">
        <v>0.1993407733</v>
      </c>
      <c r="K9" s="13">
        <v>0.1993407733</v>
      </c>
      <c r="L9" s="12">
        <v>19.99</v>
      </c>
      <c r="M9" s="13">
        <v>0.1590201644</v>
      </c>
      <c r="N9" s="13">
        <v>0.0546782288</v>
      </c>
      <c r="O9" s="13">
        <v>0.3776888444</v>
      </c>
      <c r="P9" s="13">
        <v>0</v>
      </c>
      <c r="Q9" s="13">
        <v>0</v>
      </c>
      <c r="R9" s="13">
        <v>0.072813002</v>
      </c>
      <c r="S9" s="13">
        <v>0</v>
      </c>
      <c r="T9" s="13">
        <v>0.12006003</v>
      </c>
      <c r="U9" s="13">
        <v>0.0163989568</v>
      </c>
      <c r="V9" s="13">
        <v>0</v>
      </c>
      <c r="W9" s="13">
        <v>0</v>
      </c>
      <c r="X9" s="13">
        <v>0</v>
      </c>
      <c r="Y9" s="13">
        <v>0</v>
      </c>
      <c r="Z9" s="13">
        <v>0</v>
      </c>
    </row>
    <row r="10" s="2" customFormat="1" hidden="1" spans="1:26">
      <c r="A10" s="11" t="s">
        <v>935</v>
      </c>
      <c r="B10" s="11" t="s">
        <v>937</v>
      </c>
      <c r="C10" s="14" t="s">
        <v>792</v>
      </c>
      <c r="D10" s="14" t="s">
        <v>938</v>
      </c>
      <c r="E10" s="14" t="s">
        <v>939</v>
      </c>
      <c r="F10" s="3" t="s">
        <v>936</v>
      </c>
      <c r="G10" s="4">
        <v>90</v>
      </c>
      <c r="H10" s="12">
        <v>14634.28</v>
      </c>
      <c r="I10" s="12">
        <v>271.682974</v>
      </c>
      <c r="J10" s="13">
        <v>0.0185648336</v>
      </c>
      <c r="K10" s="13">
        <v>0.0185648336</v>
      </c>
      <c r="L10" s="12">
        <v>23.9122222222</v>
      </c>
      <c r="M10" s="13">
        <v>0.1104050954</v>
      </c>
      <c r="N10" s="13">
        <v>0.0332812234</v>
      </c>
      <c r="O10" s="13">
        <v>0.3152548673</v>
      </c>
      <c r="P10" s="13">
        <v>0.0441243436</v>
      </c>
      <c r="Q10" s="13">
        <v>0.0582063614</v>
      </c>
      <c r="R10" s="13">
        <v>0.3115141045</v>
      </c>
      <c r="S10" s="13">
        <v>0</v>
      </c>
      <c r="T10" s="13">
        <v>0.0993587658</v>
      </c>
      <c r="U10" s="13">
        <v>0.0113855263</v>
      </c>
      <c r="V10" s="13">
        <v>-0.0059337391</v>
      </c>
      <c r="W10" s="13">
        <v>-0.0015911604</v>
      </c>
      <c r="X10" s="13">
        <v>0</v>
      </c>
      <c r="Y10" s="13">
        <v>0</v>
      </c>
      <c r="Z10" s="13">
        <v>0.0054297778</v>
      </c>
    </row>
    <row r="11" s="2" customFormat="1" hidden="1" spans="1:26">
      <c r="A11" s="11" t="s">
        <v>935</v>
      </c>
      <c r="B11" s="11" t="s">
        <v>937</v>
      </c>
      <c r="C11" s="14" t="s">
        <v>792</v>
      </c>
      <c r="D11" s="14" t="s">
        <v>938</v>
      </c>
      <c r="E11" s="14" t="s">
        <v>939</v>
      </c>
      <c r="F11" s="3" t="s">
        <v>941</v>
      </c>
      <c r="G11" s="4">
        <v>1</v>
      </c>
      <c r="H11" s="12">
        <v>163.132</v>
      </c>
      <c r="I11" s="12">
        <v>56.190416</v>
      </c>
      <c r="J11" s="13">
        <v>0.3444475394</v>
      </c>
      <c r="K11" s="13">
        <v>0.3444475394</v>
      </c>
      <c r="L11" s="12">
        <v>23.99</v>
      </c>
      <c r="M11" s="13">
        <v>0.1100471519</v>
      </c>
      <c r="N11" s="13">
        <v>0.04360817</v>
      </c>
      <c r="O11" s="13">
        <v>0.3076281784</v>
      </c>
      <c r="P11" s="13">
        <v>0</v>
      </c>
      <c r="Q11" s="13">
        <v>0.001791071</v>
      </c>
      <c r="R11" s="13">
        <v>0.0557415528</v>
      </c>
      <c r="S11" s="13">
        <v>0</v>
      </c>
      <c r="T11" s="13">
        <v>0.1200500208</v>
      </c>
      <c r="U11" s="13">
        <v>0.0113486133</v>
      </c>
      <c r="V11" s="13">
        <v>0</v>
      </c>
      <c r="W11" s="13">
        <v>0</v>
      </c>
      <c r="X11" s="13">
        <v>0</v>
      </c>
      <c r="Y11" s="13">
        <v>0</v>
      </c>
      <c r="Z11" s="13">
        <v>0.0053377019</v>
      </c>
    </row>
    <row r="12" s="2" customFormat="1" hidden="1" spans="1:26">
      <c r="A12" s="11" t="s">
        <v>935</v>
      </c>
      <c r="B12" s="11" t="s">
        <v>937</v>
      </c>
      <c r="C12" s="14" t="s">
        <v>792</v>
      </c>
      <c r="D12" s="14" t="s">
        <v>938</v>
      </c>
      <c r="E12" s="14" t="s">
        <v>939</v>
      </c>
      <c r="F12" s="3" t="s">
        <v>942</v>
      </c>
      <c r="G12" s="4">
        <v>21</v>
      </c>
      <c r="H12" s="12">
        <v>3405.372</v>
      </c>
      <c r="I12" s="12">
        <v>97.15149</v>
      </c>
      <c r="J12" s="13">
        <v>0.0285288919</v>
      </c>
      <c r="K12" s="13">
        <v>0.0285288919</v>
      </c>
      <c r="L12" s="12">
        <v>23.8471428571</v>
      </c>
      <c r="M12" s="13">
        <v>0.1107063933</v>
      </c>
      <c r="N12" s="13">
        <v>0.0438694063</v>
      </c>
      <c r="O12" s="13">
        <v>0.318317059</v>
      </c>
      <c r="P12" s="13">
        <v>0</v>
      </c>
      <c r="Q12" s="13">
        <v>0.02396108</v>
      </c>
      <c r="R12" s="13">
        <v>0.3547154832</v>
      </c>
      <c r="S12" s="13">
        <v>0</v>
      </c>
      <c r="T12" s="13">
        <v>0.1019988418</v>
      </c>
      <c r="U12" s="13">
        <v>0.0114165976</v>
      </c>
      <c r="V12" s="13">
        <v>0</v>
      </c>
      <c r="W12" s="13">
        <v>0</v>
      </c>
      <c r="X12" s="13">
        <v>0</v>
      </c>
      <c r="Y12" s="13">
        <v>0</v>
      </c>
      <c r="Z12" s="13">
        <v>0.0064862464</v>
      </c>
    </row>
    <row r="13" s="2" customFormat="1" hidden="1" spans="1:26">
      <c r="A13" s="11" t="s">
        <v>935</v>
      </c>
      <c r="B13" s="11" t="s">
        <v>937</v>
      </c>
      <c r="C13" s="14" t="s">
        <v>792</v>
      </c>
      <c r="D13" s="14" t="s">
        <v>938</v>
      </c>
      <c r="E13" s="14" t="s">
        <v>939</v>
      </c>
      <c r="F13" s="3" t="s">
        <v>943</v>
      </c>
      <c r="G13" s="4">
        <v>22</v>
      </c>
      <c r="H13" s="12">
        <v>3588.904</v>
      </c>
      <c r="I13" s="12">
        <v>-340.844683</v>
      </c>
      <c r="J13" s="13">
        <v>-0.0949718028</v>
      </c>
      <c r="K13" s="13">
        <v>-0.0949718028</v>
      </c>
      <c r="L13" s="12">
        <v>23.99</v>
      </c>
      <c r="M13" s="13">
        <v>0.1100471519</v>
      </c>
      <c r="N13" s="13">
        <v>0.0237427665</v>
      </c>
      <c r="O13" s="13">
        <v>0.3109629012</v>
      </c>
      <c r="P13" s="13">
        <v>0.089014362</v>
      </c>
      <c r="Q13" s="13">
        <v>0.1010690857</v>
      </c>
      <c r="R13" s="13">
        <v>0.3400951031</v>
      </c>
      <c r="S13" s="13">
        <v>0</v>
      </c>
      <c r="T13" s="13">
        <v>0.0958164386</v>
      </c>
      <c r="U13" s="13">
        <v>0.0113486133</v>
      </c>
      <c r="V13" s="13">
        <v>0</v>
      </c>
      <c r="W13" s="13">
        <v>0</v>
      </c>
      <c r="X13" s="13">
        <v>0</v>
      </c>
      <c r="Y13" s="13">
        <v>0</v>
      </c>
      <c r="Z13" s="13">
        <v>0.01287538</v>
      </c>
    </row>
    <row r="14" s="2" customFormat="1" spans="1:26">
      <c r="A14" s="11" t="s">
        <v>935</v>
      </c>
      <c r="B14" s="11" t="s">
        <v>937</v>
      </c>
      <c r="C14" s="14" t="s">
        <v>792</v>
      </c>
      <c r="D14" s="14" t="s">
        <v>938</v>
      </c>
      <c r="E14" s="14" t="s">
        <v>939</v>
      </c>
      <c r="F14" s="3" t="s">
        <v>944</v>
      </c>
      <c r="G14" s="4">
        <v>45</v>
      </c>
      <c r="H14" s="12">
        <v>7327.34</v>
      </c>
      <c r="I14" s="12">
        <v>518.46105</v>
      </c>
      <c r="J14" s="13">
        <v>0.0707570619</v>
      </c>
      <c r="K14" s="13">
        <v>0.0707570619</v>
      </c>
      <c r="L14" s="12">
        <v>23.9455555555</v>
      </c>
      <c r="M14" s="13">
        <v>0.1102514063</v>
      </c>
      <c r="N14" s="13">
        <v>0.0327536896</v>
      </c>
      <c r="O14" s="13">
        <v>0.3156141246</v>
      </c>
      <c r="P14" s="13">
        <v>0.022263468</v>
      </c>
      <c r="Q14" s="13">
        <v>0.0555716498</v>
      </c>
      <c r="R14" s="13">
        <v>0.282073721</v>
      </c>
      <c r="S14" s="13">
        <v>0</v>
      </c>
      <c r="T14" s="13">
        <v>0.1011182775</v>
      </c>
      <c r="U14" s="13">
        <v>0.0113696771</v>
      </c>
      <c r="V14" s="13">
        <v>0</v>
      </c>
      <c r="W14" s="13">
        <v>-0.003177891</v>
      </c>
      <c r="X14" s="13">
        <v>0</v>
      </c>
      <c r="Y14" s="13">
        <v>0</v>
      </c>
      <c r="Z14" s="13">
        <v>0.0014048147</v>
      </c>
    </row>
    <row r="15" s="2" customFormat="1" hidden="1" spans="1:26">
      <c r="A15" s="11" t="s">
        <v>935</v>
      </c>
      <c r="B15" s="11" t="s">
        <v>937</v>
      </c>
      <c r="C15" s="14" t="s">
        <v>792</v>
      </c>
      <c r="D15" s="14" t="s">
        <v>938</v>
      </c>
      <c r="E15" s="14" t="s">
        <v>939</v>
      </c>
      <c r="F15" s="3" t="s">
        <v>945</v>
      </c>
      <c r="G15" s="4">
        <v>1</v>
      </c>
      <c r="H15" s="12">
        <v>149.532</v>
      </c>
      <c r="I15" s="12">
        <v>-59.275299</v>
      </c>
      <c r="J15" s="13">
        <v>-0.3964054449</v>
      </c>
      <c r="K15" s="13">
        <v>-0.3964054449</v>
      </c>
      <c r="L15" s="12">
        <v>21.99</v>
      </c>
      <c r="M15" s="13">
        <v>0.120055988</v>
      </c>
      <c r="N15" s="13">
        <v>0.0356664526</v>
      </c>
      <c r="O15" s="13">
        <v>0.3392451114</v>
      </c>
      <c r="P15" s="13">
        <v>1.090950432</v>
      </c>
      <c r="Q15" s="13">
        <v>0</v>
      </c>
      <c r="R15" s="13">
        <v>0.3633636211</v>
      </c>
      <c r="S15" s="13">
        <v>0</v>
      </c>
      <c r="T15" s="13">
        <v>0.0154615734</v>
      </c>
      <c r="U15" s="13">
        <v>0.0123807746</v>
      </c>
      <c r="V15" s="13">
        <v>-0.5807185084</v>
      </c>
      <c r="W15" s="13">
        <v>0</v>
      </c>
      <c r="X15" s="13">
        <v>0</v>
      </c>
      <c r="Y15" s="13">
        <v>0</v>
      </c>
      <c r="Z15" s="13">
        <v>0</v>
      </c>
    </row>
    <row r="16" s="2" customFormat="1" hidden="1" spans="1:26">
      <c r="A16" s="11" t="s">
        <v>935</v>
      </c>
      <c r="B16" s="11" t="s">
        <v>937</v>
      </c>
      <c r="C16" s="14" t="s">
        <v>794</v>
      </c>
      <c r="D16" s="14" t="s">
        <v>938</v>
      </c>
      <c r="E16" s="14" t="s">
        <v>939</v>
      </c>
      <c r="F16" s="3" t="s">
        <v>936</v>
      </c>
      <c r="G16" s="4">
        <v>310</v>
      </c>
      <c r="H16" s="12">
        <v>49179.844</v>
      </c>
      <c r="I16" s="12">
        <v>230.457965</v>
      </c>
      <c r="J16" s="13">
        <v>0.0046860247</v>
      </c>
      <c r="K16" s="13">
        <v>0.0046860247</v>
      </c>
      <c r="L16" s="12">
        <v>23.3300967741</v>
      </c>
      <c r="M16" s="13">
        <v>0.1312900293</v>
      </c>
      <c r="N16" s="13">
        <v>0.0242708652</v>
      </c>
      <c r="O16" s="13">
        <v>0.2868522315</v>
      </c>
      <c r="P16" s="13">
        <v>0.0621666876</v>
      </c>
      <c r="Q16" s="13">
        <v>0.0120761535</v>
      </c>
      <c r="R16" s="13">
        <v>0.3691477473</v>
      </c>
      <c r="S16" s="13">
        <v>0</v>
      </c>
      <c r="T16" s="13">
        <v>0.1012246399</v>
      </c>
      <c r="U16" s="13">
        <v>0.0135392831</v>
      </c>
      <c r="V16" s="13">
        <v>-0.0113656318</v>
      </c>
      <c r="W16" s="13">
        <v>-0.0030310547</v>
      </c>
      <c r="X16" s="13">
        <v>0.0028248157</v>
      </c>
      <c r="Y16" s="13">
        <v>0</v>
      </c>
      <c r="Z16" s="13">
        <v>0.0063182082</v>
      </c>
    </row>
    <row r="17" s="2" customFormat="1" hidden="1" spans="1:26">
      <c r="A17" s="11" t="s">
        <v>935</v>
      </c>
      <c r="B17" s="11" t="s">
        <v>937</v>
      </c>
      <c r="C17" s="14" t="s">
        <v>794</v>
      </c>
      <c r="D17" s="14" t="s">
        <v>938</v>
      </c>
      <c r="E17" s="14" t="s">
        <v>939</v>
      </c>
      <c r="F17" s="3" t="s">
        <v>940</v>
      </c>
      <c r="G17" s="4">
        <v>2</v>
      </c>
      <c r="H17" s="12">
        <v>326.264</v>
      </c>
      <c r="I17" s="12">
        <v>-377.09363</v>
      </c>
      <c r="J17" s="13">
        <v>-1.1557929468</v>
      </c>
      <c r="K17" s="13">
        <v>-1.1557929468</v>
      </c>
      <c r="L17" s="12">
        <v>23.99</v>
      </c>
      <c r="M17" s="13">
        <v>0.1297716695</v>
      </c>
      <c r="N17" s="13">
        <v>0.0297325601</v>
      </c>
      <c r="O17" s="13">
        <v>0.2542726135</v>
      </c>
      <c r="P17" s="13">
        <v>0</v>
      </c>
      <c r="Q17" s="13">
        <v>0.0008192537</v>
      </c>
      <c r="R17" s="13">
        <v>1.7149675906</v>
      </c>
      <c r="S17" s="13">
        <v>0</v>
      </c>
      <c r="T17" s="13">
        <v>0.0125052105</v>
      </c>
      <c r="U17" s="13">
        <v>0.0133827023</v>
      </c>
      <c r="V17" s="13">
        <v>0</v>
      </c>
      <c r="W17" s="13">
        <v>0</v>
      </c>
      <c r="X17" s="13">
        <v>0</v>
      </c>
      <c r="Y17" s="13">
        <v>0</v>
      </c>
      <c r="Z17" s="13">
        <v>0.0003413462</v>
      </c>
    </row>
    <row r="18" s="2" customFormat="1" hidden="1" spans="1:26">
      <c r="A18" s="11" t="s">
        <v>935</v>
      </c>
      <c r="B18" s="11" t="s">
        <v>937</v>
      </c>
      <c r="C18" s="14" t="s">
        <v>794</v>
      </c>
      <c r="D18" s="14" t="s">
        <v>938</v>
      </c>
      <c r="E18" s="14" t="s">
        <v>939</v>
      </c>
      <c r="F18" s="3" t="s">
        <v>941</v>
      </c>
      <c r="G18" s="4">
        <v>142</v>
      </c>
      <c r="H18" s="12">
        <v>22853.508</v>
      </c>
      <c r="I18" s="12">
        <v>-1358.538345</v>
      </c>
      <c r="J18" s="13">
        <v>-0.0594455059</v>
      </c>
      <c r="K18" s="13">
        <v>-0.0594455059</v>
      </c>
      <c r="L18" s="12">
        <v>23.6676760563</v>
      </c>
      <c r="M18" s="13">
        <v>0.1306126653</v>
      </c>
      <c r="N18" s="13">
        <v>0.0299252443</v>
      </c>
      <c r="O18" s="13">
        <v>0.283119248</v>
      </c>
      <c r="P18" s="13">
        <v>0.0285526405</v>
      </c>
      <c r="Q18" s="13">
        <v>0.008718559</v>
      </c>
      <c r="R18" s="13">
        <v>0.4702413385</v>
      </c>
      <c r="S18" s="13">
        <v>0</v>
      </c>
      <c r="T18" s="13">
        <v>0.0915434076</v>
      </c>
      <c r="U18" s="13">
        <v>0.01346943</v>
      </c>
      <c r="V18" s="13">
        <v>0.0002023321</v>
      </c>
      <c r="W18" s="13">
        <v>-0.0022771334</v>
      </c>
      <c r="X18" s="13">
        <v>0</v>
      </c>
      <c r="Y18" s="13">
        <v>0</v>
      </c>
      <c r="Z18" s="13">
        <v>0.0053377735</v>
      </c>
    </row>
    <row r="19" s="2" customFormat="1" hidden="1" spans="1:26">
      <c r="A19" s="11" t="s">
        <v>935</v>
      </c>
      <c r="B19" s="11" t="s">
        <v>937</v>
      </c>
      <c r="C19" s="14" t="s">
        <v>794</v>
      </c>
      <c r="D19" s="14" t="s">
        <v>938</v>
      </c>
      <c r="E19" s="14" t="s">
        <v>939</v>
      </c>
      <c r="F19" s="3" t="s">
        <v>942</v>
      </c>
      <c r="G19" s="4">
        <v>144</v>
      </c>
      <c r="H19" s="12">
        <v>22261.568</v>
      </c>
      <c r="I19" s="12">
        <v>1573.534749</v>
      </c>
      <c r="J19" s="13">
        <v>0.0706839135</v>
      </c>
      <c r="K19" s="13">
        <v>0.0706839135</v>
      </c>
      <c r="L19" s="12">
        <v>22.7344444444</v>
      </c>
      <c r="M19" s="13">
        <v>0.1331347225</v>
      </c>
      <c r="N19" s="13">
        <v>0.0194116263</v>
      </c>
      <c r="O19" s="13">
        <v>0.2929658863</v>
      </c>
      <c r="P19" s="13">
        <v>0.0875079419</v>
      </c>
      <c r="Q19" s="13">
        <v>0.012940716</v>
      </c>
      <c r="R19" s="13">
        <v>0.2683986528</v>
      </c>
      <c r="S19" s="13">
        <v>0</v>
      </c>
      <c r="T19" s="13">
        <v>0.1112696104</v>
      </c>
      <c r="U19" s="13">
        <v>0.0137295171</v>
      </c>
      <c r="V19" s="13">
        <v>-0.0132599824</v>
      </c>
      <c r="W19" s="13">
        <v>-0.0032688503</v>
      </c>
      <c r="X19" s="13">
        <v>0</v>
      </c>
      <c r="Y19" s="13">
        <v>0</v>
      </c>
      <c r="Z19" s="13">
        <v>0.0064862453</v>
      </c>
    </row>
    <row r="20" s="2" customFormat="1" hidden="1" spans="1:26">
      <c r="A20" s="11" t="s">
        <v>935</v>
      </c>
      <c r="B20" s="11" t="s">
        <v>937</v>
      </c>
      <c r="C20" s="14" t="s">
        <v>794</v>
      </c>
      <c r="D20" s="14" t="s">
        <v>938</v>
      </c>
      <c r="E20" s="14" t="s">
        <v>939</v>
      </c>
      <c r="F20" s="3" t="s">
        <v>943</v>
      </c>
      <c r="G20" s="4">
        <v>20</v>
      </c>
      <c r="H20" s="12">
        <v>3398.64</v>
      </c>
      <c r="I20" s="12">
        <v>388.061512</v>
      </c>
      <c r="J20" s="13">
        <v>0.1141814113</v>
      </c>
      <c r="K20" s="13">
        <v>0.1141814113</v>
      </c>
      <c r="L20" s="12">
        <v>24.99</v>
      </c>
      <c r="M20" s="13">
        <v>0.1245787256</v>
      </c>
      <c r="N20" s="13">
        <v>0.0181641244</v>
      </c>
      <c r="O20" s="13">
        <v>0.2761104441</v>
      </c>
      <c r="P20" s="13">
        <v>0.1343937575</v>
      </c>
      <c r="Q20" s="13">
        <v>0.0261975755</v>
      </c>
      <c r="R20" s="13">
        <v>0.1990720464</v>
      </c>
      <c r="S20" s="13">
        <v>0</v>
      </c>
      <c r="T20" s="13">
        <v>0.1071628651</v>
      </c>
      <c r="U20" s="13">
        <v>0.01284718</v>
      </c>
      <c r="V20" s="13">
        <v>-0.050540216</v>
      </c>
      <c r="W20" s="13">
        <v>-0.0071371425</v>
      </c>
      <c r="X20" s="13">
        <v>0.0320938342</v>
      </c>
      <c r="Y20" s="13">
        <v>0</v>
      </c>
      <c r="Z20" s="13">
        <v>0.0128753939</v>
      </c>
    </row>
    <row r="21" s="2" customFormat="1" spans="1:26">
      <c r="A21" s="11" t="s">
        <v>935</v>
      </c>
      <c r="B21" s="11" t="s">
        <v>937</v>
      </c>
      <c r="C21" s="14" t="s">
        <v>794</v>
      </c>
      <c r="D21" s="14" t="s">
        <v>938</v>
      </c>
      <c r="E21" s="14" t="s">
        <v>939</v>
      </c>
      <c r="F21" s="3" t="s">
        <v>944</v>
      </c>
      <c r="G21" s="4">
        <v>2</v>
      </c>
      <c r="H21" s="12">
        <v>339.864</v>
      </c>
      <c r="I21" s="12">
        <v>24.357166</v>
      </c>
      <c r="J21" s="13">
        <v>0.0716673904</v>
      </c>
      <c r="K21" s="13">
        <v>0.0716673904</v>
      </c>
      <c r="L21" s="12">
        <v>24.99</v>
      </c>
      <c r="M21" s="13">
        <v>0.1245787256</v>
      </c>
      <c r="N21" s="13">
        <v>0.0181641244</v>
      </c>
      <c r="O21" s="13">
        <v>0.2761104441</v>
      </c>
      <c r="P21" s="13">
        <v>0</v>
      </c>
      <c r="Q21" s="13">
        <v>0.0508133724</v>
      </c>
      <c r="R21" s="13">
        <v>0.5208544682</v>
      </c>
      <c r="S21" s="13">
        <v>0</v>
      </c>
      <c r="T21" s="13">
        <v>0.1200480192</v>
      </c>
      <c r="U21" s="13">
        <v>0.01284718</v>
      </c>
      <c r="V21" s="13">
        <v>-0.2843137254</v>
      </c>
      <c r="W21" s="13">
        <v>0</v>
      </c>
      <c r="X21" s="13">
        <v>0.0878251565</v>
      </c>
      <c r="Y21" s="13">
        <v>0</v>
      </c>
      <c r="Z21" s="13">
        <v>0.0014048442</v>
      </c>
    </row>
    <row r="22" s="2" customFormat="1" hidden="1" spans="1:26">
      <c r="A22" s="11" t="s">
        <v>935</v>
      </c>
      <c r="B22" s="11" t="s">
        <v>937</v>
      </c>
      <c r="C22" s="14" t="s">
        <v>794</v>
      </c>
      <c r="D22" s="14" t="s">
        <v>938</v>
      </c>
      <c r="E22" s="14" t="s">
        <v>939</v>
      </c>
      <c r="F22" s="3" t="s">
        <v>945</v>
      </c>
      <c r="G22" s="4">
        <v>0</v>
      </c>
      <c r="H22" s="12">
        <v>0</v>
      </c>
      <c r="I22" s="12">
        <v>-19.863487</v>
      </c>
      <c r="J22" s="13"/>
      <c r="K22" s="13"/>
      <c r="L22" s="12"/>
      <c r="M22" s="13"/>
      <c r="N22" s="13"/>
      <c r="O22" s="13"/>
      <c r="P22" s="13"/>
      <c r="Q22" s="13"/>
      <c r="R22" s="13"/>
      <c r="S22" s="13"/>
      <c r="T22" s="13"/>
      <c r="U22" s="13"/>
      <c r="V22" s="13"/>
      <c r="W22" s="13"/>
      <c r="X22" s="13"/>
      <c r="Y22" s="13"/>
      <c r="Z22" s="13"/>
    </row>
    <row r="23" s="2" customFormat="1" hidden="1" spans="1:26">
      <c r="A23" s="11" t="s">
        <v>935</v>
      </c>
      <c r="B23" s="11" t="s">
        <v>937</v>
      </c>
      <c r="C23" s="14" t="s">
        <v>796</v>
      </c>
      <c r="D23" s="14" t="s">
        <v>938</v>
      </c>
      <c r="E23" s="14" t="s">
        <v>939</v>
      </c>
      <c r="F23" s="3" t="s">
        <v>936</v>
      </c>
      <c r="G23" s="4">
        <v>140</v>
      </c>
      <c r="H23" s="12">
        <v>21234.768</v>
      </c>
      <c r="I23" s="12">
        <v>-1925.022373</v>
      </c>
      <c r="J23" s="13">
        <v>-0.0906542691</v>
      </c>
      <c r="K23" s="13">
        <v>-0.0906542691</v>
      </c>
      <c r="L23" s="12">
        <v>22.3054285714</v>
      </c>
      <c r="M23" s="13">
        <v>0.138469688</v>
      </c>
      <c r="N23" s="13">
        <v>0.0458470066</v>
      </c>
      <c r="O23" s="13">
        <v>0.3556565346</v>
      </c>
      <c r="P23" s="13">
        <v>0.0427122161</v>
      </c>
      <c r="Q23" s="13">
        <v>0.0564442297</v>
      </c>
      <c r="R23" s="13">
        <v>0.3267642889</v>
      </c>
      <c r="S23" s="13">
        <v>0</v>
      </c>
      <c r="T23" s="13">
        <v>0.1079685918</v>
      </c>
      <c r="U23" s="13">
        <v>0.0142796879</v>
      </c>
      <c r="V23" s="13">
        <v>-0.002926898</v>
      </c>
      <c r="W23" s="13">
        <v>0</v>
      </c>
      <c r="X23" s="13">
        <v>0.000726921</v>
      </c>
      <c r="Y23" s="13">
        <v>0</v>
      </c>
      <c r="Z23" s="13">
        <v>0.0047120021</v>
      </c>
    </row>
    <row r="24" s="2" customFormat="1" hidden="1" spans="1:26">
      <c r="A24" s="11" t="s">
        <v>935</v>
      </c>
      <c r="B24" s="11" t="s">
        <v>937</v>
      </c>
      <c r="C24" s="14" t="s">
        <v>796</v>
      </c>
      <c r="D24" s="14" t="s">
        <v>938</v>
      </c>
      <c r="E24" s="14" t="s">
        <v>939</v>
      </c>
      <c r="F24" s="3" t="s">
        <v>940</v>
      </c>
      <c r="G24" s="4">
        <v>3</v>
      </c>
      <c r="H24" s="12">
        <v>489.396</v>
      </c>
      <c r="I24" s="12">
        <v>-167.704511</v>
      </c>
      <c r="J24" s="13">
        <v>-0.3426765053</v>
      </c>
      <c r="K24" s="13">
        <v>-0.3426765053</v>
      </c>
      <c r="L24" s="12">
        <v>23.99</v>
      </c>
      <c r="M24" s="13">
        <v>0.1287463832</v>
      </c>
      <c r="N24" s="13">
        <v>0.0581667484</v>
      </c>
      <c r="O24" s="13">
        <v>0.3138807836</v>
      </c>
      <c r="P24" s="13">
        <v>0</v>
      </c>
      <c r="Q24" s="13">
        <v>0.000819222</v>
      </c>
      <c r="R24" s="13">
        <v>0.7831209673</v>
      </c>
      <c r="S24" s="13">
        <v>0</v>
      </c>
      <c r="T24" s="13">
        <v>0.0443240238</v>
      </c>
      <c r="U24" s="13">
        <v>0.013276972</v>
      </c>
      <c r="V24" s="13">
        <v>0</v>
      </c>
      <c r="W24" s="13">
        <v>0</v>
      </c>
      <c r="X24" s="13">
        <v>0</v>
      </c>
      <c r="Y24" s="13">
        <v>0</v>
      </c>
      <c r="Z24" s="13">
        <v>0.0003414045</v>
      </c>
    </row>
    <row r="25" s="2" customFormat="1" hidden="1" spans="1:26">
      <c r="A25" s="11" t="s">
        <v>935</v>
      </c>
      <c r="B25" s="11" t="s">
        <v>937</v>
      </c>
      <c r="C25" s="14" t="s">
        <v>796</v>
      </c>
      <c r="D25" s="14" t="s">
        <v>938</v>
      </c>
      <c r="E25" s="14" t="s">
        <v>939</v>
      </c>
      <c r="F25" s="3" t="s">
        <v>941</v>
      </c>
      <c r="G25" s="4">
        <v>26</v>
      </c>
      <c r="H25" s="12">
        <v>3780.12</v>
      </c>
      <c r="I25" s="12">
        <v>-497.281262</v>
      </c>
      <c r="J25" s="13">
        <v>-0.1315517131</v>
      </c>
      <c r="K25" s="13">
        <v>-0.1315517131</v>
      </c>
      <c r="L25" s="12">
        <v>21.3807692307</v>
      </c>
      <c r="M25" s="13">
        <v>0.1444581203</v>
      </c>
      <c r="N25" s="13">
        <v>0.0652652053</v>
      </c>
      <c r="O25" s="13">
        <v>0.3678359417</v>
      </c>
      <c r="P25" s="13">
        <v>0</v>
      </c>
      <c r="Q25" s="13">
        <v>0.0429488558</v>
      </c>
      <c r="R25" s="13">
        <v>0.3755180433</v>
      </c>
      <c r="S25" s="13">
        <v>0</v>
      </c>
      <c r="T25" s="13">
        <v>0.1152905198</v>
      </c>
      <c r="U25" s="13">
        <v>0.014897245</v>
      </c>
      <c r="V25" s="13">
        <v>0</v>
      </c>
      <c r="W25" s="13">
        <v>0</v>
      </c>
      <c r="X25" s="13">
        <v>0</v>
      </c>
      <c r="Y25" s="13">
        <v>0</v>
      </c>
      <c r="Z25" s="13">
        <v>0.0053377816</v>
      </c>
    </row>
    <row r="26" s="2" customFormat="1" hidden="1" spans="1:26">
      <c r="A26" s="11" t="s">
        <v>935</v>
      </c>
      <c r="B26" s="11" t="s">
        <v>937</v>
      </c>
      <c r="C26" s="14" t="s">
        <v>796</v>
      </c>
      <c r="D26" s="14" t="s">
        <v>938</v>
      </c>
      <c r="E26" s="14" t="s">
        <v>939</v>
      </c>
      <c r="F26" s="3" t="s">
        <v>942</v>
      </c>
      <c r="G26" s="4">
        <v>12</v>
      </c>
      <c r="H26" s="12">
        <v>1821.584</v>
      </c>
      <c r="I26" s="12">
        <v>-487.154398</v>
      </c>
      <c r="J26" s="13">
        <v>-0.2674344954</v>
      </c>
      <c r="K26" s="13">
        <v>-0.2674344954</v>
      </c>
      <c r="L26" s="12">
        <v>22.3233333333</v>
      </c>
      <c r="M26" s="13">
        <v>0.1383586263</v>
      </c>
      <c r="N26" s="13">
        <v>0.0410170796</v>
      </c>
      <c r="O26" s="13">
        <v>0.356577572</v>
      </c>
      <c r="P26" s="13">
        <v>0.0725324772</v>
      </c>
      <c r="Q26" s="13">
        <v>0.2080985532</v>
      </c>
      <c r="R26" s="13">
        <v>0.3169853479</v>
      </c>
      <c r="S26" s="13">
        <v>0</v>
      </c>
      <c r="T26" s="13">
        <v>0.1131103479</v>
      </c>
      <c r="U26" s="13">
        <v>0.0142682346</v>
      </c>
      <c r="V26" s="13">
        <v>0</v>
      </c>
      <c r="W26" s="13">
        <v>0</v>
      </c>
      <c r="X26" s="13">
        <v>0</v>
      </c>
      <c r="Y26" s="13">
        <v>0</v>
      </c>
      <c r="Z26" s="13">
        <v>0.0064862564</v>
      </c>
    </row>
    <row r="27" s="2" customFormat="1" hidden="1" spans="1:26">
      <c r="A27" s="11" t="s">
        <v>935</v>
      </c>
      <c r="B27" s="11" t="s">
        <v>937</v>
      </c>
      <c r="C27" s="14" t="s">
        <v>796</v>
      </c>
      <c r="D27" s="14" t="s">
        <v>938</v>
      </c>
      <c r="E27" s="14" t="s">
        <v>939</v>
      </c>
      <c r="F27" s="3" t="s">
        <v>943</v>
      </c>
      <c r="G27" s="4">
        <v>25</v>
      </c>
      <c r="H27" s="12">
        <v>4064.7</v>
      </c>
      <c r="I27" s="12">
        <v>-601.259144</v>
      </c>
      <c r="J27" s="13">
        <v>-0.1479221452</v>
      </c>
      <c r="K27" s="13">
        <v>-0.1479221452</v>
      </c>
      <c r="L27" s="12">
        <v>23.91</v>
      </c>
      <c r="M27" s="13">
        <v>0.1291771532</v>
      </c>
      <c r="N27" s="13">
        <v>0.0382951878</v>
      </c>
      <c r="O27" s="13">
        <v>0.3329150982</v>
      </c>
      <c r="P27" s="13">
        <v>0.0802676704</v>
      </c>
      <c r="Q27" s="13">
        <v>0.0838331935</v>
      </c>
      <c r="R27" s="13">
        <v>0.3511559236</v>
      </c>
      <c r="S27" s="13">
        <v>0</v>
      </c>
      <c r="T27" s="13">
        <v>0.1060811375</v>
      </c>
      <c r="U27" s="13">
        <v>0.0133213951</v>
      </c>
      <c r="V27" s="13">
        <v>0</v>
      </c>
      <c r="W27" s="13">
        <v>0</v>
      </c>
      <c r="X27" s="13">
        <v>0</v>
      </c>
      <c r="Y27" s="13">
        <v>0</v>
      </c>
      <c r="Z27" s="13">
        <v>0.0128753853</v>
      </c>
    </row>
    <row r="28" s="2" customFormat="1" spans="1:26">
      <c r="A28" s="11" t="s">
        <v>935</v>
      </c>
      <c r="B28" s="11" t="s">
        <v>937</v>
      </c>
      <c r="C28" s="14" t="s">
        <v>796</v>
      </c>
      <c r="D28" s="14" t="s">
        <v>938</v>
      </c>
      <c r="E28" s="14" t="s">
        <v>939</v>
      </c>
      <c r="F28" s="3" t="s">
        <v>944</v>
      </c>
      <c r="G28" s="4">
        <v>74</v>
      </c>
      <c r="H28" s="12">
        <v>11078.968</v>
      </c>
      <c r="I28" s="12">
        <v>-128.073559</v>
      </c>
      <c r="J28" s="13">
        <v>-0.0115600621</v>
      </c>
      <c r="K28" s="13">
        <v>-0.0115600621</v>
      </c>
      <c r="L28" s="12">
        <v>22.017027027</v>
      </c>
      <c r="M28" s="13">
        <v>0.1402835056</v>
      </c>
      <c r="N28" s="13">
        <v>0.0422421259</v>
      </c>
      <c r="O28" s="13">
        <v>0.3615383671</v>
      </c>
      <c r="P28" s="13">
        <v>0.0404907749</v>
      </c>
      <c r="Q28" s="13">
        <v>0.0285226559</v>
      </c>
      <c r="R28" s="13">
        <v>0.2786988745</v>
      </c>
      <c r="S28" s="13">
        <v>0</v>
      </c>
      <c r="T28" s="13">
        <v>0.1081288437</v>
      </c>
      <c r="U28" s="13">
        <v>0.0144667378</v>
      </c>
      <c r="V28" s="13">
        <v>-0.0056099087</v>
      </c>
      <c r="W28" s="13">
        <v>0</v>
      </c>
      <c r="X28" s="13">
        <v>0.0013932704</v>
      </c>
      <c r="Y28" s="13">
        <v>0</v>
      </c>
      <c r="Z28" s="13">
        <v>0.0014048145</v>
      </c>
    </row>
    <row r="29" s="2" customFormat="1" hidden="1" spans="1:26">
      <c r="A29" s="11" t="s">
        <v>935</v>
      </c>
      <c r="B29" s="11" t="s">
        <v>937</v>
      </c>
      <c r="C29" s="14" t="s">
        <v>796</v>
      </c>
      <c r="D29" s="14" t="s">
        <v>938</v>
      </c>
      <c r="E29" s="14" t="s">
        <v>939</v>
      </c>
      <c r="F29" s="3" t="s">
        <v>945</v>
      </c>
      <c r="G29" s="4">
        <v>0</v>
      </c>
      <c r="H29" s="12">
        <v>0</v>
      </c>
      <c r="I29" s="12">
        <v>-43.549499</v>
      </c>
      <c r="J29" s="13"/>
      <c r="K29" s="13"/>
      <c r="L29" s="12"/>
      <c r="M29" s="13"/>
      <c r="N29" s="13"/>
      <c r="O29" s="13"/>
      <c r="P29" s="13"/>
      <c r="Q29" s="13"/>
      <c r="R29" s="13"/>
      <c r="S29" s="13"/>
      <c r="T29" s="13"/>
      <c r="U29" s="13"/>
      <c r="V29" s="13"/>
      <c r="W29" s="13"/>
      <c r="X29" s="13"/>
      <c r="Y29" s="13"/>
      <c r="Z29" s="13"/>
    </row>
    <row r="30" s="2" customFormat="1" hidden="1" spans="1:26">
      <c r="A30" s="11" t="s">
        <v>935</v>
      </c>
      <c r="B30" s="11" t="s">
        <v>937</v>
      </c>
      <c r="C30" s="14" t="s">
        <v>798</v>
      </c>
      <c r="D30" s="14" t="s">
        <v>938</v>
      </c>
      <c r="E30" s="14" t="s">
        <v>939</v>
      </c>
      <c r="F30" s="3" t="s">
        <v>936</v>
      </c>
      <c r="G30" s="4">
        <v>257</v>
      </c>
      <c r="H30" s="12">
        <v>37492.276</v>
      </c>
      <c r="I30" s="12">
        <v>1399.225895</v>
      </c>
      <c r="J30" s="13">
        <v>0.0373203775</v>
      </c>
      <c r="K30" s="13">
        <v>0.0373203775</v>
      </c>
      <c r="L30" s="12">
        <v>21.4535797665</v>
      </c>
      <c r="M30" s="13">
        <v>0.1201819225</v>
      </c>
      <c r="N30" s="13">
        <v>0.0523303134</v>
      </c>
      <c r="O30" s="13">
        <v>0.3444519612</v>
      </c>
      <c r="P30" s="13">
        <v>0.0577865158</v>
      </c>
      <c r="Q30" s="13">
        <v>0.0306274963</v>
      </c>
      <c r="R30" s="13">
        <v>0.2369264316</v>
      </c>
      <c r="S30" s="13">
        <v>0</v>
      </c>
      <c r="T30" s="13">
        <v>0.102717477</v>
      </c>
      <c r="U30" s="13">
        <v>0.0123937623</v>
      </c>
      <c r="V30" s="13">
        <v>0.0005676902</v>
      </c>
      <c r="W30" s="13">
        <v>-0.0006438083</v>
      </c>
      <c r="X30" s="13">
        <v>0.0012351343</v>
      </c>
      <c r="Y30" s="13">
        <v>0</v>
      </c>
      <c r="Z30" s="13">
        <v>0.0041047256</v>
      </c>
    </row>
    <row r="31" s="2" customFormat="1" hidden="1" spans="1:26">
      <c r="A31" s="11" t="s">
        <v>935</v>
      </c>
      <c r="B31" s="11" t="s">
        <v>937</v>
      </c>
      <c r="C31" s="14" t="s">
        <v>798</v>
      </c>
      <c r="D31" s="14" t="s">
        <v>938</v>
      </c>
      <c r="E31" s="14" t="s">
        <v>939</v>
      </c>
      <c r="F31" s="3" t="s">
        <v>940</v>
      </c>
      <c r="G31" s="4">
        <v>2</v>
      </c>
      <c r="H31" s="12">
        <v>326.264</v>
      </c>
      <c r="I31" s="12">
        <v>-163.978206</v>
      </c>
      <c r="J31" s="13">
        <v>-0.5025936235</v>
      </c>
      <c r="K31" s="13">
        <v>-0.5025936235</v>
      </c>
      <c r="L31" s="12">
        <v>23.99</v>
      </c>
      <c r="M31" s="13">
        <v>0.1096077471</v>
      </c>
      <c r="N31" s="13">
        <v>0.0434201628</v>
      </c>
      <c r="O31" s="13">
        <v>0.2972071696</v>
      </c>
      <c r="P31" s="13">
        <v>0</v>
      </c>
      <c r="Q31" s="13">
        <v>0.0008192537</v>
      </c>
      <c r="R31" s="13">
        <v>1.027389433</v>
      </c>
      <c r="S31" s="13">
        <v>0</v>
      </c>
      <c r="T31" s="13">
        <v>0.0125052105</v>
      </c>
      <c r="U31" s="13">
        <v>0.0113033003</v>
      </c>
      <c r="V31" s="13">
        <v>0</v>
      </c>
      <c r="W31" s="13">
        <v>0</v>
      </c>
      <c r="X31" s="13">
        <v>0</v>
      </c>
      <c r="Y31" s="13">
        <v>0</v>
      </c>
      <c r="Z31" s="13">
        <v>0.0003413462</v>
      </c>
    </row>
    <row r="32" s="2" customFormat="1" hidden="1" spans="1:26">
      <c r="A32" s="11" t="s">
        <v>935</v>
      </c>
      <c r="B32" s="11" t="s">
        <v>937</v>
      </c>
      <c r="C32" s="14" t="s">
        <v>798</v>
      </c>
      <c r="D32" s="14" t="s">
        <v>938</v>
      </c>
      <c r="E32" s="14" t="s">
        <v>939</v>
      </c>
      <c r="F32" s="3" t="s">
        <v>941</v>
      </c>
      <c r="G32" s="4">
        <v>57</v>
      </c>
      <c r="H32" s="12">
        <v>7937.776</v>
      </c>
      <c r="I32" s="12">
        <v>566.881849</v>
      </c>
      <c r="J32" s="13">
        <v>0.0714157024</v>
      </c>
      <c r="K32" s="13">
        <v>0.0714157024</v>
      </c>
      <c r="L32" s="12">
        <v>20.4792982456</v>
      </c>
      <c r="M32" s="13">
        <v>0.1261448718</v>
      </c>
      <c r="N32" s="13">
        <v>0.049971209</v>
      </c>
      <c r="O32" s="13">
        <v>0.3599698454</v>
      </c>
      <c r="P32" s="13">
        <v>0.0871312065</v>
      </c>
      <c r="Q32" s="13">
        <v>0.0163687539</v>
      </c>
      <c r="R32" s="13">
        <v>0.1616758343</v>
      </c>
      <c r="S32" s="13">
        <v>0</v>
      </c>
      <c r="T32" s="13">
        <v>0.1082993523</v>
      </c>
      <c r="U32" s="13">
        <v>0.0130086916</v>
      </c>
      <c r="V32" s="13">
        <v>0.0006767638</v>
      </c>
      <c r="W32" s="13">
        <v>0</v>
      </c>
      <c r="X32" s="13">
        <v>0</v>
      </c>
      <c r="Y32" s="13">
        <v>0</v>
      </c>
      <c r="Z32" s="13">
        <v>0.0053377685</v>
      </c>
    </row>
    <row r="33" s="2" customFormat="1" hidden="1" spans="1:26">
      <c r="A33" s="11" t="s">
        <v>935</v>
      </c>
      <c r="B33" s="11" t="s">
        <v>937</v>
      </c>
      <c r="C33" s="14" t="s">
        <v>798</v>
      </c>
      <c r="D33" s="14" t="s">
        <v>938</v>
      </c>
      <c r="E33" s="14" t="s">
        <v>939</v>
      </c>
      <c r="F33" s="3" t="s">
        <v>942</v>
      </c>
      <c r="G33" s="4">
        <v>43</v>
      </c>
      <c r="H33" s="12">
        <v>5697.176</v>
      </c>
      <c r="I33" s="12">
        <v>443.078722</v>
      </c>
      <c r="J33" s="13">
        <v>0.0777716401</v>
      </c>
      <c r="K33" s="13">
        <v>0.0777716401</v>
      </c>
      <c r="L33" s="12">
        <v>19.4841860465</v>
      </c>
      <c r="M33" s="13">
        <v>0.1224011175</v>
      </c>
      <c r="N33" s="13">
        <v>0.0428343954</v>
      </c>
      <c r="O33" s="13">
        <v>0.351447805</v>
      </c>
      <c r="P33" s="13">
        <v>0.0715786207</v>
      </c>
      <c r="Q33" s="13">
        <v>0.0590630085</v>
      </c>
      <c r="R33" s="13">
        <v>0.1449469788</v>
      </c>
      <c r="S33" s="13">
        <v>0</v>
      </c>
      <c r="T33" s="13">
        <v>0.1122914229</v>
      </c>
      <c r="U33" s="13">
        <v>0.0126226168</v>
      </c>
      <c r="V33" s="13">
        <v>0.0027929626</v>
      </c>
      <c r="W33" s="13">
        <v>-0.004236808</v>
      </c>
      <c r="X33" s="13">
        <v>0</v>
      </c>
      <c r="Y33" s="13">
        <v>0</v>
      </c>
      <c r="Z33" s="13">
        <v>0.0064862391</v>
      </c>
    </row>
    <row r="34" s="2" customFormat="1" hidden="1" spans="1:26">
      <c r="A34" s="11" t="s">
        <v>935</v>
      </c>
      <c r="B34" s="11" t="s">
        <v>937</v>
      </c>
      <c r="C34" s="14" t="s">
        <v>798</v>
      </c>
      <c r="D34" s="14" t="s">
        <v>938</v>
      </c>
      <c r="E34" s="14" t="s">
        <v>939</v>
      </c>
      <c r="F34" s="3" t="s">
        <v>943</v>
      </c>
      <c r="G34" s="4">
        <v>24</v>
      </c>
      <c r="H34" s="12">
        <v>3629.568</v>
      </c>
      <c r="I34" s="12">
        <v>-71.473066</v>
      </c>
      <c r="J34" s="13">
        <v>-0.0196918933</v>
      </c>
      <c r="K34" s="13">
        <v>-0.0196918933</v>
      </c>
      <c r="L34" s="12">
        <v>22.24</v>
      </c>
      <c r="M34" s="13">
        <v>0.1182324574</v>
      </c>
      <c r="N34" s="13">
        <v>0.0557256995</v>
      </c>
      <c r="O34" s="13">
        <v>0.3394784172</v>
      </c>
      <c r="P34" s="13">
        <v>0.0468187949</v>
      </c>
      <c r="Q34" s="13">
        <v>0.0967660302</v>
      </c>
      <c r="R34" s="13">
        <v>0.2215324129</v>
      </c>
      <c r="S34" s="13">
        <v>0</v>
      </c>
      <c r="T34" s="13">
        <v>0.1046350419</v>
      </c>
      <c r="U34" s="13">
        <v>0.0121927237</v>
      </c>
      <c r="V34" s="13">
        <v>0</v>
      </c>
      <c r="W34" s="13">
        <v>0</v>
      </c>
      <c r="X34" s="13">
        <v>0.0114349134</v>
      </c>
      <c r="Y34" s="13">
        <v>0</v>
      </c>
      <c r="Z34" s="13">
        <v>0.0128754017</v>
      </c>
    </row>
    <row r="35" s="2" customFormat="1" spans="1:26">
      <c r="A35" s="11" t="s">
        <v>935</v>
      </c>
      <c r="B35" s="11" t="s">
        <v>937</v>
      </c>
      <c r="C35" s="14" t="s">
        <v>798</v>
      </c>
      <c r="D35" s="14" t="s">
        <v>938</v>
      </c>
      <c r="E35" s="14" t="s">
        <v>939</v>
      </c>
      <c r="F35" s="3" t="s">
        <v>944</v>
      </c>
      <c r="G35" s="4">
        <v>130</v>
      </c>
      <c r="H35" s="12">
        <v>19738.36</v>
      </c>
      <c r="I35" s="12">
        <v>708.650598</v>
      </c>
      <c r="J35" s="13">
        <v>0.0359022025</v>
      </c>
      <c r="K35" s="13">
        <v>0.0359022025</v>
      </c>
      <c r="L35" s="12">
        <v>22.3284615384</v>
      </c>
      <c r="M35" s="13">
        <v>0.1177640406</v>
      </c>
      <c r="N35" s="13">
        <v>0.0555480039</v>
      </c>
      <c r="O35" s="13">
        <v>0.3381334619</v>
      </c>
      <c r="P35" s="13">
        <v>0.0378785268</v>
      </c>
      <c r="Q35" s="13">
        <v>0.0167381944</v>
      </c>
      <c r="R35" s="13">
        <v>0.2849560715</v>
      </c>
      <c r="S35" s="13">
        <v>0</v>
      </c>
      <c r="T35" s="13">
        <v>0.0992868708</v>
      </c>
      <c r="U35" s="13">
        <v>0.0121444182</v>
      </c>
      <c r="V35" s="13">
        <v>0</v>
      </c>
      <c r="W35" s="13">
        <v>0</v>
      </c>
      <c r="X35" s="13">
        <v>0.0002433942</v>
      </c>
      <c r="Y35" s="13">
        <v>0</v>
      </c>
      <c r="Z35" s="13">
        <v>0.0014048145</v>
      </c>
    </row>
    <row r="36" s="2" customFormat="1" hidden="1" spans="1:26">
      <c r="A36" s="11" t="s">
        <v>935</v>
      </c>
      <c r="B36" s="11" t="s">
        <v>937</v>
      </c>
      <c r="C36" s="14" t="s">
        <v>798</v>
      </c>
      <c r="D36" s="14" t="s">
        <v>938</v>
      </c>
      <c r="E36" s="14" t="s">
        <v>939</v>
      </c>
      <c r="F36" s="3" t="s">
        <v>945</v>
      </c>
      <c r="G36" s="4">
        <v>1</v>
      </c>
      <c r="H36" s="12">
        <v>163.132</v>
      </c>
      <c r="I36" s="12">
        <v>-83.934002</v>
      </c>
      <c r="J36" s="13">
        <v>-0.5145158644</v>
      </c>
      <c r="K36" s="13">
        <v>-0.5145158644</v>
      </c>
      <c r="L36" s="12">
        <v>23.99</v>
      </c>
      <c r="M36" s="13">
        <v>0.1096077471</v>
      </c>
      <c r="N36" s="13">
        <v>0.0517007699</v>
      </c>
      <c r="O36" s="13">
        <v>0.3147144643</v>
      </c>
      <c r="P36" s="13">
        <v>0.9166319299</v>
      </c>
      <c r="Q36" s="13">
        <v>0</v>
      </c>
      <c r="R36" s="13">
        <v>0.060953651</v>
      </c>
      <c r="S36" s="13">
        <v>0</v>
      </c>
      <c r="T36" s="13">
        <v>0.0496040016</v>
      </c>
      <c r="U36" s="13">
        <v>0.0113033003</v>
      </c>
      <c r="V36" s="13">
        <v>0</v>
      </c>
      <c r="W36" s="13">
        <v>0</v>
      </c>
      <c r="X36" s="13">
        <v>0</v>
      </c>
      <c r="Y36" s="13">
        <v>0</v>
      </c>
      <c r="Z36" s="13">
        <v>0</v>
      </c>
    </row>
    <row r="37" s="2" customFormat="1" hidden="1" spans="1:26">
      <c r="A37" s="11" t="s">
        <v>935</v>
      </c>
      <c r="B37" s="11" t="s">
        <v>937</v>
      </c>
      <c r="C37" s="14" t="s">
        <v>800</v>
      </c>
      <c r="D37" s="14" t="s">
        <v>938</v>
      </c>
      <c r="E37" s="14" t="s">
        <v>939</v>
      </c>
      <c r="F37" s="3" t="s">
        <v>936</v>
      </c>
      <c r="G37" s="4">
        <v>179</v>
      </c>
      <c r="H37" s="12">
        <v>28678.456</v>
      </c>
      <c r="I37" s="12">
        <v>-5909.774936</v>
      </c>
      <c r="J37" s="13">
        <v>-0.206070192</v>
      </c>
      <c r="K37" s="13">
        <v>-0.206070192</v>
      </c>
      <c r="L37" s="12">
        <v>23.5610055865</v>
      </c>
      <c r="M37" s="13">
        <v>0.1703630598</v>
      </c>
      <c r="N37" s="13">
        <v>0.0568313829</v>
      </c>
      <c r="O37" s="13">
        <v>0.3393377941</v>
      </c>
      <c r="P37" s="13">
        <v>0.1126280996</v>
      </c>
      <c r="Q37" s="13">
        <v>0.0505523459</v>
      </c>
      <c r="R37" s="13">
        <v>0.3527072022</v>
      </c>
      <c r="S37" s="13">
        <v>0</v>
      </c>
      <c r="T37" s="13">
        <v>0.1030037321</v>
      </c>
      <c r="U37" s="13">
        <v>0.0175686911</v>
      </c>
      <c r="V37" s="13">
        <v>0</v>
      </c>
      <c r="W37" s="13">
        <v>-0.0054513063</v>
      </c>
      <c r="X37" s="13">
        <v>0.0037463662</v>
      </c>
      <c r="Y37" s="13">
        <v>0</v>
      </c>
      <c r="Z37" s="13">
        <v>0.004782824</v>
      </c>
    </row>
    <row r="38" s="2" customFormat="1" hidden="1" spans="1:26">
      <c r="A38" s="11" t="s">
        <v>935</v>
      </c>
      <c r="B38" s="11" t="s">
        <v>937</v>
      </c>
      <c r="C38" s="14" t="s">
        <v>800</v>
      </c>
      <c r="D38" s="14" t="s">
        <v>938</v>
      </c>
      <c r="E38" s="14" t="s">
        <v>939</v>
      </c>
      <c r="F38" s="3" t="s">
        <v>941</v>
      </c>
      <c r="G38" s="4">
        <v>0</v>
      </c>
      <c r="H38" s="12">
        <v>0</v>
      </c>
      <c r="I38" s="12">
        <v>-5.78</v>
      </c>
      <c r="J38" s="13"/>
      <c r="K38" s="13"/>
      <c r="L38" s="12"/>
      <c r="M38" s="13"/>
      <c r="N38" s="13"/>
      <c r="O38" s="13"/>
      <c r="P38" s="13"/>
      <c r="Q38" s="13"/>
      <c r="R38" s="13"/>
      <c r="S38" s="13"/>
      <c r="T38" s="13"/>
      <c r="U38" s="13"/>
      <c r="V38" s="13"/>
      <c r="W38" s="13"/>
      <c r="X38" s="13"/>
      <c r="Y38" s="13"/>
      <c r="Z38" s="13"/>
    </row>
    <row r="39" s="2" customFormat="1" hidden="1" spans="1:26">
      <c r="A39" s="11" t="s">
        <v>935</v>
      </c>
      <c r="B39" s="11" t="s">
        <v>937</v>
      </c>
      <c r="C39" s="14" t="s">
        <v>800</v>
      </c>
      <c r="D39" s="14" t="s">
        <v>938</v>
      </c>
      <c r="E39" s="14" t="s">
        <v>939</v>
      </c>
      <c r="F39" s="3" t="s">
        <v>942</v>
      </c>
      <c r="G39" s="4">
        <v>25</v>
      </c>
      <c r="H39" s="12">
        <v>4078.3</v>
      </c>
      <c r="I39" s="12">
        <v>-521.654389</v>
      </c>
      <c r="J39" s="13">
        <v>-0.1279097636</v>
      </c>
      <c r="K39" s="13">
        <v>-0.1279097636</v>
      </c>
      <c r="L39" s="12">
        <v>23.99</v>
      </c>
      <c r="M39" s="13">
        <v>0.1673165907</v>
      </c>
      <c r="N39" s="13">
        <v>0.0613195387</v>
      </c>
      <c r="O39" s="13">
        <v>0.3351396415</v>
      </c>
      <c r="P39" s="13">
        <v>0.12</v>
      </c>
      <c r="Q39" s="13">
        <v>0.0256237949</v>
      </c>
      <c r="R39" s="13">
        <v>0.2896256172</v>
      </c>
      <c r="S39" s="13">
        <v>0</v>
      </c>
      <c r="T39" s="13">
        <v>0.1051438099</v>
      </c>
      <c r="U39" s="13">
        <v>0.0172545239</v>
      </c>
      <c r="V39" s="13">
        <v>0</v>
      </c>
      <c r="W39" s="13">
        <v>0</v>
      </c>
      <c r="X39" s="13">
        <v>0</v>
      </c>
      <c r="Y39" s="13">
        <v>0</v>
      </c>
      <c r="Z39" s="13">
        <v>0.0064862464</v>
      </c>
    </row>
    <row r="40" s="2" customFormat="1" hidden="1" spans="1:26">
      <c r="A40" s="11" t="s">
        <v>935</v>
      </c>
      <c r="B40" s="11" t="s">
        <v>937</v>
      </c>
      <c r="C40" s="14" t="s">
        <v>800</v>
      </c>
      <c r="D40" s="14" t="s">
        <v>938</v>
      </c>
      <c r="E40" s="14" t="s">
        <v>939</v>
      </c>
      <c r="F40" s="3" t="s">
        <v>943</v>
      </c>
      <c r="G40" s="4">
        <v>44</v>
      </c>
      <c r="H40" s="12">
        <v>6818.768</v>
      </c>
      <c r="I40" s="12">
        <v>-2627.74941</v>
      </c>
      <c r="J40" s="13">
        <v>-0.3853701152</v>
      </c>
      <c r="K40" s="13">
        <v>-0.3853701152</v>
      </c>
      <c r="L40" s="12">
        <v>22.79</v>
      </c>
      <c r="M40" s="13">
        <v>0.1761265906</v>
      </c>
      <c r="N40" s="13">
        <v>0.0578134114</v>
      </c>
      <c r="O40" s="13">
        <v>0.3527863097</v>
      </c>
      <c r="P40" s="13">
        <v>0.1387570305</v>
      </c>
      <c r="Q40" s="13">
        <v>0.1037938472</v>
      </c>
      <c r="R40" s="13">
        <v>0.4392757321</v>
      </c>
      <c r="S40" s="13">
        <v>0</v>
      </c>
      <c r="T40" s="13">
        <v>0.1017292273</v>
      </c>
      <c r="U40" s="13">
        <v>0.0181630552</v>
      </c>
      <c r="V40" s="13">
        <v>0</v>
      </c>
      <c r="W40" s="13">
        <v>-0.0159504546</v>
      </c>
      <c r="X40" s="13">
        <v>0</v>
      </c>
      <c r="Y40" s="13">
        <v>0</v>
      </c>
      <c r="Z40" s="13">
        <v>0.0128753654</v>
      </c>
    </row>
    <row r="41" s="2" customFormat="1" spans="1:26">
      <c r="A41" s="11" t="s">
        <v>935</v>
      </c>
      <c r="B41" s="11" t="s">
        <v>937</v>
      </c>
      <c r="C41" s="14" t="s">
        <v>800</v>
      </c>
      <c r="D41" s="14" t="s">
        <v>938</v>
      </c>
      <c r="E41" s="14" t="s">
        <v>939</v>
      </c>
      <c r="F41" s="3" t="s">
        <v>944</v>
      </c>
      <c r="G41" s="4">
        <v>101</v>
      </c>
      <c r="H41" s="12">
        <v>16313.2</v>
      </c>
      <c r="I41" s="12">
        <v>-2922.279186</v>
      </c>
      <c r="J41" s="13">
        <v>-0.1791358645</v>
      </c>
      <c r="K41" s="13">
        <v>-0.1791358645</v>
      </c>
      <c r="L41" s="12">
        <v>23.7524752475</v>
      </c>
      <c r="M41" s="13">
        <v>0.1689897563</v>
      </c>
      <c r="N41" s="13">
        <v>0.0554707512</v>
      </c>
      <c r="O41" s="13">
        <v>0.3351438099</v>
      </c>
      <c r="P41" s="13">
        <v>0.11</v>
      </c>
      <c r="Q41" s="13">
        <v>0.0390797354</v>
      </c>
      <c r="R41" s="13">
        <v>0.3436705267</v>
      </c>
      <c r="S41" s="13">
        <v>0</v>
      </c>
      <c r="T41" s="13">
        <v>0.1021967486</v>
      </c>
      <c r="U41" s="13">
        <v>0.0174270691</v>
      </c>
      <c r="V41" s="13">
        <v>0</v>
      </c>
      <c r="W41" s="13">
        <v>-0.0006938215</v>
      </c>
      <c r="X41" s="13">
        <v>0.0064464738</v>
      </c>
      <c r="Y41" s="13">
        <v>0</v>
      </c>
      <c r="Z41" s="13">
        <v>0.0014048145</v>
      </c>
    </row>
    <row r="42" s="2" customFormat="1" hidden="1" spans="1:26">
      <c r="A42" s="11" t="s">
        <v>935</v>
      </c>
      <c r="B42" s="11" t="s">
        <v>937</v>
      </c>
      <c r="C42" s="14" t="s">
        <v>800</v>
      </c>
      <c r="D42" s="14" t="s">
        <v>938</v>
      </c>
      <c r="E42" s="14" t="s">
        <v>939</v>
      </c>
      <c r="F42" s="3" t="s">
        <v>945</v>
      </c>
      <c r="G42" s="4">
        <v>9</v>
      </c>
      <c r="H42" s="12">
        <v>1468.188</v>
      </c>
      <c r="I42" s="12">
        <v>167.688049</v>
      </c>
      <c r="J42" s="13">
        <v>0.1142142893</v>
      </c>
      <c r="K42" s="13">
        <v>0.1142142893</v>
      </c>
      <c r="L42" s="12">
        <v>23.99</v>
      </c>
      <c r="M42" s="13">
        <v>0.1673165909</v>
      </c>
      <c r="N42" s="13">
        <v>0.0549215359</v>
      </c>
      <c r="O42" s="13">
        <v>0.3351396415</v>
      </c>
      <c r="P42" s="13">
        <v>0</v>
      </c>
      <c r="Q42" s="13">
        <v>0</v>
      </c>
      <c r="R42" s="13">
        <v>0.2223505994</v>
      </c>
      <c r="S42" s="13">
        <v>0</v>
      </c>
      <c r="T42" s="13">
        <v>0.1119447918</v>
      </c>
      <c r="U42" s="13">
        <v>0.0172545239</v>
      </c>
      <c r="V42" s="13">
        <v>0</v>
      </c>
      <c r="W42" s="13">
        <v>-0.0246931251</v>
      </c>
      <c r="X42" s="13">
        <v>0.0015511521</v>
      </c>
      <c r="Y42" s="13">
        <v>0</v>
      </c>
      <c r="Z42" s="13">
        <v>0</v>
      </c>
    </row>
    <row r="43" s="2" customFormat="1" hidden="1" spans="1:26">
      <c r="A43" s="11" t="s">
        <v>935</v>
      </c>
      <c r="B43" s="11" t="s">
        <v>937</v>
      </c>
      <c r="C43" s="14" t="s">
        <v>802</v>
      </c>
      <c r="D43" s="14" t="s">
        <v>938</v>
      </c>
      <c r="E43" s="14" t="s">
        <v>939</v>
      </c>
      <c r="F43" s="3" t="s">
        <v>936</v>
      </c>
      <c r="G43" s="4">
        <v>37</v>
      </c>
      <c r="H43" s="12">
        <v>6174.672</v>
      </c>
      <c r="I43" s="12">
        <v>-1645.539513</v>
      </c>
      <c r="J43" s="13">
        <v>-0.2664982873</v>
      </c>
      <c r="K43" s="13">
        <v>-0.2664982873</v>
      </c>
      <c r="L43" s="12">
        <v>24.5416216216</v>
      </c>
      <c r="M43" s="13">
        <v>0.1156392614</v>
      </c>
      <c r="N43" s="13">
        <v>0.0501310791</v>
      </c>
      <c r="O43" s="13">
        <v>0.2727192634</v>
      </c>
      <c r="P43" s="13">
        <v>0.1656755209</v>
      </c>
      <c r="Q43" s="13">
        <v>0.0709584149</v>
      </c>
      <c r="R43" s="13">
        <v>0.5166467065</v>
      </c>
      <c r="S43" s="13">
        <v>0</v>
      </c>
      <c r="T43" s="13">
        <v>0.0716268005</v>
      </c>
      <c r="U43" s="13">
        <v>0.011925299</v>
      </c>
      <c r="V43" s="13">
        <v>0</v>
      </c>
      <c r="W43" s="13">
        <v>-0.0142849563</v>
      </c>
      <c r="X43" s="13">
        <v>0</v>
      </c>
      <c r="Y43" s="13">
        <v>0</v>
      </c>
      <c r="Z43" s="13">
        <v>0.0054608975</v>
      </c>
    </row>
    <row r="44" s="2" customFormat="1" hidden="1" spans="1:26">
      <c r="A44" s="11" t="s">
        <v>935</v>
      </c>
      <c r="B44" s="11" t="s">
        <v>937</v>
      </c>
      <c r="C44" s="14" t="s">
        <v>802</v>
      </c>
      <c r="D44" s="14" t="s">
        <v>938</v>
      </c>
      <c r="E44" s="14" t="s">
        <v>939</v>
      </c>
      <c r="F44" s="3" t="s">
        <v>942</v>
      </c>
      <c r="G44" s="4">
        <v>12</v>
      </c>
      <c r="H44" s="12">
        <v>2120.784</v>
      </c>
      <c r="I44" s="12">
        <v>-783.414973</v>
      </c>
      <c r="J44" s="13">
        <v>-0.3693987567</v>
      </c>
      <c r="K44" s="13">
        <v>-0.3693987567</v>
      </c>
      <c r="L44" s="12">
        <v>25.99</v>
      </c>
      <c r="M44" s="13">
        <v>0.1091948826</v>
      </c>
      <c r="N44" s="13">
        <v>0.0267699115</v>
      </c>
      <c r="O44" s="13">
        <v>0.2630178273</v>
      </c>
      <c r="P44" s="13">
        <v>0</v>
      </c>
      <c r="Q44" s="13">
        <v>0.0003234252</v>
      </c>
      <c r="R44" s="13">
        <v>0.9237129537</v>
      </c>
      <c r="S44" s="13">
        <v>0</v>
      </c>
      <c r="T44" s="13">
        <v>0.0286328074</v>
      </c>
      <c r="U44" s="13">
        <v>0.0112607224</v>
      </c>
      <c r="V44" s="13">
        <v>0</v>
      </c>
      <c r="W44" s="13">
        <v>0</v>
      </c>
      <c r="X44" s="13">
        <v>0</v>
      </c>
      <c r="Y44" s="13">
        <v>0</v>
      </c>
      <c r="Z44" s="13">
        <v>0.0064862263</v>
      </c>
    </row>
    <row r="45" s="2" customFormat="1" hidden="1" spans="1:26">
      <c r="A45" s="11" t="s">
        <v>935</v>
      </c>
      <c r="B45" s="11" t="s">
        <v>937</v>
      </c>
      <c r="C45" s="14" t="s">
        <v>802</v>
      </c>
      <c r="D45" s="14" t="s">
        <v>938</v>
      </c>
      <c r="E45" s="14" t="s">
        <v>939</v>
      </c>
      <c r="F45" s="3" t="s">
        <v>943</v>
      </c>
      <c r="G45" s="4">
        <v>8</v>
      </c>
      <c r="H45" s="12">
        <v>1243.924</v>
      </c>
      <c r="I45" s="12">
        <v>38.781743</v>
      </c>
      <c r="J45" s="13">
        <v>0.0311769392</v>
      </c>
      <c r="K45" s="13">
        <v>0.0311769392</v>
      </c>
      <c r="L45" s="12">
        <v>22.86625</v>
      </c>
      <c r="M45" s="13">
        <v>0.1241119553</v>
      </c>
      <c r="N45" s="13">
        <v>0.0651260044</v>
      </c>
      <c r="O45" s="13">
        <v>0.2640354233</v>
      </c>
      <c r="P45" s="13">
        <v>0</v>
      </c>
      <c r="Q45" s="13">
        <v>0.1770235922</v>
      </c>
      <c r="R45" s="13">
        <v>0.1996937046</v>
      </c>
      <c r="S45" s="13">
        <v>0</v>
      </c>
      <c r="T45" s="13">
        <v>0.1131580385</v>
      </c>
      <c r="U45" s="13">
        <v>0.0127990456</v>
      </c>
      <c r="V45" s="13">
        <v>0</v>
      </c>
      <c r="W45" s="13">
        <v>0</v>
      </c>
      <c r="X45" s="13">
        <v>0</v>
      </c>
      <c r="Y45" s="13">
        <v>0</v>
      </c>
      <c r="Z45" s="13">
        <v>0.0128752962</v>
      </c>
    </row>
    <row r="46" s="2" customFormat="1" spans="1:26">
      <c r="A46" s="11" t="s">
        <v>935</v>
      </c>
      <c r="B46" s="11" t="s">
        <v>937</v>
      </c>
      <c r="C46" s="14" t="s">
        <v>802</v>
      </c>
      <c r="D46" s="14" t="s">
        <v>938</v>
      </c>
      <c r="E46" s="14" t="s">
        <v>939</v>
      </c>
      <c r="F46" s="3" t="s">
        <v>944</v>
      </c>
      <c r="G46" s="4">
        <v>17</v>
      </c>
      <c r="H46" s="12">
        <v>2809.964</v>
      </c>
      <c r="I46" s="12">
        <v>-869.438698</v>
      </c>
      <c r="J46" s="13">
        <v>-0.3094127533</v>
      </c>
      <c r="K46" s="13">
        <v>-0.3094127533</v>
      </c>
      <c r="L46" s="12">
        <v>24.3076470588</v>
      </c>
      <c r="M46" s="13">
        <v>0.1167523534</v>
      </c>
      <c r="N46" s="13">
        <v>0.0611246161</v>
      </c>
      <c r="O46" s="13">
        <v>0.2838854875</v>
      </c>
      <c r="P46" s="13">
        <v>0.3640587566</v>
      </c>
      <c r="Q46" s="13">
        <v>0.0773159826</v>
      </c>
      <c r="R46" s="13">
        <v>0.3385299324</v>
      </c>
      <c r="S46" s="13">
        <v>0</v>
      </c>
      <c r="T46" s="13">
        <v>0.0856907775</v>
      </c>
      <c r="U46" s="13">
        <v>0.0120400866</v>
      </c>
      <c r="V46" s="13">
        <v>0</v>
      </c>
      <c r="W46" s="13">
        <v>-0.0313900533</v>
      </c>
      <c r="X46" s="13">
        <v>0</v>
      </c>
      <c r="Y46" s="13">
        <v>0</v>
      </c>
      <c r="Z46" s="13">
        <v>0.0014048137</v>
      </c>
    </row>
    <row r="47" s="2" customFormat="1" hidden="1" spans="1:26">
      <c r="A47" s="11" t="s">
        <v>935</v>
      </c>
      <c r="B47" s="11" t="s">
        <v>937</v>
      </c>
      <c r="C47" s="14" t="s">
        <v>802</v>
      </c>
      <c r="D47" s="14" t="s">
        <v>938</v>
      </c>
      <c r="E47" s="14" t="s">
        <v>939</v>
      </c>
      <c r="F47" s="3" t="s">
        <v>945</v>
      </c>
      <c r="G47" s="4">
        <v>0</v>
      </c>
      <c r="H47" s="12">
        <v>0</v>
      </c>
      <c r="I47" s="12">
        <v>-31.467585</v>
      </c>
      <c r="J47" s="13"/>
      <c r="K47" s="13"/>
      <c r="L47" s="12"/>
      <c r="M47" s="13"/>
      <c r="N47" s="13"/>
      <c r="O47" s="13"/>
      <c r="P47" s="13"/>
      <c r="Q47" s="13"/>
      <c r="R47" s="13"/>
      <c r="S47" s="13"/>
      <c r="T47" s="13"/>
      <c r="U47" s="13"/>
      <c r="V47" s="13"/>
      <c r="W47" s="13"/>
      <c r="X47" s="13"/>
      <c r="Y47" s="13"/>
      <c r="Z47" s="13"/>
    </row>
    <row r="48" s="2" customFormat="1" hidden="1" spans="1:26">
      <c r="A48" s="11" t="s">
        <v>935</v>
      </c>
      <c r="B48" s="11" t="s">
        <v>937</v>
      </c>
      <c r="C48" s="14" t="s">
        <v>804</v>
      </c>
      <c r="D48" s="14" t="s">
        <v>938</v>
      </c>
      <c r="E48" s="14" t="s">
        <v>939</v>
      </c>
      <c r="F48" s="3" t="s">
        <v>936</v>
      </c>
      <c r="G48" s="4">
        <v>268</v>
      </c>
      <c r="H48" s="12">
        <v>45307.04</v>
      </c>
      <c r="I48" s="12">
        <v>5983.123611</v>
      </c>
      <c r="J48" s="13">
        <v>0.1320572611</v>
      </c>
      <c r="K48" s="13">
        <v>0.1320572611</v>
      </c>
      <c r="L48" s="12">
        <v>24.8611940298</v>
      </c>
      <c r="M48" s="13">
        <v>0.1664473199</v>
      </c>
      <c r="N48" s="13">
        <v>0.0448808186</v>
      </c>
      <c r="O48" s="13">
        <v>0.3185297472</v>
      </c>
      <c r="P48" s="13">
        <v>0.0153028756</v>
      </c>
      <c r="Q48" s="13">
        <v>0.0282701341</v>
      </c>
      <c r="R48" s="13">
        <v>0.1598538316</v>
      </c>
      <c r="S48" s="13">
        <v>0</v>
      </c>
      <c r="T48" s="13">
        <v>0.1126643453</v>
      </c>
      <c r="U48" s="13">
        <v>0.0171648799</v>
      </c>
      <c r="V48" s="13">
        <v>0</v>
      </c>
      <c r="W48" s="13">
        <v>-0.001633204</v>
      </c>
      <c r="X48" s="13">
        <v>0.0003406975</v>
      </c>
      <c r="Y48" s="13">
        <v>0</v>
      </c>
      <c r="Z48" s="13">
        <v>0.0061212925</v>
      </c>
    </row>
    <row r="49" s="2" customFormat="1" hidden="1" spans="1:26">
      <c r="A49" s="11" t="s">
        <v>935</v>
      </c>
      <c r="B49" s="11" t="s">
        <v>937</v>
      </c>
      <c r="C49" s="14" t="s">
        <v>804</v>
      </c>
      <c r="D49" s="14" t="s">
        <v>938</v>
      </c>
      <c r="E49" s="14" t="s">
        <v>939</v>
      </c>
      <c r="F49" s="3" t="s">
        <v>940</v>
      </c>
      <c r="G49" s="4">
        <v>1</v>
      </c>
      <c r="H49" s="12">
        <v>183.532</v>
      </c>
      <c r="I49" s="12">
        <v>35.686857</v>
      </c>
      <c r="J49" s="13">
        <v>0.194444876</v>
      </c>
      <c r="K49" s="13">
        <v>0.194444876</v>
      </c>
      <c r="L49" s="12">
        <v>26.99</v>
      </c>
      <c r="M49" s="13">
        <v>0.1533189743</v>
      </c>
      <c r="N49" s="13">
        <v>0.0502159133</v>
      </c>
      <c r="O49" s="13">
        <v>0.2730640978</v>
      </c>
      <c r="P49" s="13">
        <v>0</v>
      </c>
      <c r="Q49" s="13">
        <v>0.0008193067</v>
      </c>
      <c r="R49" s="13">
        <v>0.2041667556</v>
      </c>
      <c r="S49" s="13">
        <v>0</v>
      </c>
      <c r="T49" s="13">
        <v>0.1078177102</v>
      </c>
      <c r="U49" s="13">
        <v>0.0158110193</v>
      </c>
      <c r="V49" s="13">
        <v>0</v>
      </c>
      <c r="W49" s="13">
        <v>0</v>
      </c>
      <c r="X49" s="13">
        <v>0</v>
      </c>
      <c r="Y49" s="13">
        <v>0</v>
      </c>
      <c r="Z49" s="13">
        <v>0.0003413464</v>
      </c>
    </row>
    <row r="50" s="2" customFormat="1" hidden="1" spans="1:26">
      <c r="A50" s="11" t="s">
        <v>935</v>
      </c>
      <c r="B50" s="11" t="s">
        <v>937</v>
      </c>
      <c r="C50" s="14" t="s">
        <v>804</v>
      </c>
      <c r="D50" s="14" t="s">
        <v>938</v>
      </c>
      <c r="E50" s="14" t="s">
        <v>939</v>
      </c>
      <c r="F50" s="3" t="s">
        <v>941</v>
      </c>
      <c r="G50" s="4">
        <v>30</v>
      </c>
      <c r="H50" s="12">
        <v>5107.14</v>
      </c>
      <c r="I50" s="12">
        <v>459.99301</v>
      </c>
      <c r="J50" s="13">
        <v>0.0900686117</v>
      </c>
      <c r="K50" s="13">
        <v>0.0900686117</v>
      </c>
      <c r="L50" s="12">
        <v>25.035</v>
      </c>
      <c r="M50" s="13">
        <v>0.1652917562</v>
      </c>
      <c r="N50" s="13">
        <v>0.0541373018</v>
      </c>
      <c r="O50" s="13">
        <v>0.3147193928</v>
      </c>
      <c r="P50" s="13">
        <v>0</v>
      </c>
      <c r="Q50" s="13">
        <v>0.0300987979</v>
      </c>
      <c r="R50" s="13">
        <v>0.2154250171</v>
      </c>
      <c r="S50" s="13">
        <v>0</v>
      </c>
      <c r="T50" s="13">
        <v>0.1078756407</v>
      </c>
      <c r="U50" s="13">
        <v>0.0170457124</v>
      </c>
      <c r="V50" s="13">
        <v>0</v>
      </c>
      <c r="W50" s="13">
        <v>0</v>
      </c>
      <c r="X50" s="13">
        <v>0</v>
      </c>
      <c r="Y50" s="13">
        <v>0</v>
      </c>
      <c r="Z50" s="13">
        <v>0.0053377688</v>
      </c>
    </row>
    <row r="51" s="2" customFormat="1" hidden="1" spans="1:26">
      <c r="A51" s="11" t="s">
        <v>935</v>
      </c>
      <c r="B51" s="11" t="s">
        <v>937</v>
      </c>
      <c r="C51" s="14" t="s">
        <v>804</v>
      </c>
      <c r="D51" s="14" t="s">
        <v>938</v>
      </c>
      <c r="E51" s="14" t="s">
        <v>939</v>
      </c>
      <c r="F51" s="3" t="s">
        <v>942</v>
      </c>
      <c r="G51" s="4">
        <v>100</v>
      </c>
      <c r="H51" s="12">
        <v>16048.816</v>
      </c>
      <c r="I51" s="12">
        <v>2391.226259</v>
      </c>
      <c r="J51" s="13">
        <v>0.1489970511</v>
      </c>
      <c r="K51" s="13">
        <v>0.1489970511</v>
      </c>
      <c r="L51" s="12">
        <v>23.6012</v>
      </c>
      <c r="M51" s="13">
        <v>0.1753334202</v>
      </c>
      <c r="N51" s="13">
        <v>0.0312985522</v>
      </c>
      <c r="O51" s="13">
        <v>0.3372709862</v>
      </c>
      <c r="P51" s="13">
        <v>0.0105884446</v>
      </c>
      <c r="Q51" s="13">
        <v>0.0245601109</v>
      </c>
      <c r="R51" s="13">
        <v>0.1299915879</v>
      </c>
      <c r="S51" s="13">
        <v>0</v>
      </c>
      <c r="T51" s="13">
        <v>0.1173923359</v>
      </c>
      <c r="U51" s="13">
        <v>0.018081259</v>
      </c>
      <c r="V51" s="13">
        <v>0</v>
      </c>
      <c r="W51" s="13">
        <v>0</v>
      </c>
      <c r="X51" s="13">
        <v>0</v>
      </c>
      <c r="Y51" s="13">
        <v>0</v>
      </c>
      <c r="Z51" s="13">
        <v>0.0064862514</v>
      </c>
    </row>
    <row r="52" s="2" customFormat="1" hidden="1" spans="1:26">
      <c r="A52" s="11" t="s">
        <v>935</v>
      </c>
      <c r="B52" s="11" t="s">
        <v>937</v>
      </c>
      <c r="C52" s="14" t="s">
        <v>804</v>
      </c>
      <c r="D52" s="14" t="s">
        <v>938</v>
      </c>
      <c r="E52" s="14" t="s">
        <v>939</v>
      </c>
      <c r="F52" s="3" t="s">
        <v>943</v>
      </c>
      <c r="G52" s="4">
        <v>56</v>
      </c>
      <c r="H52" s="12">
        <v>9828.992</v>
      </c>
      <c r="I52" s="12">
        <v>1318.584287</v>
      </c>
      <c r="J52" s="13">
        <v>0.1341525445</v>
      </c>
      <c r="K52" s="13">
        <v>0.1341525445</v>
      </c>
      <c r="L52" s="12">
        <v>25.8114285714</v>
      </c>
      <c r="M52" s="13">
        <v>0.160319647</v>
      </c>
      <c r="N52" s="13">
        <v>0.0432388379</v>
      </c>
      <c r="O52" s="13">
        <v>0.3083905246</v>
      </c>
      <c r="P52" s="13">
        <v>0.0172888532</v>
      </c>
      <c r="Q52" s="13">
        <v>0.0415478221</v>
      </c>
      <c r="R52" s="13">
        <v>0.1584155739</v>
      </c>
      <c r="S52" s="13">
        <v>0</v>
      </c>
      <c r="T52" s="13">
        <v>0.1108728138</v>
      </c>
      <c r="U52" s="13">
        <v>0.0165329637</v>
      </c>
      <c r="V52" s="13">
        <v>0</v>
      </c>
      <c r="W52" s="13">
        <v>-0.0036349729</v>
      </c>
      <c r="X52" s="13">
        <v>0</v>
      </c>
      <c r="Y52" s="13">
        <v>0</v>
      </c>
      <c r="Z52" s="13">
        <v>0.0128753918</v>
      </c>
    </row>
    <row r="53" s="2" customFormat="1" spans="1:26">
      <c r="A53" s="11" t="s">
        <v>935</v>
      </c>
      <c r="B53" s="11" t="s">
        <v>937</v>
      </c>
      <c r="C53" s="14" t="s">
        <v>804</v>
      </c>
      <c r="D53" s="14" t="s">
        <v>938</v>
      </c>
      <c r="E53" s="14" t="s">
        <v>939</v>
      </c>
      <c r="F53" s="3" t="s">
        <v>944</v>
      </c>
      <c r="G53" s="4">
        <v>79</v>
      </c>
      <c r="H53" s="12">
        <v>13785.096</v>
      </c>
      <c r="I53" s="12">
        <v>1760.012268</v>
      </c>
      <c r="J53" s="13">
        <v>0.1276750098</v>
      </c>
      <c r="K53" s="13">
        <v>0.1276750098</v>
      </c>
      <c r="L53" s="12">
        <v>25.6610126582</v>
      </c>
      <c r="M53" s="13">
        <v>0.1612593849</v>
      </c>
      <c r="N53" s="13">
        <v>0.0580451509</v>
      </c>
      <c r="O53" s="13">
        <v>0.3062716429</v>
      </c>
      <c r="P53" s="13">
        <v>0.0256410256</v>
      </c>
      <c r="Q53" s="13">
        <v>0.0235350584</v>
      </c>
      <c r="R53" s="13">
        <v>0.170801729</v>
      </c>
      <c r="S53" s="13">
        <v>0</v>
      </c>
      <c r="T53" s="13">
        <v>0.1103925572</v>
      </c>
      <c r="U53" s="13">
        <v>0.0166298741</v>
      </c>
      <c r="V53" s="13">
        <v>0</v>
      </c>
      <c r="W53" s="13">
        <v>-0.0027760067</v>
      </c>
      <c r="X53" s="13">
        <v>0.0011197599</v>
      </c>
      <c r="Y53" s="13">
        <v>0</v>
      </c>
      <c r="Z53" s="13">
        <v>0.0014048134</v>
      </c>
    </row>
    <row r="54" s="2" customFormat="1" hidden="1" spans="1:26">
      <c r="A54" s="11" t="s">
        <v>935</v>
      </c>
      <c r="B54" s="11" t="s">
        <v>937</v>
      </c>
      <c r="C54" s="14" t="s">
        <v>804</v>
      </c>
      <c r="D54" s="14" t="s">
        <v>938</v>
      </c>
      <c r="E54" s="14" t="s">
        <v>939</v>
      </c>
      <c r="F54" s="3" t="s">
        <v>945</v>
      </c>
      <c r="G54" s="4">
        <v>2</v>
      </c>
      <c r="H54" s="12">
        <v>353.464</v>
      </c>
      <c r="I54" s="12">
        <v>17.62093</v>
      </c>
      <c r="J54" s="13">
        <v>0.0498521207</v>
      </c>
      <c r="K54" s="13">
        <v>0.0498521207</v>
      </c>
      <c r="L54" s="12">
        <v>25.99</v>
      </c>
      <c r="M54" s="13">
        <v>0.1592181268</v>
      </c>
      <c r="N54" s="13">
        <v>0.0573104021</v>
      </c>
      <c r="O54" s="13">
        <v>0.3062716429</v>
      </c>
      <c r="P54" s="13">
        <v>0</v>
      </c>
      <c r="Q54" s="13">
        <v>0</v>
      </c>
      <c r="R54" s="13">
        <v>0.3028098306</v>
      </c>
      <c r="S54" s="13">
        <v>0</v>
      </c>
      <c r="T54" s="13">
        <v>0.1081185071</v>
      </c>
      <c r="U54" s="13">
        <v>0.0164193694</v>
      </c>
      <c r="V54" s="13">
        <v>0</v>
      </c>
      <c r="W54" s="13">
        <v>0</v>
      </c>
      <c r="X54" s="13">
        <v>0</v>
      </c>
      <c r="Y54" s="13">
        <v>0</v>
      </c>
      <c r="Z54" s="13">
        <v>0</v>
      </c>
    </row>
    <row r="55" s="2" customFormat="1" hidden="1" spans="1:26">
      <c r="A55" s="11" t="s">
        <v>935</v>
      </c>
      <c r="B55" s="11" t="s">
        <v>937</v>
      </c>
      <c r="C55" s="14" t="s">
        <v>806</v>
      </c>
      <c r="D55" s="14" t="s">
        <v>938</v>
      </c>
      <c r="E55" s="14" t="s">
        <v>939</v>
      </c>
      <c r="F55" s="3" t="s">
        <v>936</v>
      </c>
      <c r="G55" s="4">
        <v>184</v>
      </c>
      <c r="H55" s="12">
        <v>29273.932</v>
      </c>
      <c r="I55" s="12">
        <v>-2603.34649</v>
      </c>
      <c r="J55" s="13">
        <v>-0.0889305369</v>
      </c>
      <c r="K55" s="13">
        <v>-0.0889305369</v>
      </c>
      <c r="L55" s="12">
        <v>23.3966847826</v>
      </c>
      <c r="M55" s="13">
        <v>0.1525363291</v>
      </c>
      <c r="N55" s="13">
        <v>0.0376091198</v>
      </c>
      <c r="O55" s="13">
        <v>0.323870671</v>
      </c>
      <c r="P55" s="13">
        <v>0.1679678698</v>
      </c>
      <c r="Q55" s="13">
        <v>0.0305829744</v>
      </c>
      <c r="R55" s="13">
        <v>0.2726315849</v>
      </c>
      <c r="S55" s="13">
        <v>0</v>
      </c>
      <c r="T55" s="13">
        <v>0.0886459666</v>
      </c>
      <c r="U55" s="13">
        <v>0.015730308</v>
      </c>
      <c r="V55" s="13">
        <v>-0.0019558698</v>
      </c>
      <c r="W55" s="13">
        <v>-0.0144299063</v>
      </c>
      <c r="X55" s="13">
        <v>0.007909426</v>
      </c>
      <c r="Y55" s="13">
        <v>0</v>
      </c>
      <c r="Z55" s="13">
        <v>0.007832063</v>
      </c>
    </row>
    <row r="56" s="2" customFormat="1" hidden="1" spans="1:26">
      <c r="A56" s="11" t="s">
        <v>935</v>
      </c>
      <c r="B56" s="11" t="s">
        <v>937</v>
      </c>
      <c r="C56" s="14" t="s">
        <v>806</v>
      </c>
      <c r="D56" s="14" t="s">
        <v>938</v>
      </c>
      <c r="E56" s="14" t="s">
        <v>939</v>
      </c>
      <c r="F56" s="3" t="s">
        <v>941</v>
      </c>
      <c r="G56" s="4">
        <v>8</v>
      </c>
      <c r="H56" s="12">
        <v>1264.256</v>
      </c>
      <c r="I56" s="12">
        <v>-81.177212</v>
      </c>
      <c r="J56" s="13">
        <v>-0.0642094733</v>
      </c>
      <c r="K56" s="13">
        <v>-0.0642094733</v>
      </c>
      <c r="L56" s="12">
        <v>23.24</v>
      </c>
      <c r="M56" s="13">
        <v>0.1535647337</v>
      </c>
      <c r="N56" s="13">
        <v>0.0488316796</v>
      </c>
      <c r="O56" s="13">
        <v>0.3250322719</v>
      </c>
      <c r="P56" s="13">
        <v>0</v>
      </c>
      <c r="Q56" s="13">
        <v>0.0017910834</v>
      </c>
      <c r="R56" s="13">
        <v>0.424637423</v>
      </c>
      <c r="S56" s="13">
        <v>0</v>
      </c>
      <c r="T56" s="13">
        <v>0.0891781411</v>
      </c>
      <c r="U56" s="13">
        <v>0.0158363622</v>
      </c>
      <c r="V56" s="13">
        <v>0</v>
      </c>
      <c r="W56" s="13">
        <v>0</v>
      </c>
      <c r="X56" s="13">
        <v>0</v>
      </c>
      <c r="Y56" s="13">
        <v>0</v>
      </c>
      <c r="Z56" s="13">
        <v>0.0053377781</v>
      </c>
    </row>
    <row r="57" s="2" customFormat="1" hidden="1" spans="1:26">
      <c r="A57" s="11" t="s">
        <v>935</v>
      </c>
      <c r="B57" s="11" t="s">
        <v>937</v>
      </c>
      <c r="C57" s="14" t="s">
        <v>806</v>
      </c>
      <c r="D57" s="14" t="s">
        <v>938</v>
      </c>
      <c r="E57" s="14" t="s">
        <v>939</v>
      </c>
      <c r="F57" s="3" t="s">
        <v>942</v>
      </c>
      <c r="G57" s="4">
        <v>102</v>
      </c>
      <c r="H57" s="12">
        <v>14985.772</v>
      </c>
      <c r="I57" s="12">
        <v>-2294.755806</v>
      </c>
      <c r="J57" s="13">
        <v>-0.1531289683</v>
      </c>
      <c r="K57" s="13">
        <v>-0.1531289683</v>
      </c>
      <c r="L57" s="12">
        <v>21.6057843137</v>
      </c>
      <c r="M57" s="13">
        <v>0.1651800443</v>
      </c>
      <c r="N57" s="13">
        <v>0.0401902313</v>
      </c>
      <c r="O57" s="13">
        <v>0.3533503645</v>
      </c>
      <c r="P57" s="13">
        <v>0.1176518633</v>
      </c>
      <c r="Q57" s="13">
        <v>0.0188040363</v>
      </c>
      <c r="R57" s="13">
        <v>0.3629895775</v>
      </c>
      <c r="S57" s="13">
        <v>0</v>
      </c>
      <c r="T57" s="13">
        <v>0.0815095812</v>
      </c>
      <c r="U57" s="13">
        <v>0.017034191</v>
      </c>
      <c r="V57" s="13">
        <v>0</v>
      </c>
      <c r="W57" s="13">
        <v>-0.0100671703</v>
      </c>
      <c r="X57" s="13">
        <v>0</v>
      </c>
      <c r="Y57" s="13">
        <v>0</v>
      </c>
      <c r="Z57" s="13">
        <v>0.0064862486</v>
      </c>
    </row>
    <row r="58" s="2" customFormat="1" hidden="1" spans="1:26">
      <c r="A58" s="11" t="s">
        <v>935</v>
      </c>
      <c r="B58" s="11" t="s">
        <v>937</v>
      </c>
      <c r="C58" s="14" t="s">
        <v>806</v>
      </c>
      <c r="D58" s="14" t="s">
        <v>938</v>
      </c>
      <c r="E58" s="14" t="s">
        <v>939</v>
      </c>
      <c r="F58" s="3" t="s">
        <v>943</v>
      </c>
      <c r="G58" s="4">
        <v>52</v>
      </c>
      <c r="H58" s="12">
        <v>9353.264</v>
      </c>
      <c r="I58" s="12">
        <v>583.666484</v>
      </c>
      <c r="J58" s="13">
        <v>0.0624024387</v>
      </c>
      <c r="K58" s="13">
        <v>0.0624024387</v>
      </c>
      <c r="L58" s="12">
        <v>26.4515384615</v>
      </c>
      <c r="M58" s="13">
        <v>0.1349201074</v>
      </c>
      <c r="N58" s="13">
        <v>0.0328276357</v>
      </c>
      <c r="O58" s="13">
        <v>0.29147643</v>
      </c>
      <c r="P58" s="13">
        <v>0.2013042719</v>
      </c>
      <c r="Q58" s="13">
        <v>0.039485365</v>
      </c>
      <c r="R58" s="13">
        <v>0.1174296949</v>
      </c>
      <c r="S58" s="13">
        <v>0</v>
      </c>
      <c r="T58" s="13">
        <v>0.1007284729</v>
      </c>
      <c r="U58" s="13">
        <v>0.0139136352</v>
      </c>
      <c r="V58" s="13">
        <v>-0.0061214994</v>
      </c>
      <c r="W58" s="13">
        <v>-0.0129036725</v>
      </c>
      <c r="X58" s="13">
        <v>0.0116617459</v>
      </c>
      <c r="Y58" s="13">
        <v>0</v>
      </c>
      <c r="Z58" s="13">
        <v>0.0128753737</v>
      </c>
    </row>
    <row r="59" s="2" customFormat="1" spans="1:26">
      <c r="A59" s="11" t="s">
        <v>935</v>
      </c>
      <c r="B59" s="11" t="s">
        <v>937</v>
      </c>
      <c r="C59" s="14" t="s">
        <v>806</v>
      </c>
      <c r="D59" s="14" t="s">
        <v>938</v>
      </c>
      <c r="E59" s="14" t="s">
        <v>939</v>
      </c>
      <c r="F59" s="3" t="s">
        <v>944</v>
      </c>
      <c r="G59" s="4">
        <v>21</v>
      </c>
      <c r="H59" s="12">
        <v>3487.108</v>
      </c>
      <c r="I59" s="12">
        <v>-897.477244</v>
      </c>
      <c r="J59" s="13">
        <v>-0.2573700739</v>
      </c>
      <c r="K59" s="13">
        <v>-0.2573700739</v>
      </c>
      <c r="L59" s="12">
        <v>24.4195238095</v>
      </c>
      <c r="M59" s="13">
        <v>0.1461471746</v>
      </c>
      <c r="N59" s="13">
        <v>0.0355593121</v>
      </c>
      <c r="O59" s="13">
        <v>0.285661356</v>
      </c>
      <c r="P59" s="13">
        <v>0.3645209726</v>
      </c>
      <c r="Q59" s="13">
        <v>0.0693725235</v>
      </c>
      <c r="R59" s="13">
        <v>0.2551892132</v>
      </c>
      <c r="S59" s="13">
        <v>0</v>
      </c>
      <c r="T59" s="13">
        <v>0.0850607437</v>
      </c>
      <c r="U59" s="13">
        <v>0.0150714265</v>
      </c>
      <c r="V59" s="13">
        <v>0</v>
      </c>
      <c r="W59" s="13">
        <v>-0.0346107594</v>
      </c>
      <c r="X59" s="13">
        <v>0.0339932938</v>
      </c>
      <c r="Y59" s="13">
        <v>0</v>
      </c>
      <c r="Z59" s="13">
        <v>0.0014048168</v>
      </c>
    </row>
    <row r="60" s="2" customFormat="1" hidden="1" spans="1:26">
      <c r="A60" s="11" t="s">
        <v>935</v>
      </c>
      <c r="B60" s="11" t="s">
        <v>937</v>
      </c>
      <c r="C60" s="14" t="s">
        <v>806</v>
      </c>
      <c r="D60" s="14" t="s">
        <v>938</v>
      </c>
      <c r="E60" s="14" t="s">
        <v>939</v>
      </c>
      <c r="F60" s="3" t="s">
        <v>945</v>
      </c>
      <c r="G60" s="4">
        <v>1</v>
      </c>
      <c r="H60" s="12">
        <v>183.532</v>
      </c>
      <c r="I60" s="12">
        <v>86.397288</v>
      </c>
      <c r="J60" s="13">
        <v>0.470747815</v>
      </c>
      <c r="K60" s="13">
        <v>0.470747815</v>
      </c>
      <c r="L60" s="12">
        <v>26.99</v>
      </c>
      <c r="M60" s="13">
        <v>0.1322283961</v>
      </c>
      <c r="N60" s="13">
        <v>0.032172711</v>
      </c>
      <c r="O60" s="13">
        <v>0.285661356</v>
      </c>
      <c r="P60" s="13">
        <v>0</v>
      </c>
      <c r="Q60" s="13">
        <v>0</v>
      </c>
      <c r="R60" s="13">
        <v>0.0885171904</v>
      </c>
      <c r="S60" s="13">
        <v>0</v>
      </c>
      <c r="T60" s="13">
        <v>0.1200444609</v>
      </c>
      <c r="U60" s="13">
        <v>0.0136360525</v>
      </c>
      <c r="V60" s="13">
        <v>0</v>
      </c>
      <c r="W60" s="13">
        <v>-0.1644011071</v>
      </c>
      <c r="X60" s="13">
        <v>0.0213931249</v>
      </c>
      <c r="Y60" s="13">
        <v>0</v>
      </c>
      <c r="Z60" s="13">
        <v>0</v>
      </c>
    </row>
    <row r="61" s="2" customFormat="1" hidden="1" spans="1:26">
      <c r="A61" s="11" t="s">
        <v>935</v>
      </c>
      <c r="B61" s="11" t="s">
        <v>937</v>
      </c>
      <c r="C61" s="14" t="s">
        <v>808</v>
      </c>
      <c r="D61" s="14" t="s">
        <v>938</v>
      </c>
      <c r="E61" s="14" t="s">
        <v>939</v>
      </c>
      <c r="F61" s="3" t="s">
        <v>936</v>
      </c>
      <c r="G61" s="4">
        <v>25</v>
      </c>
      <c r="H61" s="12">
        <v>4205.868</v>
      </c>
      <c r="I61" s="12">
        <v>-2268.30807</v>
      </c>
      <c r="J61" s="13">
        <v>-0.5393198431</v>
      </c>
      <c r="K61" s="13">
        <v>-0.5393198431</v>
      </c>
      <c r="L61" s="12">
        <v>24.7404</v>
      </c>
      <c r="M61" s="13">
        <v>0.1739352435</v>
      </c>
      <c r="N61" s="13">
        <v>0.0968261604</v>
      </c>
      <c r="O61" s="13">
        <v>0.3213367609</v>
      </c>
      <c r="P61" s="13">
        <v>0.1505553669</v>
      </c>
      <c r="Q61" s="13">
        <v>0.1535105065</v>
      </c>
      <c r="R61" s="13">
        <v>0.5114969496</v>
      </c>
      <c r="S61" s="13">
        <v>0</v>
      </c>
      <c r="T61" s="13">
        <v>0.1013726536</v>
      </c>
      <c r="U61" s="13">
        <v>0.0179370705</v>
      </c>
      <c r="V61" s="13">
        <v>0</v>
      </c>
      <c r="W61" s="13">
        <v>0</v>
      </c>
      <c r="X61" s="13">
        <v>0.0063863155</v>
      </c>
      <c r="Y61" s="13">
        <v>0</v>
      </c>
      <c r="Z61" s="13">
        <v>0.0059628152</v>
      </c>
    </row>
    <row r="62" s="2" customFormat="1" hidden="1" spans="1:26">
      <c r="A62" s="11" t="s">
        <v>935</v>
      </c>
      <c r="B62" s="11" t="s">
        <v>937</v>
      </c>
      <c r="C62" s="14" t="s">
        <v>808</v>
      </c>
      <c r="D62" s="14" t="s">
        <v>938</v>
      </c>
      <c r="E62" s="14" t="s">
        <v>939</v>
      </c>
      <c r="F62" s="3" t="s">
        <v>942</v>
      </c>
      <c r="G62" s="4">
        <v>1</v>
      </c>
      <c r="H62" s="12">
        <v>176.732</v>
      </c>
      <c r="I62" s="12">
        <v>-197.785837</v>
      </c>
      <c r="J62" s="13">
        <v>-1.1191286071</v>
      </c>
      <c r="K62" s="13">
        <v>-1.1191286071</v>
      </c>
      <c r="L62" s="12">
        <v>25.99</v>
      </c>
      <c r="M62" s="13">
        <v>0.1655724317</v>
      </c>
      <c r="N62" s="13">
        <v>0.0549841398</v>
      </c>
      <c r="O62" s="13">
        <v>0.2966525586</v>
      </c>
      <c r="P62" s="13">
        <v>0</v>
      </c>
      <c r="Q62" s="13">
        <v>0.0003234332</v>
      </c>
      <c r="R62" s="13">
        <v>1.4579889154</v>
      </c>
      <c r="S62" s="13">
        <v>0</v>
      </c>
      <c r="T62" s="13">
        <v>0.1200461716</v>
      </c>
      <c r="U62" s="13">
        <v>0.0170746554</v>
      </c>
      <c r="V62" s="13">
        <v>0</v>
      </c>
      <c r="W62" s="13">
        <v>0</v>
      </c>
      <c r="X62" s="13">
        <v>0</v>
      </c>
      <c r="Y62" s="13">
        <v>0</v>
      </c>
      <c r="Z62" s="13">
        <v>0.0064863012</v>
      </c>
    </row>
    <row r="63" s="2" customFormat="1" hidden="1" spans="1:26">
      <c r="A63" s="11" t="s">
        <v>935</v>
      </c>
      <c r="B63" s="11" t="s">
        <v>937</v>
      </c>
      <c r="C63" s="14" t="s">
        <v>808</v>
      </c>
      <c r="D63" s="14" t="s">
        <v>938</v>
      </c>
      <c r="E63" s="14" t="s">
        <v>939</v>
      </c>
      <c r="F63" s="3" t="s">
        <v>943</v>
      </c>
      <c r="G63" s="4">
        <v>10</v>
      </c>
      <c r="H63" s="12">
        <v>1592.968</v>
      </c>
      <c r="I63" s="12">
        <v>-1061.699737</v>
      </c>
      <c r="J63" s="13">
        <v>-0.666491566</v>
      </c>
      <c r="K63" s="13">
        <v>-0.666491566</v>
      </c>
      <c r="L63" s="12">
        <v>23.426</v>
      </c>
      <c r="M63" s="13">
        <v>0.1836945061</v>
      </c>
      <c r="N63" s="13">
        <v>0.1039779706</v>
      </c>
      <c r="O63" s="13">
        <v>0.3397933919</v>
      </c>
      <c r="P63" s="13">
        <v>0.1807393494</v>
      </c>
      <c r="Q63" s="13">
        <v>0.1405402525</v>
      </c>
      <c r="R63" s="13">
        <v>0.588172562</v>
      </c>
      <c r="S63" s="13">
        <v>0</v>
      </c>
      <c r="T63" s="13">
        <v>0.0977546316</v>
      </c>
      <c r="U63" s="13">
        <v>0.0189434941</v>
      </c>
      <c r="V63" s="13">
        <v>0</v>
      </c>
      <c r="W63" s="13">
        <v>0</v>
      </c>
      <c r="X63" s="13">
        <v>0</v>
      </c>
      <c r="Y63" s="13">
        <v>0</v>
      </c>
      <c r="Z63" s="13">
        <v>0.0128754074</v>
      </c>
    </row>
    <row r="64" s="2" customFormat="1" spans="1:26">
      <c r="A64" s="11" t="s">
        <v>935</v>
      </c>
      <c r="B64" s="11" t="s">
        <v>937</v>
      </c>
      <c r="C64" s="14" t="s">
        <v>808</v>
      </c>
      <c r="D64" s="14" t="s">
        <v>938</v>
      </c>
      <c r="E64" s="14" t="s">
        <v>939</v>
      </c>
      <c r="F64" s="3" t="s">
        <v>944</v>
      </c>
      <c r="G64" s="4">
        <v>14</v>
      </c>
      <c r="H64" s="12">
        <v>2436.168</v>
      </c>
      <c r="I64" s="12">
        <v>-975.282304</v>
      </c>
      <c r="J64" s="13">
        <v>-0.4003345844</v>
      </c>
      <c r="K64" s="13">
        <v>-0.4003345844</v>
      </c>
      <c r="L64" s="12">
        <v>25.59</v>
      </c>
      <c r="M64" s="13">
        <v>0.1681605119</v>
      </c>
      <c r="N64" s="13">
        <v>0.0951851485</v>
      </c>
      <c r="O64" s="13">
        <v>0.3110590074</v>
      </c>
      <c r="P64" s="13">
        <v>0.1417406352</v>
      </c>
      <c r="Q64" s="13">
        <v>0.1731044989</v>
      </c>
      <c r="R64" s="13">
        <v>0.3798639817</v>
      </c>
      <c r="S64" s="13">
        <v>0</v>
      </c>
      <c r="T64" s="13">
        <v>0.1023837436</v>
      </c>
      <c r="U64" s="13">
        <v>0.0173415515</v>
      </c>
      <c r="V64" s="13">
        <v>0</v>
      </c>
      <c r="W64" s="13">
        <v>0</v>
      </c>
      <c r="X64" s="13">
        <v>0.0100906903</v>
      </c>
      <c r="Y64" s="13">
        <v>0</v>
      </c>
      <c r="Z64" s="13">
        <v>0.0014048148</v>
      </c>
    </row>
    <row r="65" s="2" customFormat="1" hidden="1" spans="1:26">
      <c r="A65" s="11" t="s">
        <v>935</v>
      </c>
      <c r="B65" s="11" t="s">
        <v>937</v>
      </c>
      <c r="C65" s="14" t="s">
        <v>808</v>
      </c>
      <c r="D65" s="14" t="s">
        <v>938</v>
      </c>
      <c r="E65" s="14" t="s">
        <v>939</v>
      </c>
      <c r="F65" s="3" t="s">
        <v>945</v>
      </c>
      <c r="G65" s="4">
        <v>0</v>
      </c>
      <c r="H65" s="12">
        <v>0</v>
      </c>
      <c r="I65" s="12">
        <v>-33.540192</v>
      </c>
      <c r="J65" s="13"/>
      <c r="K65" s="13"/>
      <c r="L65" s="12"/>
      <c r="M65" s="13"/>
      <c r="N65" s="13"/>
      <c r="O65" s="13"/>
      <c r="P65" s="13"/>
      <c r="Q65" s="13"/>
      <c r="R65" s="13"/>
      <c r="S65" s="13"/>
      <c r="T65" s="13"/>
      <c r="U65" s="13"/>
      <c r="V65" s="13"/>
      <c r="W65" s="13"/>
      <c r="X65" s="13"/>
      <c r="Y65" s="13"/>
      <c r="Z65" s="13"/>
    </row>
    <row r="66" s="2" customFormat="1" hidden="1" spans="1:26">
      <c r="A66" s="11" t="s">
        <v>935</v>
      </c>
      <c r="B66" s="11" t="s">
        <v>937</v>
      </c>
      <c r="C66" s="14" t="s">
        <v>810</v>
      </c>
      <c r="D66" s="14" t="s">
        <v>938</v>
      </c>
      <c r="E66" s="14" t="s">
        <v>939</v>
      </c>
      <c r="F66" s="3" t="s">
        <v>936</v>
      </c>
      <c r="G66" s="4">
        <v>8</v>
      </c>
      <c r="H66" s="12">
        <v>1413.856</v>
      </c>
      <c r="I66" s="12">
        <v>-231.160171</v>
      </c>
      <c r="J66" s="13">
        <v>-0.1634962619</v>
      </c>
      <c r="K66" s="13">
        <v>-0.1634962619</v>
      </c>
      <c r="L66" s="12">
        <v>25.99</v>
      </c>
      <c r="M66" s="13">
        <v>0.1336206459</v>
      </c>
      <c r="N66" s="13">
        <v>0.0584321797</v>
      </c>
      <c r="O66" s="13">
        <v>0.2904963447</v>
      </c>
      <c r="P66" s="13">
        <v>0</v>
      </c>
      <c r="Q66" s="13">
        <v>0.2805825748</v>
      </c>
      <c r="R66" s="13">
        <v>0.3089813198</v>
      </c>
      <c r="S66" s="13">
        <v>0</v>
      </c>
      <c r="T66" s="13">
        <v>0.1125913813</v>
      </c>
      <c r="U66" s="13">
        <v>0.0137796324</v>
      </c>
      <c r="V66" s="13">
        <v>-0.0392602924</v>
      </c>
      <c r="W66" s="13">
        <v>0</v>
      </c>
      <c r="X66" s="13">
        <v>0</v>
      </c>
      <c r="Y66" s="13">
        <v>0</v>
      </c>
      <c r="Z66" s="13">
        <v>0.0042724754</v>
      </c>
    </row>
    <row r="67" s="2" customFormat="1" hidden="1" spans="1:26">
      <c r="A67" s="11" t="s">
        <v>935</v>
      </c>
      <c r="B67" s="11" t="s">
        <v>937</v>
      </c>
      <c r="C67" s="14" t="s">
        <v>810</v>
      </c>
      <c r="D67" s="14" t="s">
        <v>938</v>
      </c>
      <c r="E67" s="14" t="s">
        <v>939</v>
      </c>
      <c r="F67" s="3" t="s">
        <v>943</v>
      </c>
      <c r="G67" s="4">
        <v>2</v>
      </c>
      <c r="H67" s="12">
        <v>353.464</v>
      </c>
      <c r="I67" s="12">
        <v>67.99635</v>
      </c>
      <c r="J67" s="13">
        <v>0.1923713588</v>
      </c>
      <c r="K67" s="13">
        <v>0.1923713588</v>
      </c>
      <c r="L67" s="12">
        <v>25.99</v>
      </c>
      <c r="M67" s="13">
        <v>0.1336206459</v>
      </c>
      <c r="N67" s="13">
        <v>0.0420834766</v>
      </c>
      <c r="O67" s="13">
        <v>0.2904963447</v>
      </c>
      <c r="P67" s="13">
        <v>0</v>
      </c>
      <c r="Q67" s="13">
        <v>0.0166089163</v>
      </c>
      <c r="R67" s="13">
        <v>0.1900456198</v>
      </c>
      <c r="S67" s="13">
        <v>0</v>
      </c>
      <c r="T67" s="13">
        <v>0.1081185071</v>
      </c>
      <c r="U67" s="13">
        <v>0.0137796324</v>
      </c>
      <c r="V67" s="13">
        <v>0</v>
      </c>
      <c r="W67" s="13">
        <v>0</v>
      </c>
      <c r="X67" s="13">
        <v>0</v>
      </c>
      <c r="Y67" s="13">
        <v>0</v>
      </c>
      <c r="Z67" s="13">
        <v>0.0128754979</v>
      </c>
    </row>
    <row r="68" s="2" customFormat="1" spans="1:26">
      <c r="A68" s="11" t="s">
        <v>935</v>
      </c>
      <c r="B68" s="11" t="s">
        <v>937</v>
      </c>
      <c r="C68" s="14" t="s">
        <v>810</v>
      </c>
      <c r="D68" s="14" t="s">
        <v>938</v>
      </c>
      <c r="E68" s="14" t="s">
        <v>939</v>
      </c>
      <c r="F68" s="3" t="s">
        <v>944</v>
      </c>
      <c r="G68" s="4">
        <v>6</v>
      </c>
      <c r="H68" s="12">
        <v>1060.392</v>
      </c>
      <c r="I68" s="12">
        <v>-299.156521</v>
      </c>
      <c r="J68" s="13">
        <v>-0.2821188022</v>
      </c>
      <c r="K68" s="13">
        <v>-0.2821188022</v>
      </c>
      <c r="L68" s="12">
        <v>25.99</v>
      </c>
      <c r="M68" s="13">
        <v>0.1336206459</v>
      </c>
      <c r="N68" s="13">
        <v>0.0638817475</v>
      </c>
      <c r="O68" s="13">
        <v>0.2904963447</v>
      </c>
      <c r="P68" s="13">
        <v>0</v>
      </c>
      <c r="Q68" s="13">
        <v>0.3685737944</v>
      </c>
      <c r="R68" s="13">
        <v>0.3486265531</v>
      </c>
      <c r="S68" s="13">
        <v>0</v>
      </c>
      <c r="T68" s="13">
        <v>0.1140823393</v>
      </c>
      <c r="U68" s="13">
        <v>0.0137796324</v>
      </c>
      <c r="V68" s="13">
        <v>-0.0523470565</v>
      </c>
      <c r="W68" s="13">
        <v>0</v>
      </c>
      <c r="X68" s="13">
        <v>0</v>
      </c>
      <c r="Y68" s="13">
        <v>0</v>
      </c>
      <c r="Z68" s="13">
        <v>0.0014048012</v>
      </c>
    </row>
    <row r="69" s="2" customFormat="1" hidden="1" spans="1:26">
      <c r="A69" s="11" t="s">
        <v>935</v>
      </c>
      <c r="B69" s="11" t="s">
        <v>937</v>
      </c>
      <c r="C69" s="14" t="s">
        <v>812</v>
      </c>
      <c r="D69" s="14" t="s">
        <v>938</v>
      </c>
      <c r="E69" s="14" t="s">
        <v>939</v>
      </c>
      <c r="F69" s="3" t="s">
        <v>936</v>
      </c>
      <c r="G69" s="4">
        <v>188</v>
      </c>
      <c r="H69" s="12">
        <v>32256.276</v>
      </c>
      <c r="I69" s="12">
        <v>5887.305675</v>
      </c>
      <c r="J69" s="13">
        <v>0.1825165953</v>
      </c>
      <c r="K69" s="13">
        <v>0.1825165953</v>
      </c>
      <c r="L69" s="12">
        <v>25.2317553191</v>
      </c>
      <c r="M69" s="13">
        <v>0.1090152959</v>
      </c>
      <c r="N69" s="13">
        <v>0.0473190496</v>
      </c>
      <c r="O69" s="13">
        <v>0.2970231281</v>
      </c>
      <c r="P69" s="13">
        <v>0.0219159831</v>
      </c>
      <c r="Q69" s="13">
        <v>0.0139774566</v>
      </c>
      <c r="R69" s="13">
        <v>0.1938295502</v>
      </c>
      <c r="S69" s="13">
        <v>0</v>
      </c>
      <c r="T69" s="13">
        <v>0.1161677808</v>
      </c>
      <c r="U69" s="13">
        <v>0.0112422004</v>
      </c>
      <c r="V69" s="13">
        <v>0.0001581087</v>
      </c>
      <c r="W69" s="13">
        <v>0</v>
      </c>
      <c r="X69" s="13">
        <v>0.0004785425</v>
      </c>
      <c r="Y69" s="13">
        <v>0</v>
      </c>
      <c r="Z69" s="13">
        <v>0.0063563081</v>
      </c>
    </row>
    <row r="70" s="2" customFormat="1" hidden="1" spans="1:26">
      <c r="A70" s="11" t="s">
        <v>935</v>
      </c>
      <c r="B70" s="11" t="s">
        <v>937</v>
      </c>
      <c r="C70" s="14" t="s">
        <v>812</v>
      </c>
      <c r="D70" s="14" t="s">
        <v>938</v>
      </c>
      <c r="E70" s="14" t="s">
        <v>939</v>
      </c>
      <c r="F70" s="3" t="s">
        <v>940</v>
      </c>
      <c r="G70" s="4">
        <v>5</v>
      </c>
      <c r="H70" s="12">
        <v>815.66</v>
      </c>
      <c r="I70" s="12">
        <v>-101.08537</v>
      </c>
      <c r="J70" s="13">
        <v>-0.1239307677</v>
      </c>
      <c r="K70" s="13">
        <v>-0.1239307677</v>
      </c>
      <c r="L70" s="12">
        <v>23.99</v>
      </c>
      <c r="M70" s="13">
        <v>0.115271222</v>
      </c>
      <c r="N70" s="13">
        <v>0.0434201628</v>
      </c>
      <c r="O70" s="13">
        <v>0.2972071696</v>
      </c>
      <c r="P70" s="13">
        <v>0</v>
      </c>
      <c r="Q70" s="13">
        <v>0.0008192175</v>
      </c>
      <c r="R70" s="13">
        <v>0.5852051933</v>
      </c>
      <c r="S70" s="13">
        <v>0</v>
      </c>
      <c r="T70" s="13">
        <v>0.0697790746</v>
      </c>
      <c r="U70" s="13">
        <v>0.0118873427</v>
      </c>
      <c r="V70" s="13">
        <v>0</v>
      </c>
      <c r="W70" s="13">
        <v>0</v>
      </c>
      <c r="X70" s="13">
        <v>0</v>
      </c>
      <c r="Y70" s="13">
        <v>0</v>
      </c>
      <c r="Z70" s="13">
        <v>0.0003413848</v>
      </c>
    </row>
    <row r="71" s="2" customFormat="1" hidden="1" spans="1:26">
      <c r="A71" s="11" t="s">
        <v>935</v>
      </c>
      <c r="B71" s="11" t="s">
        <v>937</v>
      </c>
      <c r="C71" s="14" t="s">
        <v>812</v>
      </c>
      <c r="D71" s="14" t="s">
        <v>938</v>
      </c>
      <c r="E71" s="14" t="s">
        <v>939</v>
      </c>
      <c r="F71" s="3" t="s">
        <v>941</v>
      </c>
      <c r="G71" s="4">
        <v>74</v>
      </c>
      <c r="H71" s="12">
        <v>12523.288</v>
      </c>
      <c r="I71" s="12">
        <v>2349.126311</v>
      </c>
      <c r="J71" s="13">
        <v>0.1875806346</v>
      </c>
      <c r="K71" s="13">
        <v>0.1875806346</v>
      </c>
      <c r="L71" s="12">
        <v>24.8872972972</v>
      </c>
      <c r="M71" s="13">
        <v>0.1111151839</v>
      </c>
      <c r="N71" s="13">
        <v>0.0418546795</v>
      </c>
      <c r="O71" s="13">
        <v>0.2982418035</v>
      </c>
      <c r="P71" s="13">
        <v>0.0141122682</v>
      </c>
      <c r="Q71" s="13">
        <v>0.0040814144</v>
      </c>
      <c r="R71" s="13">
        <v>0.2086387812</v>
      </c>
      <c r="S71" s="13">
        <v>0</v>
      </c>
      <c r="T71" s="13">
        <v>0.1175787061</v>
      </c>
      <c r="U71" s="13">
        <v>0.0114587514</v>
      </c>
      <c r="V71" s="13">
        <v>0</v>
      </c>
      <c r="W71" s="13">
        <v>0</v>
      </c>
      <c r="X71" s="13">
        <v>0</v>
      </c>
      <c r="Y71" s="13">
        <v>0</v>
      </c>
      <c r="Z71" s="13">
        <v>0.0053377766</v>
      </c>
    </row>
    <row r="72" s="2" customFormat="1" hidden="1" spans="1:26">
      <c r="A72" s="11" t="s">
        <v>935</v>
      </c>
      <c r="B72" s="11" t="s">
        <v>937</v>
      </c>
      <c r="C72" s="14" t="s">
        <v>812</v>
      </c>
      <c r="D72" s="14" t="s">
        <v>938</v>
      </c>
      <c r="E72" s="14" t="s">
        <v>939</v>
      </c>
      <c r="F72" s="3" t="s">
        <v>942</v>
      </c>
      <c r="G72" s="4">
        <v>63</v>
      </c>
      <c r="H72" s="12">
        <v>10787.656</v>
      </c>
      <c r="I72" s="12">
        <v>2426.014814</v>
      </c>
      <c r="J72" s="13">
        <v>0.2248880399</v>
      </c>
      <c r="K72" s="13">
        <v>0.2248880399</v>
      </c>
      <c r="L72" s="12">
        <v>25.1812698412</v>
      </c>
      <c r="M72" s="13">
        <v>0.1080748542</v>
      </c>
      <c r="N72" s="13">
        <v>0.0363557225</v>
      </c>
      <c r="O72" s="13">
        <v>0.2981934166</v>
      </c>
      <c r="P72" s="13">
        <v>0.016382799</v>
      </c>
      <c r="Q72" s="13">
        <v>0.0167730987</v>
      </c>
      <c r="R72" s="13">
        <v>0.1629615625</v>
      </c>
      <c r="S72" s="13">
        <v>0</v>
      </c>
      <c r="T72" s="13">
        <v>0.118266285</v>
      </c>
      <c r="U72" s="13">
        <v>0.0111452174</v>
      </c>
      <c r="V72" s="13">
        <v>0.0004727625</v>
      </c>
      <c r="W72" s="13">
        <v>0</v>
      </c>
      <c r="X72" s="13">
        <v>0</v>
      </c>
      <c r="Y72" s="13">
        <v>0</v>
      </c>
      <c r="Z72" s="13">
        <v>0.0064862412</v>
      </c>
    </row>
    <row r="73" s="2" customFormat="1" hidden="1" spans="1:26">
      <c r="A73" s="11" t="s">
        <v>935</v>
      </c>
      <c r="B73" s="11" t="s">
        <v>937</v>
      </c>
      <c r="C73" s="14" t="s">
        <v>812</v>
      </c>
      <c r="D73" s="14" t="s">
        <v>938</v>
      </c>
      <c r="E73" s="14" t="s">
        <v>939</v>
      </c>
      <c r="F73" s="3" t="s">
        <v>943</v>
      </c>
      <c r="G73" s="4">
        <v>28</v>
      </c>
      <c r="H73" s="12">
        <v>4948.496</v>
      </c>
      <c r="I73" s="12">
        <v>752.688064</v>
      </c>
      <c r="J73" s="13">
        <v>0.1521044099</v>
      </c>
      <c r="K73" s="13">
        <v>0.1521044099</v>
      </c>
      <c r="L73" s="12">
        <v>25.99</v>
      </c>
      <c r="M73" s="13">
        <v>0.1064007932</v>
      </c>
      <c r="N73" s="13">
        <v>0.0706046669</v>
      </c>
      <c r="O73" s="13">
        <v>0.2935744517</v>
      </c>
      <c r="P73" s="13">
        <v>0.0357142857</v>
      </c>
      <c r="Q73" s="13">
        <v>0.0299916687</v>
      </c>
      <c r="R73" s="13">
        <v>0.1680316312</v>
      </c>
      <c r="S73" s="13">
        <v>0</v>
      </c>
      <c r="T73" s="13">
        <v>0.1166107843</v>
      </c>
      <c r="U73" s="13">
        <v>0.0109725799</v>
      </c>
      <c r="V73" s="13">
        <v>0</v>
      </c>
      <c r="W73" s="13">
        <v>0</v>
      </c>
      <c r="X73" s="13">
        <v>0.0031193318</v>
      </c>
      <c r="Y73" s="13">
        <v>0</v>
      </c>
      <c r="Z73" s="13">
        <v>0.0128753962</v>
      </c>
    </row>
    <row r="74" s="2" customFormat="1" spans="1:26">
      <c r="A74" s="11" t="s">
        <v>935</v>
      </c>
      <c r="B74" s="11" t="s">
        <v>937</v>
      </c>
      <c r="C74" s="14" t="s">
        <v>812</v>
      </c>
      <c r="D74" s="14" t="s">
        <v>938</v>
      </c>
      <c r="E74" s="14" t="s">
        <v>939</v>
      </c>
      <c r="F74" s="3" t="s">
        <v>944</v>
      </c>
      <c r="G74" s="4">
        <v>17</v>
      </c>
      <c r="H74" s="12">
        <v>3004.444</v>
      </c>
      <c r="I74" s="12">
        <v>422.129004</v>
      </c>
      <c r="J74" s="13">
        <v>0.1405015383</v>
      </c>
      <c r="K74" s="13">
        <v>0.1405015383</v>
      </c>
      <c r="L74" s="12">
        <v>25.99</v>
      </c>
      <c r="M74" s="13">
        <v>0.1064007932</v>
      </c>
      <c r="N74" s="13">
        <v>0.0707857999</v>
      </c>
      <c r="O74" s="13">
        <v>0.2935744517</v>
      </c>
      <c r="P74" s="13">
        <v>0.0588235294</v>
      </c>
      <c r="Q74" s="13">
        <v>0.0232068549</v>
      </c>
      <c r="R74" s="13">
        <v>0.1799417542</v>
      </c>
      <c r="S74" s="13">
        <v>0</v>
      </c>
      <c r="T74" s="13">
        <v>0.1143878867</v>
      </c>
      <c r="U74" s="13">
        <v>0.0109725799</v>
      </c>
      <c r="V74" s="13">
        <v>0</v>
      </c>
      <c r="W74" s="13">
        <v>0</v>
      </c>
      <c r="X74" s="13">
        <v>0</v>
      </c>
      <c r="Y74" s="13">
        <v>0</v>
      </c>
      <c r="Z74" s="13">
        <v>0.0014048113</v>
      </c>
    </row>
    <row r="75" s="2" customFormat="1" hidden="1" spans="1:26">
      <c r="A75" s="11" t="s">
        <v>935</v>
      </c>
      <c r="B75" s="11" t="s">
        <v>937</v>
      </c>
      <c r="C75" s="14" t="s">
        <v>812</v>
      </c>
      <c r="D75" s="14" t="s">
        <v>938</v>
      </c>
      <c r="E75" s="14" t="s">
        <v>939</v>
      </c>
      <c r="F75" s="3" t="s">
        <v>945</v>
      </c>
      <c r="G75" s="4">
        <v>1</v>
      </c>
      <c r="H75" s="12">
        <v>176.732</v>
      </c>
      <c r="I75" s="12">
        <v>38.432852</v>
      </c>
      <c r="J75" s="13">
        <v>0.2174640246</v>
      </c>
      <c r="K75" s="13">
        <v>0.2174640246</v>
      </c>
      <c r="L75" s="12">
        <v>25.99</v>
      </c>
      <c r="M75" s="13">
        <v>0.1064007932</v>
      </c>
      <c r="N75" s="13">
        <v>0.0707857999</v>
      </c>
      <c r="O75" s="13">
        <v>0.2935744517</v>
      </c>
      <c r="P75" s="13">
        <v>0</v>
      </c>
      <c r="Q75" s="13">
        <v>0</v>
      </c>
      <c r="R75" s="13">
        <v>0.1807561788</v>
      </c>
      <c r="S75" s="13">
        <v>0</v>
      </c>
      <c r="T75" s="13">
        <v>0.1200461716</v>
      </c>
      <c r="U75" s="13">
        <v>0.0109725799</v>
      </c>
      <c r="V75" s="13">
        <v>0</v>
      </c>
      <c r="W75" s="13">
        <v>0</v>
      </c>
      <c r="X75" s="13">
        <v>0</v>
      </c>
      <c r="Y75" s="13">
        <v>0</v>
      </c>
      <c r="Z75" s="13">
        <v>0</v>
      </c>
    </row>
    <row r="76" s="2" customFormat="1" hidden="1" spans="1:26">
      <c r="A76" s="11" t="s">
        <v>935</v>
      </c>
      <c r="B76" s="11" t="s">
        <v>937</v>
      </c>
      <c r="C76" s="14" t="s">
        <v>814</v>
      </c>
      <c r="D76" s="14" t="s">
        <v>938</v>
      </c>
      <c r="E76" s="14" t="s">
        <v>939</v>
      </c>
      <c r="F76" s="3" t="s">
        <v>936</v>
      </c>
      <c r="G76" s="4">
        <v>81</v>
      </c>
      <c r="H76" s="12">
        <v>13285.772</v>
      </c>
      <c r="I76" s="12">
        <v>1219.666736</v>
      </c>
      <c r="J76" s="13">
        <v>0.0918024738</v>
      </c>
      <c r="K76" s="13">
        <v>0.0918024738</v>
      </c>
      <c r="L76" s="12">
        <v>24.1208641975</v>
      </c>
      <c r="M76" s="13">
        <v>0.1466942246</v>
      </c>
      <c r="N76" s="13">
        <v>0.0409906492</v>
      </c>
      <c r="O76" s="13">
        <v>0.3102534049</v>
      </c>
      <c r="P76" s="13">
        <v>0.0133023508</v>
      </c>
      <c r="Q76" s="13">
        <v>0.0254892545</v>
      </c>
      <c r="R76" s="13">
        <v>0.2382134994</v>
      </c>
      <c r="S76" s="13">
        <v>0</v>
      </c>
      <c r="T76" s="13">
        <v>0.1150430701</v>
      </c>
      <c r="U76" s="13">
        <v>0.0151278417</v>
      </c>
      <c r="V76" s="13">
        <v>0</v>
      </c>
      <c r="W76" s="13">
        <v>-0.0023529627</v>
      </c>
      <c r="X76" s="13">
        <v>0</v>
      </c>
      <c r="Y76" s="13">
        <v>0</v>
      </c>
      <c r="Z76" s="13">
        <v>0.0054361933</v>
      </c>
    </row>
    <row r="77" s="2" customFormat="1" hidden="1" spans="1:26">
      <c r="A77" s="11" t="s">
        <v>935</v>
      </c>
      <c r="B77" s="11" t="s">
        <v>937</v>
      </c>
      <c r="C77" s="14" t="s">
        <v>814</v>
      </c>
      <c r="D77" s="14" t="s">
        <v>938</v>
      </c>
      <c r="E77" s="14" t="s">
        <v>939</v>
      </c>
      <c r="F77" s="3" t="s">
        <v>940</v>
      </c>
      <c r="G77" s="4">
        <v>3</v>
      </c>
      <c r="H77" s="12">
        <v>516.596</v>
      </c>
      <c r="I77" s="12">
        <v>39.562025</v>
      </c>
      <c r="J77" s="13">
        <v>0.0765821357</v>
      </c>
      <c r="K77" s="13">
        <v>0.0765821357</v>
      </c>
      <c r="L77" s="12">
        <v>25.3233333333</v>
      </c>
      <c r="M77" s="13">
        <v>0.1397285035</v>
      </c>
      <c r="N77" s="13">
        <v>0.0411339886</v>
      </c>
      <c r="O77" s="13">
        <v>0.2815585099</v>
      </c>
      <c r="P77" s="13">
        <v>0</v>
      </c>
      <c r="Q77" s="13">
        <v>0.0008192552</v>
      </c>
      <c r="R77" s="13">
        <v>0.3373577456</v>
      </c>
      <c r="S77" s="13">
        <v>0</v>
      </c>
      <c r="T77" s="13">
        <v>0.1080689745</v>
      </c>
      <c r="U77" s="13">
        <v>0.0144095018</v>
      </c>
      <c r="V77" s="13">
        <v>0</v>
      </c>
      <c r="W77" s="13">
        <v>0</v>
      </c>
      <c r="X77" s="13">
        <v>0</v>
      </c>
      <c r="Y77" s="13">
        <v>0</v>
      </c>
      <c r="Z77" s="13">
        <v>0.0003413847</v>
      </c>
    </row>
    <row r="78" s="2" customFormat="1" hidden="1" spans="1:26">
      <c r="A78" s="11" t="s">
        <v>935</v>
      </c>
      <c r="B78" s="11" t="s">
        <v>937</v>
      </c>
      <c r="C78" s="14" t="s">
        <v>814</v>
      </c>
      <c r="D78" s="14" t="s">
        <v>938</v>
      </c>
      <c r="E78" s="14" t="s">
        <v>939</v>
      </c>
      <c r="F78" s="3" t="s">
        <v>941</v>
      </c>
      <c r="G78" s="4">
        <v>41</v>
      </c>
      <c r="H78" s="12">
        <v>6313.052</v>
      </c>
      <c r="I78" s="12">
        <v>474.706042</v>
      </c>
      <c r="J78" s="13">
        <v>0.0751943817</v>
      </c>
      <c r="K78" s="13">
        <v>0.0751943817</v>
      </c>
      <c r="L78" s="12">
        <v>22.6436585365</v>
      </c>
      <c r="M78" s="13">
        <v>0.1562641242</v>
      </c>
      <c r="N78" s="13">
        <v>0.0362212045</v>
      </c>
      <c r="O78" s="13">
        <v>0.3289888947</v>
      </c>
      <c r="P78" s="13">
        <v>0</v>
      </c>
      <c r="Q78" s="13">
        <v>0.0099845165</v>
      </c>
      <c r="R78" s="13">
        <v>0.258698398</v>
      </c>
      <c r="S78" s="13">
        <v>0</v>
      </c>
      <c r="T78" s="13">
        <v>0.1131959629</v>
      </c>
      <c r="U78" s="13">
        <v>0.0161147376</v>
      </c>
      <c r="V78" s="13">
        <v>0</v>
      </c>
      <c r="W78" s="13">
        <v>0</v>
      </c>
      <c r="X78" s="13">
        <v>0</v>
      </c>
      <c r="Y78" s="13">
        <v>0</v>
      </c>
      <c r="Z78" s="13">
        <v>0.0053377794</v>
      </c>
    </row>
    <row r="79" s="2" customFormat="1" hidden="1" spans="1:26">
      <c r="A79" s="11" t="s">
        <v>935</v>
      </c>
      <c r="B79" s="11" t="s">
        <v>937</v>
      </c>
      <c r="C79" s="14" t="s">
        <v>814</v>
      </c>
      <c r="D79" s="14" t="s">
        <v>938</v>
      </c>
      <c r="E79" s="14" t="s">
        <v>939</v>
      </c>
      <c r="F79" s="3" t="s">
        <v>942</v>
      </c>
      <c r="G79" s="4">
        <v>27</v>
      </c>
      <c r="H79" s="12">
        <v>4620.804</v>
      </c>
      <c r="I79" s="12">
        <v>419.205935</v>
      </c>
      <c r="J79" s="13">
        <v>0.0907214274</v>
      </c>
      <c r="K79" s="13">
        <v>0.0907214274</v>
      </c>
      <c r="L79" s="12">
        <v>25.1677777777</v>
      </c>
      <c r="M79" s="13">
        <v>0.1405921294</v>
      </c>
      <c r="N79" s="13">
        <v>0.047841945</v>
      </c>
      <c r="O79" s="13">
        <v>0.2999867555</v>
      </c>
      <c r="P79" s="13">
        <v>0.0382470236</v>
      </c>
      <c r="Q79" s="13">
        <v>0.0290730015</v>
      </c>
      <c r="R79" s="13">
        <v>0.2161930787</v>
      </c>
      <c r="S79" s="13">
        <v>0</v>
      </c>
      <c r="T79" s="13">
        <v>0.1163598369</v>
      </c>
      <c r="U79" s="13">
        <v>0.0144985632</v>
      </c>
      <c r="V79" s="13">
        <v>0</v>
      </c>
      <c r="W79" s="13">
        <v>0</v>
      </c>
      <c r="X79" s="13">
        <v>0</v>
      </c>
      <c r="Y79" s="13">
        <v>0</v>
      </c>
      <c r="Z79" s="13">
        <v>0.0064862383</v>
      </c>
    </row>
    <row r="80" s="2" customFormat="1" hidden="1" spans="1:26">
      <c r="A80" s="11" t="s">
        <v>935</v>
      </c>
      <c r="B80" s="11" t="s">
        <v>937</v>
      </c>
      <c r="C80" s="14" t="s">
        <v>814</v>
      </c>
      <c r="D80" s="14" t="s">
        <v>938</v>
      </c>
      <c r="E80" s="14" t="s">
        <v>939</v>
      </c>
      <c r="F80" s="3" t="s">
        <v>943</v>
      </c>
      <c r="G80" s="4">
        <v>3</v>
      </c>
      <c r="H80" s="12">
        <v>550.596</v>
      </c>
      <c r="I80" s="12">
        <v>-94.781055</v>
      </c>
      <c r="J80" s="13">
        <v>-0.1721426508</v>
      </c>
      <c r="K80" s="13">
        <v>-0.1721426508</v>
      </c>
      <c r="L80" s="12">
        <v>26.99</v>
      </c>
      <c r="M80" s="13">
        <v>0.1311000915</v>
      </c>
      <c r="N80" s="13">
        <v>0.0392294804</v>
      </c>
      <c r="O80" s="13">
        <v>0.2797332345</v>
      </c>
      <c r="P80" s="13">
        <v>0</v>
      </c>
      <c r="Q80" s="13">
        <v>0.1362726881</v>
      </c>
      <c r="R80" s="13">
        <v>0.4961439966</v>
      </c>
      <c r="S80" s="13">
        <v>0</v>
      </c>
      <c r="T80" s="13">
        <v>0.1200444609</v>
      </c>
      <c r="U80" s="13">
        <v>0.0135196968</v>
      </c>
      <c r="V80" s="13">
        <v>0</v>
      </c>
      <c r="W80" s="13">
        <v>-0.0567765239</v>
      </c>
      <c r="X80" s="13">
        <v>0</v>
      </c>
      <c r="Y80" s="13">
        <v>0</v>
      </c>
      <c r="Z80" s="13">
        <v>0.0128755257</v>
      </c>
    </row>
    <row r="81" s="2" customFormat="1" spans="1:26">
      <c r="A81" s="11" t="s">
        <v>935</v>
      </c>
      <c r="B81" s="11" t="s">
        <v>937</v>
      </c>
      <c r="C81" s="14" t="s">
        <v>814</v>
      </c>
      <c r="D81" s="14" t="s">
        <v>938</v>
      </c>
      <c r="E81" s="14" t="s">
        <v>939</v>
      </c>
      <c r="F81" s="3" t="s">
        <v>944</v>
      </c>
      <c r="G81" s="4">
        <v>5</v>
      </c>
      <c r="H81" s="12">
        <v>917.66</v>
      </c>
      <c r="I81" s="12">
        <v>241.77216</v>
      </c>
      <c r="J81" s="13">
        <v>0.2634659459</v>
      </c>
      <c r="K81" s="13">
        <v>0.2634659459</v>
      </c>
      <c r="L81" s="12">
        <v>26.99</v>
      </c>
      <c r="M81" s="13">
        <v>0.1311000915</v>
      </c>
      <c r="N81" s="13">
        <v>0.0404822919</v>
      </c>
      <c r="O81" s="13">
        <v>0.2797332345</v>
      </c>
      <c r="P81" s="13">
        <v>0</v>
      </c>
      <c r="Q81" s="13">
        <v>0.0717221955</v>
      </c>
      <c r="R81" s="13">
        <v>0.0785272704</v>
      </c>
      <c r="S81" s="13">
        <v>0</v>
      </c>
      <c r="T81" s="13">
        <v>0.1200444609</v>
      </c>
      <c r="U81" s="13">
        <v>0.0135196968</v>
      </c>
      <c r="V81" s="13">
        <v>0</v>
      </c>
      <c r="W81" s="13">
        <v>0</v>
      </c>
      <c r="X81" s="13">
        <v>0</v>
      </c>
      <c r="Y81" s="13">
        <v>0</v>
      </c>
      <c r="Z81" s="13">
        <v>0.0014048122</v>
      </c>
    </row>
    <row r="82" s="2" customFormat="1" hidden="1" spans="1:26">
      <c r="A82" s="11" t="s">
        <v>935</v>
      </c>
      <c r="B82" s="11" t="s">
        <v>937</v>
      </c>
      <c r="C82" s="14" t="s">
        <v>814</v>
      </c>
      <c r="D82" s="14" t="s">
        <v>938</v>
      </c>
      <c r="E82" s="14" t="s">
        <v>939</v>
      </c>
      <c r="F82" s="3" t="s">
        <v>945</v>
      </c>
      <c r="G82" s="4">
        <v>2</v>
      </c>
      <c r="H82" s="12">
        <v>367.064</v>
      </c>
      <c r="I82" s="12">
        <v>139.201629</v>
      </c>
      <c r="J82" s="13">
        <v>0.379229859</v>
      </c>
      <c r="K82" s="13">
        <v>0.379229859</v>
      </c>
      <c r="L82" s="12">
        <v>26.99</v>
      </c>
      <c r="M82" s="13">
        <v>0.1311000915</v>
      </c>
      <c r="N82" s="13">
        <v>0.0404822919</v>
      </c>
      <c r="O82" s="13">
        <v>0.2797332345</v>
      </c>
      <c r="P82" s="13">
        <v>0</v>
      </c>
      <c r="Q82" s="13">
        <v>0</v>
      </c>
      <c r="R82" s="13">
        <v>0.0358903651</v>
      </c>
      <c r="S82" s="13">
        <v>0</v>
      </c>
      <c r="T82" s="13">
        <v>0.1200444609</v>
      </c>
      <c r="U82" s="13">
        <v>0.0135196968</v>
      </c>
      <c r="V82" s="13">
        <v>0</v>
      </c>
      <c r="W82" s="13">
        <v>0</v>
      </c>
      <c r="X82" s="13">
        <v>0</v>
      </c>
      <c r="Y82" s="13">
        <v>0</v>
      </c>
      <c r="Z82" s="13">
        <v>0</v>
      </c>
    </row>
    <row r="83" s="2" customFormat="1" hidden="1" spans="1:26">
      <c r="A83" s="11" t="s">
        <v>935</v>
      </c>
      <c r="B83" s="11" t="s">
        <v>937</v>
      </c>
      <c r="C83" s="14" t="s">
        <v>816</v>
      </c>
      <c r="D83" s="14" t="s">
        <v>938</v>
      </c>
      <c r="E83" s="14" t="s">
        <v>939</v>
      </c>
      <c r="F83" s="3" t="s">
        <v>936</v>
      </c>
      <c r="G83" s="4">
        <v>42</v>
      </c>
      <c r="H83" s="12">
        <v>7251.656</v>
      </c>
      <c r="I83" s="12">
        <v>476.594118</v>
      </c>
      <c r="J83" s="13">
        <v>0.0657221078</v>
      </c>
      <c r="K83" s="13">
        <v>0.0657221078</v>
      </c>
      <c r="L83" s="12">
        <v>25.3909523809</v>
      </c>
      <c r="M83" s="13">
        <v>0.1111714317</v>
      </c>
      <c r="N83" s="13">
        <v>0.0560822385</v>
      </c>
      <c r="O83" s="13">
        <v>0.2662178128</v>
      </c>
      <c r="P83" s="13">
        <v>0.0230303257</v>
      </c>
      <c r="Q83" s="13">
        <v>0.0207844977</v>
      </c>
      <c r="R83" s="13">
        <v>0.3506040323</v>
      </c>
      <c r="S83" s="13">
        <v>0</v>
      </c>
      <c r="T83" s="13">
        <v>0.0908178766</v>
      </c>
      <c r="U83" s="13">
        <v>0.0114645573</v>
      </c>
      <c r="V83" s="13">
        <v>0</v>
      </c>
      <c r="W83" s="13">
        <v>0</v>
      </c>
      <c r="X83" s="13">
        <v>0</v>
      </c>
      <c r="Y83" s="13">
        <v>0</v>
      </c>
      <c r="Z83" s="13">
        <v>0.004105119</v>
      </c>
    </row>
    <row r="84" s="2" customFormat="1" hidden="1" spans="1:26">
      <c r="A84" s="11" t="s">
        <v>935</v>
      </c>
      <c r="B84" s="11" t="s">
        <v>937</v>
      </c>
      <c r="C84" s="14" t="s">
        <v>816</v>
      </c>
      <c r="D84" s="14" t="s">
        <v>938</v>
      </c>
      <c r="E84" s="14" t="s">
        <v>939</v>
      </c>
      <c r="F84" s="3" t="s">
        <v>942</v>
      </c>
      <c r="G84" s="4">
        <v>8</v>
      </c>
      <c r="H84" s="12">
        <v>1413.856</v>
      </c>
      <c r="I84" s="12">
        <v>-621.051516</v>
      </c>
      <c r="J84" s="13">
        <v>-0.4392607988</v>
      </c>
      <c r="K84" s="13">
        <v>-0.4392607988</v>
      </c>
      <c r="L84" s="12">
        <v>25.99</v>
      </c>
      <c r="M84" s="13">
        <v>0.1086090238</v>
      </c>
      <c r="N84" s="13">
        <v>0.0300567808</v>
      </c>
      <c r="O84" s="13">
        <v>0.2427856868</v>
      </c>
      <c r="P84" s="13">
        <v>0</v>
      </c>
      <c r="Q84" s="13">
        <v>0.0003234226</v>
      </c>
      <c r="R84" s="13">
        <v>1.0282563768</v>
      </c>
      <c r="S84" s="13">
        <v>0</v>
      </c>
      <c r="T84" s="13">
        <v>0.0115429011</v>
      </c>
      <c r="U84" s="13">
        <v>0.0112003089</v>
      </c>
      <c r="V84" s="13">
        <v>0</v>
      </c>
      <c r="W84" s="13">
        <v>0</v>
      </c>
      <c r="X84" s="13">
        <v>0</v>
      </c>
      <c r="Y84" s="13">
        <v>0</v>
      </c>
      <c r="Z84" s="13">
        <v>0.0064862977</v>
      </c>
    </row>
    <row r="85" s="2" customFormat="1" hidden="1" spans="1:26">
      <c r="A85" s="11" t="s">
        <v>935</v>
      </c>
      <c r="B85" s="11" t="s">
        <v>937</v>
      </c>
      <c r="C85" s="14" t="s">
        <v>816</v>
      </c>
      <c r="D85" s="14" t="s">
        <v>938</v>
      </c>
      <c r="E85" s="14" t="s">
        <v>939</v>
      </c>
      <c r="F85" s="3" t="s">
        <v>943</v>
      </c>
      <c r="G85" s="4">
        <v>6</v>
      </c>
      <c r="H85" s="12">
        <v>1080.792</v>
      </c>
      <c r="I85" s="12">
        <v>35.060312</v>
      </c>
      <c r="J85" s="13">
        <v>0.0324394629</v>
      </c>
      <c r="K85" s="13">
        <v>0.0324394629</v>
      </c>
      <c r="L85" s="12">
        <v>26.49</v>
      </c>
      <c r="M85" s="13">
        <v>0.1065590233</v>
      </c>
      <c r="N85" s="13">
        <v>0.0594650756</v>
      </c>
      <c r="O85" s="13">
        <v>0.2530514659</v>
      </c>
      <c r="P85" s="13">
        <v>0</v>
      </c>
      <c r="Q85" s="13">
        <v>0.0408493576</v>
      </c>
      <c r="R85" s="13">
        <v>0.4012874697</v>
      </c>
      <c r="S85" s="13">
        <v>0</v>
      </c>
      <c r="T85" s="13">
        <v>0.0824839562</v>
      </c>
      <c r="U85" s="13">
        <v>0.0109889025</v>
      </c>
      <c r="V85" s="13">
        <v>0</v>
      </c>
      <c r="W85" s="13">
        <v>0</v>
      </c>
      <c r="X85" s="13">
        <v>0</v>
      </c>
      <c r="Y85" s="13">
        <v>0</v>
      </c>
      <c r="Z85" s="13">
        <v>0.0128752859</v>
      </c>
    </row>
    <row r="86" s="2" customFormat="1" spans="1:26">
      <c r="A86" s="11" t="s">
        <v>935</v>
      </c>
      <c r="B86" s="11" t="s">
        <v>937</v>
      </c>
      <c r="C86" s="14" t="s">
        <v>816</v>
      </c>
      <c r="D86" s="14" t="s">
        <v>938</v>
      </c>
      <c r="E86" s="14" t="s">
        <v>939</v>
      </c>
      <c r="F86" s="3" t="s">
        <v>944</v>
      </c>
      <c r="G86" s="4">
        <v>28</v>
      </c>
      <c r="H86" s="12">
        <v>4757.008</v>
      </c>
      <c r="I86" s="12">
        <v>1087.363488</v>
      </c>
      <c r="J86" s="13">
        <v>0.2285813872</v>
      </c>
      <c r="K86" s="13">
        <v>0.2285813872</v>
      </c>
      <c r="L86" s="12">
        <v>24.9842857142</v>
      </c>
      <c r="M86" s="13">
        <v>0.1129809577</v>
      </c>
      <c r="N86" s="13">
        <v>0.0630488248</v>
      </c>
      <c r="O86" s="13">
        <v>0.2761735948</v>
      </c>
      <c r="P86" s="13">
        <v>0.035107782</v>
      </c>
      <c r="Q86" s="13">
        <v>0.022307109</v>
      </c>
      <c r="R86" s="13">
        <v>0.1324712789</v>
      </c>
      <c r="S86" s="13">
        <v>0</v>
      </c>
      <c r="T86" s="13">
        <v>0.1162730859</v>
      </c>
      <c r="U86" s="13">
        <v>0.0116511647</v>
      </c>
      <c r="V86" s="13">
        <v>0</v>
      </c>
      <c r="W86" s="13">
        <v>0</v>
      </c>
      <c r="X86" s="13">
        <v>0</v>
      </c>
      <c r="Y86" s="13">
        <v>0</v>
      </c>
      <c r="Z86" s="13">
        <v>0.0014048145</v>
      </c>
    </row>
    <row r="87" s="2" customFormat="1" hidden="1" spans="1:26">
      <c r="A87" s="11" t="s">
        <v>935</v>
      </c>
      <c r="B87" s="11" t="s">
        <v>937</v>
      </c>
      <c r="C87" s="14" t="s">
        <v>816</v>
      </c>
      <c r="D87" s="14" t="s">
        <v>938</v>
      </c>
      <c r="E87" s="14" t="s">
        <v>939</v>
      </c>
      <c r="F87" s="3" t="s">
        <v>945</v>
      </c>
      <c r="G87" s="4">
        <v>0</v>
      </c>
      <c r="H87" s="12">
        <v>0</v>
      </c>
      <c r="I87" s="12">
        <v>-24.778166</v>
      </c>
      <c r="J87" s="13"/>
      <c r="K87" s="13"/>
      <c r="L87" s="12"/>
      <c r="M87" s="13"/>
      <c r="N87" s="13"/>
      <c r="O87" s="13"/>
      <c r="P87" s="13"/>
      <c r="Q87" s="13"/>
      <c r="R87" s="13"/>
      <c r="S87" s="13"/>
      <c r="T87" s="13"/>
      <c r="U87" s="13"/>
      <c r="V87" s="13"/>
      <c r="W87" s="13"/>
      <c r="X87" s="13"/>
      <c r="Y87" s="13"/>
      <c r="Z87" s="13"/>
    </row>
    <row r="88" s="2" customFormat="1" hidden="1" spans="1:26">
      <c r="A88" s="11" t="s">
        <v>935</v>
      </c>
      <c r="B88" s="11" t="s">
        <v>937</v>
      </c>
      <c r="C88" s="14" t="s">
        <v>818</v>
      </c>
      <c r="D88" s="14" t="s">
        <v>938</v>
      </c>
      <c r="E88" s="14" t="s">
        <v>939</v>
      </c>
      <c r="F88" s="3" t="s">
        <v>936</v>
      </c>
      <c r="G88" s="4">
        <v>125</v>
      </c>
      <c r="H88" s="12">
        <v>19364.7</v>
      </c>
      <c r="I88" s="12">
        <v>367.719051</v>
      </c>
      <c r="J88" s="13">
        <v>0.0189891426</v>
      </c>
      <c r="K88" s="13">
        <v>0.0189891426</v>
      </c>
      <c r="L88" s="12">
        <v>22.782</v>
      </c>
      <c r="M88" s="13">
        <v>0.1466266195</v>
      </c>
      <c r="N88" s="13">
        <v>0.0412333188</v>
      </c>
      <c r="O88" s="13">
        <v>0.3417118777</v>
      </c>
      <c r="P88" s="13">
        <v>0.0245702747</v>
      </c>
      <c r="Q88" s="13">
        <v>0.036743248</v>
      </c>
      <c r="R88" s="13">
        <v>0.2656260448</v>
      </c>
      <c r="S88" s="13">
        <v>0</v>
      </c>
      <c r="T88" s="13">
        <v>0.1092722324</v>
      </c>
      <c r="U88" s="13">
        <v>0.0151208707</v>
      </c>
      <c r="V88" s="13">
        <v>-0.0043613378</v>
      </c>
      <c r="W88" s="13">
        <v>-0.0029752068</v>
      </c>
      <c r="X88" s="13">
        <v>0.0007971204</v>
      </c>
      <c r="Y88" s="13">
        <v>0</v>
      </c>
      <c r="Z88" s="13">
        <v>0.0066457945</v>
      </c>
    </row>
    <row r="89" s="2" customFormat="1" hidden="1" spans="1:26">
      <c r="A89" s="11" t="s">
        <v>935</v>
      </c>
      <c r="B89" s="11" t="s">
        <v>937</v>
      </c>
      <c r="C89" s="14" t="s">
        <v>818</v>
      </c>
      <c r="D89" s="14" t="s">
        <v>938</v>
      </c>
      <c r="E89" s="14" t="s">
        <v>939</v>
      </c>
      <c r="F89" s="3" t="s">
        <v>941</v>
      </c>
      <c r="G89" s="4">
        <v>15</v>
      </c>
      <c r="H89" s="12">
        <v>2174.98</v>
      </c>
      <c r="I89" s="12">
        <v>-126.546599</v>
      </c>
      <c r="J89" s="13">
        <v>-0.0581828793</v>
      </c>
      <c r="K89" s="13">
        <v>-0.0581828793</v>
      </c>
      <c r="L89" s="12">
        <v>21.3233333333</v>
      </c>
      <c r="M89" s="13">
        <v>0.1566569163</v>
      </c>
      <c r="N89" s="13">
        <v>0.0590149564</v>
      </c>
      <c r="O89" s="13">
        <v>0.3633265593</v>
      </c>
      <c r="P89" s="13">
        <v>0</v>
      </c>
      <c r="Q89" s="13">
        <v>0.0017910895</v>
      </c>
      <c r="R89" s="13">
        <v>0.3537899925</v>
      </c>
      <c r="S89" s="13">
        <v>0</v>
      </c>
      <c r="T89" s="13">
        <v>0.1021103642</v>
      </c>
      <c r="U89" s="13">
        <v>0.0161552451</v>
      </c>
      <c r="V89" s="13">
        <v>0</v>
      </c>
      <c r="W89" s="13">
        <v>0</v>
      </c>
      <c r="X89" s="13">
        <v>0</v>
      </c>
      <c r="Y89" s="13">
        <v>0</v>
      </c>
      <c r="Z89" s="13">
        <v>0.0053377557</v>
      </c>
    </row>
    <row r="90" s="2" customFormat="1" hidden="1" spans="1:26">
      <c r="A90" s="11" t="s">
        <v>935</v>
      </c>
      <c r="B90" s="11" t="s">
        <v>937</v>
      </c>
      <c r="C90" s="14" t="s">
        <v>818</v>
      </c>
      <c r="D90" s="14" t="s">
        <v>938</v>
      </c>
      <c r="E90" s="14" t="s">
        <v>939</v>
      </c>
      <c r="F90" s="3" t="s">
        <v>942</v>
      </c>
      <c r="G90" s="4">
        <v>72</v>
      </c>
      <c r="H90" s="12">
        <v>10752.704</v>
      </c>
      <c r="I90" s="12">
        <v>-25.491198</v>
      </c>
      <c r="J90" s="13">
        <v>-0.0023706779</v>
      </c>
      <c r="K90" s="13">
        <v>-0.0023706779</v>
      </c>
      <c r="L90" s="12">
        <v>21.9622222222</v>
      </c>
      <c r="M90" s="13">
        <v>0.1520997107</v>
      </c>
      <c r="N90" s="13">
        <v>0.0407916371</v>
      </c>
      <c r="O90" s="13">
        <v>0.3546999898</v>
      </c>
      <c r="P90" s="13">
        <v>0</v>
      </c>
      <c r="Q90" s="13">
        <v>0.0197470496</v>
      </c>
      <c r="R90" s="13">
        <v>0.3043410859</v>
      </c>
      <c r="S90" s="13">
        <v>0</v>
      </c>
      <c r="T90" s="13">
        <v>0.1085196802</v>
      </c>
      <c r="U90" s="13">
        <v>0.0156852832</v>
      </c>
      <c r="V90" s="13">
        <v>0</v>
      </c>
      <c r="W90" s="13">
        <v>0</v>
      </c>
      <c r="X90" s="13">
        <v>0</v>
      </c>
      <c r="Y90" s="13">
        <v>0</v>
      </c>
      <c r="Z90" s="13">
        <v>0.0064862409</v>
      </c>
    </row>
    <row r="91" s="2" customFormat="1" hidden="1" spans="1:26">
      <c r="A91" s="11" t="s">
        <v>935</v>
      </c>
      <c r="B91" s="11" t="s">
        <v>937</v>
      </c>
      <c r="C91" s="14" t="s">
        <v>818</v>
      </c>
      <c r="D91" s="14" t="s">
        <v>938</v>
      </c>
      <c r="E91" s="14" t="s">
        <v>939</v>
      </c>
      <c r="F91" s="3" t="s">
        <v>943</v>
      </c>
      <c r="G91" s="4">
        <v>20</v>
      </c>
      <c r="H91" s="12">
        <v>3398.64</v>
      </c>
      <c r="I91" s="12">
        <v>117.32051</v>
      </c>
      <c r="J91" s="13">
        <v>0.0345198402</v>
      </c>
      <c r="K91" s="13">
        <v>0.0345198402</v>
      </c>
      <c r="L91" s="12">
        <v>24.99</v>
      </c>
      <c r="M91" s="13">
        <v>0.1336713744</v>
      </c>
      <c r="N91" s="13">
        <v>0.0358493397</v>
      </c>
      <c r="O91" s="13">
        <v>0.3117246898</v>
      </c>
      <c r="P91" s="13">
        <v>0.0899959983</v>
      </c>
      <c r="Q91" s="13">
        <v>0.086486293</v>
      </c>
      <c r="R91" s="13">
        <v>0.1861668844</v>
      </c>
      <c r="S91" s="13">
        <v>0</v>
      </c>
      <c r="T91" s="13">
        <v>0.1114045618</v>
      </c>
      <c r="U91" s="13">
        <v>0.013784861</v>
      </c>
      <c r="V91" s="13">
        <v>-0.0080032012</v>
      </c>
      <c r="W91" s="13">
        <v>-0.0084760357</v>
      </c>
      <c r="X91" s="13">
        <v>0</v>
      </c>
      <c r="Y91" s="13">
        <v>0</v>
      </c>
      <c r="Z91" s="13">
        <v>0.0128753939</v>
      </c>
    </row>
    <row r="92" s="2" customFormat="1" spans="1:26">
      <c r="A92" s="11" t="s">
        <v>935</v>
      </c>
      <c r="B92" s="11" t="s">
        <v>937</v>
      </c>
      <c r="C92" s="14" t="s">
        <v>818</v>
      </c>
      <c r="D92" s="14" t="s">
        <v>938</v>
      </c>
      <c r="E92" s="14" t="s">
        <v>939</v>
      </c>
      <c r="F92" s="3" t="s">
        <v>944</v>
      </c>
      <c r="G92" s="4">
        <v>15</v>
      </c>
      <c r="H92" s="12">
        <v>2548.98</v>
      </c>
      <c r="I92" s="12">
        <v>277.535638</v>
      </c>
      <c r="J92" s="13">
        <v>0.1088810575</v>
      </c>
      <c r="K92" s="13">
        <v>0.1088810575</v>
      </c>
      <c r="L92" s="12">
        <v>24.99</v>
      </c>
      <c r="M92" s="13">
        <v>0.1336713744</v>
      </c>
      <c r="N92" s="13">
        <v>0.0358493397</v>
      </c>
      <c r="O92" s="13">
        <v>0.3117246898</v>
      </c>
      <c r="P92" s="13">
        <v>0.0666666666</v>
      </c>
      <c r="Q92" s="13">
        <v>0.0789949065</v>
      </c>
      <c r="R92" s="13">
        <v>0.1630847743</v>
      </c>
      <c r="S92" s="13">
        <v>0</v>
      </c>
      <c r="T92" s="13">
        <v>0.1136454581</v>
      </c>
      <c r="U92" s="13">
        <v>0.013784861</v>
      </c>
      <c r="V92" s="13">
        <v>-0.0224623182</v>
      </c>
      <c r="W92" s="13">
        <v>-0.0113013809</v>
      </c>
      <c r="X92" s="13">
        <v>0.0060557552</v>
      </c>
      <c r="Y92" s="13">
        <v>0</v>
      </c>
      <c r="Z92" s="13">
        <v>0.0014048156</v>
      </c>
    </row>
    <row r="93" s="2" customFormat="1" hidden="1" spans="1:26">
      <c r="A93" s="11" t="s">
        <v>935</v>
      </c>
      <c r="B93" s="11" t="s">
        <v>937</v>
      </c>
      <c r="C93" s="14" t="s">
        <v>818</v>
      </c>
      <c r="D93" s="14" t="s">
        <v>938</v>
      </c>
      <c r="E93" s="14" t="s">
        <v>939</v>
      </c>
      <c r="F93" s="3" t="s">
        <v>945</v>
      </c>
      <c r="G93" s="4">
        <v>3</v>
      </c>
      <c r="H93" s="12">
        <v>489.396</v>
      </c>
      <c r="I93" s="12">
        <v>124.9007</v>
      </c>
      <c r="J93" s="13">
        <v>0.255213978</v>
      </c>
      <c r="K93" s="13">
        <v>0.255213978</v>
      </c>
      <c r="L93" s="12">
        <v>23.99</v>
      </c>
      <c r="M93" s="13">
        <v>0.1392433366</v>
      </c>
      <c r="N93" s="13">
        <v>0.0373436848</v>
      </c>
      <c r="O93" s="13">
        <v>0.3247186327</v>
      </c>
      <c r="P93" s="13">
        <v>0</v>
      </c>
      <c r="Q93" s="13">
        <v>0</v>
      </c>
      <c r="R93" s="13">
        <v>0.1090708771</v>
      </c>
      <c r="S93" s="13">
        <v>0</v>
      </c>
      <c r="T93" s="13">
        <v>0.1200500208</v>
      </c>
      <c r="U93" s="13">
        <v>0.0143594696</v>
      </c>
      <c r="V93" s="13">
        <v>0</v>
      </c>
      <c r="W93" s="13">
        <v>0</v>
      </c>
      <c r="X93" s="13">
        <v>0</v>
      </c>
      <c r="Y93" s="13">
        <v>0</v>
      </c>
      <c r="Z93" s="13">
        <v>0</v>
      </c>
    </row>
    <row r="94" s="2" customFormat="1" hidden="1" spans="1:26">
      <c r="A94" s="11" t="s">
        <v>935</v>
      </c>
      <c r="B94" s="11" t="s">
        <v>937</v>
      </c>
      <c r="C94" s="14" t="s">
        <v>820</v>
      </c>
      <c r="D94" s="14" t="s">
        <v>938</v>
      </c>
      <c r="E94" s="14" t="s">
        <v>939</v>
      </c>
      <c r="F94" s="3" t="s">
        <v>936</v>
      </c>
      <c r="G94" s="4">
        <v>226</v>
      </c>
      <c r="H94" s="12">
        <v>39016.632</v>
      </c>
      <c r="I94" s="12">
        <v>9863.273082</v>
      </c>
      <c r="J94" s="13">
        <v>0.2527966299</v>
      </c>
      <c r="K94" s="13">
        <v>0.2527966299</v>
      </c>
      <c r="L94" s="12">
        <v>25.3882300884</v>
      </c>
      <c r="M94" s="13">
        <v>0.1268689729</v>
      </c>
      <c r="N94" s="13">
        <v>0.0354595438</v>
      </c>
      <c r="O94" s="13">
        <v>0.2986158313</v>
      </c>
      <c r="P94" s="13">
        <v>0.0087107467</v>
      </c>
      <c r="Q94" s="13">
        <v>0.0217891004</v>
      </c>
      <c r="R94" s="13">
        <v>0.1237712838</v>
      </c>
      <c r="S94" s="13">
        <v>0</v>
      </c>
      <c r="T94" s="13">
        <v>0.115334609</v>
      </c>
      <c r="U94" s="13">
        <v>0.0130833612</v>
      </c>
      <c r="V94" s="13">
        <v>-0.0014674767</v>
      </c>
      <c r="W94" s="13">
        <v>-0.001421062</v>
      </c>
      <c r="X94" s="13">
        <v>0</v>
      </c>
      <c r="Y94" s="13">
        <v>0</v>
      </c>
      <c r="Z94" s="13">
        <v>0.0064584594</v>
      </c>
    </row>
    <row r="95" s="2" customFormat="1" hidden="1" spans="1:26">
      <c r="A95" s="11" t="s">
        <v>935</v>
      </c>
      <c r="B95" s="11" t="s">
        <v>937</v>
      </c>
      <c r="C95" s="14" t="s">
        <v>820</v>
      </c>
      <c r="D95" s="14" t="s">
        <v>938</v>
      </c>
      <c r="E95" s="14" t="s">
        <v>939</v>
      </c>
      <c r="F95" s="3" t="s">
        <v>940</v>
      </c>
      <c r="G95" s="4">
        <v>4</v>
      </c>
      <c r="H95" s="12">
        <v>679.728</v>
      </c>
      <c r="I95" s="12">
        <v>-102.144996</v>
      </c>
      <c r="J95" s="13">
        <v>-0.1502733387</v>
      </c>
      <c r="K95" s="13">
        <v>-0.1502733387</v>
      </c>
      <c r="L95" s="12">
        <v>24.99</v>
      </c>
      <c r="M95" s="13">
        <v>0.1288907033</v>
      </c>
      <c r="N95" s="13">
        <v>0.0416826612</v>
      </c>
      <c r="O95" s="13">
        <v>0.2917166866</v>
      </c>
      <c r="P95" s="13">
        <v>0</v>
      </c>
      <c r="Q95" s="13">
        <v>0.0008192188</v>
      </c>
      <c r="R95" s="13">
        <v>0.6120062215</v>
      </c>
      <c r="S95" s="13">
        <v>0</v>
      </c>
      <c r="T95" s="13">
        <v>0.0615246098</v>
      </c>
      <c r="U95" s="13">
        <v>0.013291852</v>
      </c>
      <c r="V95" s="13">
        <v>0</v>
      </c>
      <c r="W95" s="13">
        <v>0</v>
      </c>
      <c r="X95" s="13">
        <v>0</v>
      </c>
      <c r="Y95" s="13">
        <v>0</v>
      </c>
      <c r="Z95" s="13">
        <v>0.000341385</v>
      </c>
    </row>
    <row r="96" s="2" customFormat="1" hidden="1" spans="1:26">
      <c r="A96" s="11" t="s">
        <v>935</v>
      </c>
      <c r="B96" s="11" t="s">
        <v>937</v>
      </c>
      <c r="C96" s="14" t="s">
        <v>820</v>
      </c>
      <c r="D96" s="14" t="s">
        <v>938</v>
      </c>
      <c r="E96" s="14" t="s">
        <v>939</v>
      </c>
      <c r="F96" s="3" t="s">
        <v>941</v>
      </c>
      <c r="G96" s="4">
        <v>50</v>
      </c>
      <c r="H96" s="12">
        <v>8496.6</v>
      </c>
      <c r="I96" s="12">
        <v>1485.797855</v>
      </c>
      <c r="J96" s="13">
        <v>0.1748696955</v>
      </c>
      <c r="K96" s="13">
        <v>0.1748696955</v>
      </c>
      <c r="L96" s="12">
        <v>24.99</v>
      </c>
      <c r="M96" s="13">
        <v>0.1288907033</v>
      </c>
      <c r="N96" s="13">
        <v>0.0416826671</v>
      </c>
      <c r="O96" s="13">
        <v>0.2994157663</v>
      </c>
      <c r="P96" s="13">
        <v>0</v>
      </c>
      <c r="Q96" s="13">
        <v>0.0190380689</v>
      </c>
      <c r="R96" s="13">
        <v>0.2073894345</v>
      </c>
      <c r="S96" s="13">
        <v>0</v>
      </c>
      <c r="T96" s="13">
        <v>0.1100840336</v>
      </c>
      <c r="U96" s="13">
        <v>0.013291852</v>
      </c>
      <c r="V96" s="13">
        <v>0</v>
      </c>
      <c r="W96" s="13">
        <v>0</v>
      </c>
      <c r="X96" s="13">
        <v>0</v>
      </c>
      <c r="Y96" s="13">
        <v>0</v>
      </c>
      <c r="Z96" s="13">
        <v>0.0053377784</v>
      </c>
    </row>
    <row r="97" s="2" customFormat="1" hidden="1" spans="1:26">
      <c r="A97" s="11" t="s">
        <v>935</v>
      </c>
      <c r="B97" s="11" t="s">
        <v>937</v>
      </c>
      <c r="C97" s="14" t="s">
        <v>820</v>
      </c>
      <c r="D97" s="14" t="s">
        <v>938</v>
      </c>
      <c r="E97" s="14" t="s">
        <v>939</v>
      </c>
      <c r="F97" s="3" t="s">
        <v>942</v>
      </c>
      <c r="G97" s="4">
        <v>103</v>
      </c>
      <c r="H97" s="12">
        <v>17244.596</v>
      </c>
      <c r="I97" s="12">
        <v>4752.285671</v>
      </c>
      <c r="J97" s="13">
        <v>0.2755811542</v>
      </c>
      <c r="K97" s="13">
        <v>0.2755811542</v>
      </c>
      <c r="L97" s="12">
        <v>24.6210679611</v>
      </c>
      <c r="M97" s="13">
        <v>0.1308220536</v>
      </c>
      <c r="N97" s="13">
        <v>0.0347614356</v>
      </c>
      <c r="O97" s="13">
        <v>0.3090060213</v>
      </c>
      <c r="P97" s="13">
        <v>0.0098542175</v>
      </c>
      <c r="Q97" s="13">
        <v>0.02127067</v>
      </c>
      <c r="R97" s="13">
        <v>0.0806895081</v>
      </c>
      <c r="S97" s="13">
        <v>0</v>
      </c>
      <c r="T97" s="13">
        <v>0.1180376739</v>
      </c>
      <c r="U97" s="13">
        <v>0.0134910228</v>
      </c>
      <c r="V97" s="13">
        <v>0</v>
      </c>
      <c r="W97" s="13">
        <v>0</v>
      </c>
      <c r="X97" s="13">
        <v>0</v>
      </c>
      <c r="Y97" s="13">
        <v>0</v>
      </c>
      <c r="Z97" s="13">
        <v>0.0064862425</v>
      </c>
    </row>
    <row r="98" s="2" customFormat="1" hidden="1" spans="1:26">
      <c r="A98" s="11" t="s">
        <v>935</v>
      </c>
      <c r="B98" s="11" t="s">
        <v>937</v>
      </c>
      <c r="C98" s="14" t="s">
        <v>820</v>
      </c>
      <c r="D98" s="14" t="s">
        <v>938</v>
      </c>
      <c r="E98" s="14" t="s">
        <v>939</v>
      </c>
      <c r="F98" s="3" t="s">
        <v>943</v>
      </c>
      <c r="G98" s="4">
        <v>37</v>
      </c>
      <c r="H98" s="12">
        <v>6722.684</v>
      </c>
      <c r="I98" s="12">
        <v>1831.816611</v>
      </c>
      <c r="J98" s="13">
        <v>0.2724829266</v>
      </c>
      <c r="K98" s="13">
        <v>0.2724829266</v>
      </c>
      <c r="L98" s="12">
        <v>26.7197297297</v>
      </c>
      <c r="M98" s="13">
        <v>0.1205468284</v>
      </c>
      <c r="N98" s="13">
        <v>0.0320311502</v>
      </c>
      <c r="O98" s="13">
        <v>0.2855567805</v>
      </c>
      <c r="P98" s="13">
        <v>0.025277404</v>
      </c>
      <c r="Q98" s="13">
        <v>0.0315374371</v>
      </c>
      <c r="R98" s="13">
        <v>0.0991451281</v>
      </c>
      <c r="S98" s="13">
        <v>0</v>
      </c>
      <c r="T98" s="13">
        <v>0.1163630478</v>
      </c>
      <c r="U98" s="13">
        <v>0.01243139</v>
      </c>
      <c r="V98" s="13">
        <v>0</v>
      </c>
      <c r="W98" s="13">
        <v>-0.0082474583</v>
      </c>
      <c r="X98" s="13">
        <v>0</v>
      </c>
      <c r="Y98" s="13">
        <v>0</v>
      </c>
      <c r="Z98" s="13">
        <v>0.0128753651</v>
      </c>
    </row>
    <row r="99" s="2" customFormat="1" spans="1:26">
      <c r="A99" s="11" t="s">
        <v>935</v>
      </c>
      <c r="B99" s="11" t="s">
        <v>937</v>
      </c>
      <c r="C99" s="14" t="s">
        <v>820</v>
      </c>
      <c r="D99" s="14" t="s">
        <v>938</v>
      </c>
      <c r="E99" s="14" t="s">
        <v>939</v>
      </c>
      <c r="F99" s="3" t="s">
        <v>944</v>
      </c>
      <c r="G99" s="4">
        <v>31</v>
      </c>
      <c r="H99" s="12">
        <v>5689.492</v>
      </c>
      <c r="I99" s="12">
        <v>1866.122104</v>
      </c>
      <c r="J99" s="13">
        <v>0.3279945035</v>
      </c>
      <c r="K99" s="13">
        <v>0.3279945035</v>
      </c>
      <c r="L99" s="12">
        <v>26.99</v>
      </c>
      <c r="M99" s="13">
        <v>0.1193397064</v>
      </c>
      <c r="N99" s="13">
        <v>0.0317103992</v>
      </c>
      <c r="O99" s="13">
        <v>0.2826972952</v>
      </c>
      <c r="P99" s="13">
        <v>0</v>
      </c>
      <c r="Q99" s="13">
        <v>0.0191583489</v>
      </c>
      <c r="R99" s="13">
        <v>0.0954070312</v>
      </c>
      <c r="S99" s="13">
        <v>0</v>
      </c>
      <c r="T99" s="13">
        <v>0.1200444609</v>
      </c>
      <c r="U99" s="13">
        <v>0.0123069056</v>
      </c>
      <c r="V99" s="13">
        <v>-0.0100634643</v>
      </c>
      <c r="W99" s="13">
        <v>0</v>
      </c>
      <c r="X99" s="13">
        <v>0</v>
      </c>
      <c r="Y99" s="13">
        <v>0</v>
      </c>
      <c r="Z99" s="13">
        <v>0.0014048131</v>
      </c>
    </row>
    <row r="100" s="2" customFormat="1" hidden="1" spans="1:26">
      <c r="A100" s="11" t="s">
        <v>935</v>
      </c>
      <c r="B100" s="11" t="s">
        <v>937</v>
      </c>
      <c r="C100" s="14" t="s">
        <v>820</v>
      </c>
      <c r="D100" s="14" t="s">
        <v>938</v>
      </c>
      <c r="E100" s="14" t="s">
        <v>939</v>
      </c>
      <c r="F100" s="3" t="s">
        <v>945</v>
      </c>
      <c r="G100" s="4">
        <v>1</v>
      </c>
      <c r="H100" s="12">
        <v>183.532</v>
      </c>
      <c r="I100" s="12">
        <v>29.395837</v>
      </c>
      <c r="J100" s="13">
        <v>0.1601673659</v>
      </c>
      <c r="K100" s="13">
        <v>0.1601673659</v>
      </c>
      <c r="L100" s="12">
        <v>26.99</v>
      </c>
      <c r="M100" s="13">
        <v>0.1193397064</v>
      </c>
      <c r="N100" s="13">
        <v>0.0317103992</v>
      </c>
      <c r="O100" s="13">
        <v>0.2826972952</v>
      </c>
      <c r="P100" s="13">
        <v>0</v>
      </c>
      <c r="Q100" s="13">
        <v>0</v>
      </c>
      <c r="R100" s="13">
        <v>0.2737338665</v>
      </c>
      <c r="S100" s="13">
        <v>0</v>
      </c>
      <c r="T100" s="13">
        <v>0.1200444609</v>
      </c>
      <c r="U100" s="13">
        <v>0.0123069056</v>
      </c>
      <c r="V100" s="13">
        <v>0</v>
      </c>
      <c r="W100" s="13">
        <v>0</v>
      </c>
      <c r="X100" s="13">
        <v>0</v>
      </c>
      <c r="Y100" s="13">
        <v>0</v>
      </c>
      <c r="Z100" s="13">
        <v>0</v>
      </c>
    </row>
    <row r="101" s="2" customFormat="1" hidden="1" spans="1:26">
      <c r="A101" s="11" t="s">
        <v>935</v>
      </c>
      <c r="B101" s="11" t="s">
        <v>937</v>
      </c>
      <c r="C101" s="14" t="s">
        <v>822</v>
      </c>
      <c r="D101" s="14" t="s">
        <v>938</v>
      </c>
      <c r="E101" s="14" t="s">
        <v>939</v>
      </c>
      <c r="F101" s="3" t="s">
        <v>936</v>
      </c>
      <c r="G101" s="4">
        <v>23</v>
      </c>
      <c r="H101" s="12">
        <v>3795.556</v>
      </c>
      <c r="I101" s="12">
        <v>-1502.796449</v>
      </c>
      <c r="J101" s="13">
        <v>-0.3959357862</v>
      </c>
      <c r="K101" s="13">
        <v>-0.3959357862</v>
      </c>
      <c r="L101" s="12">
        <v>24.2682608695</v>
      </c>
      <c r="M101" s="13">
        <v>0.1186793154</v>
      </c>
      <c r="N101" s="13">
        <v>0.0226893704</v>
      </c>
      <c r="O101" s="13">
        <v>0.3321747854</v>
      </c>
      <c r="P101" s="13">
        <v>0.0429797373</v>
      </c>
      <c r="Q101" s="13">
        <v>0.1242360023</v>
      </c>
      <c r="R101" s="13">
        <v>0.6622356921</v>
      </c>
      <c r="S101" s="13">
        <v>0</v>
      </c>
      <c r="T101" s="13">
        <v>0.0696920293</v>
      </c>
      <c r="U101" s="13">
        <v>0.0122388069</v>
      </c>
      <c r="V101" s="13">
        <v>0</v>
      </c>
      <c r="W101" s="13">
        <v>0</v>
      </c>
      <c r="X101" s="13">
        <v>0.004066861</v>
      </c>
      <c r="Y101" s="13">
        <v>0</v>
      </c>
      <c r="Z101" s="13">
        <v>0.0069431856</v>
      </c>
    </row>
    <row r="102" s="2" customFormat="1" hidden="1" spans="1:26">
      <c r="A102" s="11" t="s">
        <v>935</v>
      </c>
      <c r="B102" s="11" t="s">
        <v>937</v>
      </c>
      <c r="C102" s="14" t="s">
        <v>822</v>
      </c>
      <c r="D102" s="14" t="s">
        <v>938</v>
      </c>
      <c r="E102" s="14" t="s">
        <v>939</v>
      </c>
      <c r="F102" s="3" t="s">
        <v>940</v>
      </c>
      <c r="G102" s="4">
        <v>0</v>
      </c>
      <c r="H102" s="12">
        <v>0</v>
      </c>
      <c r="I102" s="12">
        <v>-5.44</v>
      </c>
      <c r="J102" s="13"/>
      <c r="K102" s="13"/>
      <c r="L102" s="12"/>
      <c r="M102" s="13"/>
      <c r="N102" s="13"/>
      <c r="O102" s="13"/>
      <c r="P102" s="13"/>
      <c r="Q102" s="13"/>
      <c r="R102" s="13"/>
      <c r="S102" s="13"/>
      <c r="T102" s="13"/>
      <c r="U102" s="13"/>
      <c r="V102" s="13"/>
      <c r="W102" s="13"/>
      <c r="X102" s="13"/>
      <c r="Y102" s="13"/>
      <c r="Z102" s="13"/>
    </row>
    <row r="103" s="2" customFormat="1" hidden="1" spans="1:26">
      <c r="A103" s="11" t="s">
        <v>935</v>
      </c>
      <c r="B103" s="11" t="s">
        <v>937</v>
      </c>
      <c r="C103" s="14" t="s">
        <v>822</v>
      </c>
      <c r="D103" s="14" t="s">
        <v>938</v>
      </c>
      <c r="E103" s="14" t="s">
        <v>939</v>
      </c>
      <c r="F103" s="3" t="s">
        <v>941</v>
      </c>
      <c r="G103" s="4">
        <v>4</v>
      </c>
      <c r="H103" s="12">
        <v>666.128</v>
      </c>
      <c r="I103" s="12">
        <v>-429.946601</v>
      </c>
      <c r="J103" s="13">
        <v>-0.6454414181</v>
      </c>
      <c r="K103" s="13">
        <v>-0.6454414181</v>
      </c>
      <c r="L103" s="12">
        <v>24.49</v>
      </c>
      <c r="M103" s="13">
        <v>0.1176047606</v>
      </c>
      <c r="N103" s="13">
        <v>0.0232959671</v>
      </c>
      <c r="O103" s="13">
        <v>0.4768272764</v>
      </c>
      <c r="P103" s="13">
        <v>0</v>
      </c>
      <c r="Q103" s="13">
        <v>0.0531692092</v>
      </c>
      <c r="R103" s="13">
        <v>0.9214516713</v>
      </c>
      <c r="S103" s="13">
        <v>0</v>
      </c>
      <c r="T103" s="13">
        <v>0.0356267864</v>
      </c>
      <c r="U103" s="13">
        <v>0.0121279934</v>
      </c>
      <c r="V103" s="13">
        <v>0</v>
      </c>
      <c r="W103" s="13">
        <v>0</v>
      </c>
      <c r="X103" s="13">
        <v>0</v>
      </c>
      <c r="Y103" s="13">
        <v>0</v>
      </c>
      <c r="Z103" s="13">
        <v>0.0053377534</v>
      </c>
    </row>
    <row r="104" s="2" customFormat="1" hidden="1" spans="1:26">
      <c r="A104" s="11" t="s">
        <v>935</v>
      </c>
      <c r="B104" s="11" t="s">
        <v>937</v>
      </c>
      <c r="C104" s="14" t="s">
        <v>822</v>
      </c>
      <c r="D104" s="14" t="s">
        <v>938</v>
      </c>
      <c r="E104" s="14" t="s">
        <v>939</v>
      </c>
      <c r="F104" s="3" t="s">
        <v>942</v>
      </c>
      <c r="G104" s="4">
        <v>11</v>
      </c>
      <c r="H104" s="12">
        <v>1794.452</v>
      </c>
      <c r="I104" s="12">
        <v>-315.869653</v>
      </c>
      <c r="J104" s="13">
        <v>-0.1760256908</v>
      </c>
      <c r="K104" s="13">
        <v>-0.1760256908</v>
      </c>
      <c r="L104" s="12">
        <v>23.99</v>
      </c>
      <c r="M104" s="13">
        <v>0.1200558811</v>
      </c>
      <c r="N104" s="13">
        <v>0.0215488254</v>
      </c>
      <c r="O104" s="13">
        <v>0.3042934556</v>
      </c>
      <c r="P104" s="13">
        <v>0</v>
      </c>
      <c r="Q104" s="13">
        <v>0.0787473908</v>
      </c>
      <c r="R104" s="13">
        <v>0.5461892911</v>
      </c>
      <c r="S104" s="13">
        <v>0</v>
      </c>
      <c r="T104" s="13">
        <v>0.086323847</v>
      </c>
      <c r="U104" s="13">
        <v>0.0123807652</v>
      </c>
      <c r="V104" s="13">
        <v>0</v>
      </c>
      <c r="W104" s="13">
        <v>0</v>
      </c>
      <c r="X104" s="13">
        <v>0</v>
      </c>
      <c r="Y104" s="13">
        <v>0</v>
      </c>
      <c r="Z104" s="13">
        <v>0.0064862342</v>
      </c>
    </row>
    <row r="105" s="2" customFormat="1" hidden="1" spans="1:26">
      <c r="A105" s="11" t="s">
        <v>935</v>
      </c>
      <c r="B105" s="11" t="s">
        <v>937</v>
      </c>
      <c r="C105" s="14" t="s">
        <v>822</v>
      </c>
      <c r="D105" s="14" t="s">
        <v>938</v>
      </c>
      <c r="E105" s="14" t="s">
        <v>939</v>
      </c>
      <c r="F105" s="3" t="s">
        <v>943</v>
      </c>
      <c r="G105" s="4">
        <v>5</v>
      </c>
      <c r="H105" s="12">
        <v>829.26</v>
      </c>
      <c r="I105" s="12">
        <v>-513.174985</v>
      </c>
      <c r="J105" s="13">
        <v>-0.6188348467</v>
      </c>
      <c r="K105" s="13">
        <v>-0.6188348467</v>
      </c>
      <c r="L105" s="12">
        <v>24.39</v>
      </c>
      <c r="M105" s="13">
        <v>0.1180869449</v>
      </c>
      <c r="N105" s="13">
        <v>0.0240037684</v>
      </c>
      <c r="O105" s="13">
        <v>0.299302993</v>
      </c>
      <c r="P105" s="13">
        <v>0.1967199671</v>
      </c>
      <c r="Q105" s="13">
        <v>0.184531223</v>
      </c>
      <c r="R105" s="13">
        <v>0.7229735716</v>
      </c>
      <c r="S105" s="13">
        <v>0</v>
      </c>
      <c r="T105" s="13">
        <v>0.0353423534</v>
      </c>
      <c r="U105" s="13">
        <v>0.0121777186</v>
      </c>
      <c r="V105" s="13">
        <v>0</v>
      </c>
      <c r="W105" s="13">
        <v>0</v>
      </c>
      <c r="X105" s="13">
        <v>0.0128208233</v>
      </c>
      <c r="Y105" s="13">
        <v>0</v>
      </c>
      <c r="Z105" s="13">
        <v>0.0128754829</v>
      </c>
    </row>
    <row r="106" s="2" customFormat="1" spans="1:26">
      <c r="A106" s="11" t="s">
        <v>935</v>
      </c>
      <c r="B106" s="11" t="s">
        <v>937</v>
      </c>
      <c r="C106" s="14" t="s">
        <v>822</v>
      </c>
      <c r="D106" s="14" t="s">
        <v>938</v>
      </c>
      <c r="E106" s="14" t="s">
        <v>939</v>
      </c>
      <c r="F106" s="3" t="s">
        <v>944</v>
      </c>
      <c r="G106" s="4">
        <v>2</v>
      </c>
      <c r="H106" s="12">
        <v>342.584</v>
      </c>
      <c r="I106" s="12">
        <v>-306.659561</v>
      </c>
      <c r="J106" s="13">
        <v>-0.8951368452</v>
      </c>
      <c r="K106" s="13">
        <v>-0.8951368452</v>
      </c>
      <c r="L106" s="12">
        <v>25.19</v>
      </c>
      <c r="M106" s="13">
        <v>0.1143366648</v>
      </c>
      <c r="N106" s="13">
        <v>0.0234044438</v>
      </c>
      <c r="O106" s="13">
        <v>0.2897975387</v>
      </c>
      <c r="P106" s="13">
        <v>0</v>
      </c>
      <c r="Q106" s="13">
        <v>0.4138968253</v>
      </c>
      <c r="R106" s="13">
        <v>0.9185028079</v>
      </c>
      <c r="S106" s="13">
        <v>0</v>
      </c>
      <c r="T106" s="13">
        <v>0.1079793568</v>
      </c>
      <c r="U106" s="13">
        <v>0.0117909709</v>
      </c>
      <c r="V106" s="13">
        <v>0</v>
      </c>
      <c r="W106" s="13">
        <v>0</v>
      </c>
      <c r="X106" s="13">
        <v>0.0140234307</v>
      </c>
      <c r="Y106" s="13">
        <v>0</v>
      </c>
      <c r="Z106" s="13">
        <v>0.0014048058</v>
      </c>
    </row>
    <row r="107" s="2" customFormat="1" hidden="1" spans="1:26">
      <c r="A107" s="11" t="s">
        <v>935</v>
      </c>
      <c r="B107" s="11" t="s">
        <v>937</v>
      </c>
      <c r="C107" s="14" t="s">
        <v>822</v>
      </c>
      <c r="D107" s="14" t="s">
        <v>938</v>
      </c>
      <c r="E107" s="14" t="s">
        <v>939</v>
      </c>
      <c r="F107" s="3" t="s">
        <v>945</v>
      </c>
      <c r="G107" s="4">
        <v>1</v>
      </c>
      <c r="H107" s="12">
        <v>163.132</v>
      </c>
      <c r="I107" s="12">
        <v>68.294351</v>
      </c>
      <c r="J107" s="13">
        <v>0.4186447232</v>
      </c>
      <c r="K107" s="13">
        <v>0.4186447232</v>
      </c>
      <c r="L107" s="12">
        <v>23.99</v>
      </c>
      <c r="M107" s="13">
        <v>0.1200558811</v>
      </c>
      <c r="N107" s="13">
        <v>0.0245751538</v>
      </c>
      <c r="O107" s="13">
        <v>0.3042934556</v>
      </c>
      <c r="P107" s="13">
        <v>0</v>
      </c>
      <c r="Q107" s="13">
        <v>0</v>
      </c>
      <c r="R107" s="13">
        <v>0</v>
      </c>
      <c r="S107" s="13">
        <v>0</v>
      </c>
      <c r="T107" s="13">
        <v>0.1200500208</v>
      </c>
      <c r="U107" s="13">
        <v>0.0123807652</v>
      </c>
      <c r="V107" s="13">
        <v>0</v>
      </c>
      <c r="W107" s="13">
        <v>0</v>
      </c>
      <c r="X107" s="13">
        <v>0</v>
      </c>
      <c r="Y107" s="13">
        <v>0</v>
      </c>
      <c r="Z107" s="13">
        <v>0</v>
      </c>
    </row>
    <row r="108" s="2" customFormat="1" hidden="1" spans="1:26">
      <c r="A108" s="11" t="s">
        <v>935</v>
      </c>
      <c r="B108" s="11" t="s">
        <v>937</v>
      </c>
      <c r="C108" s="14" t="s">
        <v>824</v>
      </c>
      <c r="D108" s="14" t="s">
        <v>938</v>
      </c>
      <c r="E108" s="14" t="s">
        <v>939</v>
      </c>
      <c r="F108" s="3" t="s">
        <v>936</v>
      </c>
      <c r="G108" s="4">
        <v>147</v>
      </c>
      <c r="H108" s="12">
        <v>25979.604</v>
      </c>
      <c r="I108" s="12">
        <v>1815.335735</v>
      </c>
      <c r="J108" s="13">
        <v>0.0698754197</v>
      </c>
      <c r="K108" s="13">
        <v>0.0698754197</v>
      </c>
      <c r="L108" s="12">
        <v>25.99</v>
      </c>
      <c r="M108" s="13">
        <v>0.1018040593</v>
      </c>
      <c r="N108" s="13">
        <v>0.0910901628</v>
      </c>
      <c r="O108" s="13">
        <v>0.2925379463</v>
      </c>
      <c r="P108" s="13">
        <v>0.0408163265</v>
      </c>
      <c r="Q108" s="13">
        <v>0.0113567134</v>
      </c>
      <c r="R108" s="13">
        <v>0.2730100844</v>
      </c>
      <c r="S108" s="13">
        <v>0</v>
      </c>
      <c r="T108" s="13">
        <v>0.1034673199</v>
      </c>
      <c r="U108" s="13">
        <v>0.0104985457</v>
      </c>
      <c r="V108" s="13">
        <v>0</v>
      </c>
      <c r="W108" s="13">
        <v>0</v>
      </c>
      <c r="X108" s="13">
        <v>0.0011883168</v>
      </c>
      <c r="Y108" s="13">
        <v>0</v>
      </c>
      <c r="Z108" s="13">
        <v>0.0043551047</v>
      </c>
    </row>
    <row r="109" s="2" customFormat="1" hidden="1" spans="1:26">
      <c r="A109" s="11" t="s">
        <v>935</v>
      </c>
      <c r="B109" s="11" t="s">
        <v>937</v>
      </c>
      <c r="C109" s="14" t="s">
        <v>824</v>
      </c>
      <c r="D109" s="14" t="s">
        <v>938</v>
      </c>
      <c r="E109" s="14" t="s">
        <v>939</v>
      </c>
      <c r="F109" s="3" t="s">
        <v>942</v>
      </c>
      <c r="G109" s="4">
        <v>8</v>
      </c>
      <c r="H109" s="12">
        <v>1413.856</v>
      </c>
      <c r="I109" s="12">
        <v>-85.891028</v>
      </c>
      <c r="J109" s="13">
        <v>-0.0607494879</v>
      </c>
      <c r="K109" s="13">
        <v>-0.0607494879</v>
      </c>
      <c r="L109" s="12">
        <v>25.99</v>
      </c>
      <c r="M109" s="13">
        <v>0.1018040592</v>
      </c>
      <c r="N109" s="13">
        <v>0.0388136443</v>
      </c>
      <c r="O109" s="13">
        <v>0.2808772604</v>
      </c>
      <c r="P109" s="13">
        <v>0</v>
      </c>
      <c r="Q109" s="13">
        <v>0.0003234226</v>
      </c>
      <c r="R109" s="13">
        <v>0.5334987777</v>
      </c>
      <c r="S109" s="13">
        <v>0</v>
      </c>
      <c r="T109" s="13">
        <v>0.0884474797</v>
      </c>
      <c r="U109" s="13">
        <v>0.0104985458</v>
      </c>
      <c r="V109" s="13">
        <v>0</v>
      </c>
      <c r="W109" s="13">
        <v>0</v>
      </c>
      <c r="X109" s="13">
        <v>0</v>
      </c>
      <c r="Y109" s="13">
        <v>0</v>
      </c>
      <c r="Z109" s="13">
        <v>0.0064862977</v>
      </c>
    </row>
    <row r="110" s="2" customFormat="1" hidden="1" spans="1:26">
      <c r="A110" s="11" t="s">
        <v>935</v>
      </c>
      <c r="B110" s="11" t="s">
        <v>937</v>
      </c>
      <c r="C110" s="14" t="s">
        <v>824</v>
      </c>
      <c r="D110" s="14" t="s">
        <v>938</v>
      </c>
      <c r="E110" s="14" t="s">
        <v>939</v>
      </c>
      <c r="F110" s="3" t="s">
        <v>943</v>
      </c>
      <c r="G110" s="4">
        <v>35</v>
      </c>
      <c r="H110" s="12">
        <v>6185.62</v>
      </c>
      <c r="I110" s="12">
        <v>96.124387</v>
      </c>
      <c r="J110" s="13">
        <v>0.0155399761</v>
      </c>
      <c r="K110" s="13">
        <v>0.0155399761</v>
      </c>
      <c r="L110" s="12">
        <v>25.99</v>
      </c>
      <c r="M110" s="13">
        <v>0.1018040592</v>
      </c>
      <c r="N110" s="13">
        <v>0.1054352239</v>
      </c>
      <c r="O110" s="13">
        <v>0.2921233441</v>
      </c>
      <c r="P110" s="13">
        <v>0.0857142857</v>
      </c>
      <c r="Q110" s="13">
        <v>0.0132378285</v>
      </c>
      <c r="R110" s="13">
        <v>0.2597317284</v>
      </c>
      <c r="S110" s="13">
        <v>0</v>
      </c>
      <c r="T110" s="13">
        <v>0.1030396306</v>
      </c>
      <c r="U110" s="13">
        <v>0.0104985458</v>
      </c>
      <c r="V110" s="13">
        <v>0</v>
      </c>
      <c r="W110" s="13">
        <v>0</v>
      </c>
      <c r="X110" s="13">
        <v>0</v>
      </c>
      <c r="Y110" s="13">
        <v>0</v>
      </c>
      <c r="Z110" s="13">
        <v>0.0128753774</v>
      </c>
    </row>
    <row r="111" s="2" customFormat="1" spans="1:26">
      <c r="A111" s="11" t="s">
        <v>935</v>
      </c>
      <c r="B111" s="11" t="s">
        <v>937</v>
      </c>
      <c r="C111" s="14" t="s">
        <v>824</v>
      </c>
      <c r="D111" s="14" t="s">
        <v>938</v>
      </c>
      <c r="E111" s="14" t="s">
        <v>939</v>
      </c>
      <c r="F111" s="3" t="s">
        <v>944</v>
      </c>
      <c r="G111" s="4">
        <v>98</v>
      </c>
      <c r="H111" s="12">
        <v>17319.736</v>
      </c>
      <c r="I111" s="12">
        <v>1964.737483</v>
      </c>
      <c r="J111" s="13">
        <v>0.1134392281</v>
      </c>
      <c r="K111" s="13">
        <v>0.1134392281</v>
      </c>
      <c r="L111" s="12">
        <v>25.99</v>
      </c>
      <c r="M111" s="13">
        <v>0.1018040594</v>
      </c>
      <c r="N111" s="13">
        <v>0.0902837687</v>
      </c>
      <c r="O111" s="13">
        <v>0.2935744517</v>
      </c>
      <c r="P111" s="13">
        <v>0.0102040816</v>
      </c>
      <c r="Q111" s="13">
        <v>0.0122808724</v>
      </c>
      <c r="R111" s="13">
        <v>0.2588039171</v>
      </c>
      <c r="S111" s="13">
        <v>0</v>
      </c>
      <c r="T111" s="13">
        <v>0.1059237854</v>
      </c>
      <c r="U111" s="13">
        <v>0.0104985456</v>
      </c>
      <c r="V111" s="13">
        <v>0</v>
      </c>
      <c r="W111" s="13">
        <v>0</v>
      </c>
      <c r="X111" s="13">
        <v>0.0017824752</v>
      </c>
      <c r="Y111" s="13">
        <v>0</v>
      </c>
      <c r="Z111" s="13">
        <v>0.0014048143</v>
      </c>
    </row>
    <row r="112" s="2" customFormat="1" hidden="1" spans="1:26">
      <c r="A112" s="11" t="s">
        <v>935</v>
      </c>
      <c r="B112" s="11" t="s">
        <v>937</v>
      </c>
      <c r="C112" s="14" t="s">
        <v>824</v>
      </c>
      <c r="D112" s="14" t="s">
        <v>938</v>
      </c>
      <c r="E112" s="14" t="s">
        <v>939</v>
      </c>
      <c r="F112" s="3" t="s">
        <v>945</v>
      </c>
      <c r="G112" s="4">
        <v>6</v>
      </c>
      <c r="H112" s="12">
        <v>1060.392</v>
      </c>
      <c r="I112" s="12">
        <v>-159.635107</v>
      </c>
      <c r="J112" s="13">
        <v>-0.1505434848</v>
      </c>
      <c r="K112" s="13">
        <v>-0.1505434848</v>
      </c>
      <c r="L112" s="12">
        <v>25.99</v>
      </c>
      <c r="M112" s="13">
        <v>0.1018040592</v>
      </c>
      <c r="N112" s="13">
        <v>0.0902837686</v>
      </c>
      <c r="O112" s="13">
        <v>0.2935744517</v>
      </c>
      <c r="P112" s="13">
        <v>0.3333333333</v>
      </c>
      <c r="Q112" s="13">
        <v>0</v>
      </c>
      <c r="R112" s="13">
        <v>0.2351829671</v>
      </c>
      <c r="S112" s="13">
        <v>0</v>
      </c>
      <c r="T112" s="13">
        <v>0.0858663588</v>
      </c>
      <c r="U112" s="13">
        <v>0.0104985458</v>
      </c>
      <c r="V112" s="13">
        <v>0</v>
      </c>
      <c r="W112" s="13">
        <v>0</v>
      </c>
      <c r="X112" s="13">
        <v>0</v>
      </c>
      <c r="Y112" s="13">
        <v>0</v>
      </c>
      <c r="Z112" s="13">
        <v>0</v>
      </c>
    </row>
    <row r="113" s="2" customFormat="1" hidden="1" spans="1:26">
      <c r="A113" s="11" t="s">
        <v>935</v>
      </c>
      <c r="B113" s="11" t="s">
        <v>937</v>
      </c>
      <c r="C113" s="14" t="s">
        <v>908</v>
      </c>
      <c r="D113" s="14" t="s">
        <v>938</v>
      </c>
      <c r="E113" s="14" t="s">
        <v>939</v>
      </c>
      <c r="F113" s="3" t="s">
        <v>936</v>
      </c>
      <c r="G113" s="4">
        <v>146</v>
      </c>
      <c r="H113" s="12">
        <v>21700.568</v>
      </c>
      <c r="I113" s="12">
        <v>2349.269122</v>
      </c>
      <c r="J113" s="13">
        <v>0.1082584161</v>
      </c>
      <c r="K113" s="13">
        <v>0.1082584161</v>
      </c>
      <c r="L113" s="12">
        <v>21.8579452054</v>
      </c>
      <c r="M113" s="13">
        <v>0.1224960415</v>
      </c>
      <c r="N113" s="13">
        <v>0.0391745489</v>
      </c>
      <c r="O113" s="13">
        <v>0.3449922601</v>
      </c>
      <c r="P113" s="13">
        <v>0.0068906952</v>
      </c>
      <c r="Q113" s="13">
        <v>0.0345953837</v>
      </c>
      <c r="R113" s="13">
        <v>0.2139533316</v>
      </c>
      <c r="S113" s="13">
        <v>0</v>
      </c>
      <c r="T113" s="13">
        <v>0.1112131258</v>
      </c>
      <c r="U113" s="13">
        <v>0.0126324034</v>
      </c>
      <c r="V113" s="13">
        <v>0</v>
      </c>
      <c r="W113" s="13">
        <v>0</v>
      </c>
      <c r="X113" s="13">
        <v>0</v>
      </c>
      <c r="Y113" s="13">
        <v>0</v>
      </c>
      <c r="Z113" s="13">
        <v>0.0057937931</v>
      </c>
    </row>
    <row r="114" s="2" customFormat="1" hidden="1" spans="1:26">
      <c r="A114" s="11" t="s">
        <v>935</v>
      </c>
      <c r="B114" s="11" t="s">
        <v>937</v>
      </c>
      <c r="C114" s="14" t="s">
        <v>908</v>
      </c>
      <c r="D114" s="14" t="s">
        <v>938</v>
      </c>
      <c r="E114" s="14" t="s">
        <v>939</v>
      </c>
      <c r="F114" s="3" t="s">
        <v>940</v>
      </c>
      <c r="G114" s="4">
        <v>0</v>
      </c>
      <c r="H114" s="12">
        <v>0</v>
      </c>
      <c r="I114" s="12">
        <v>-11.22</v>
      </c>
      <c r="J114" s="13"/>
      <c r="K114" s="13"/>
      <c r="L114" s="12"/>
      <c r="M114" s="13"/>
      <c r="N114" s="13"/>
      <c r="O114" s="13"/>
      <c r="P114" s="13"/>
      <c r="Q114" s="13"/>
      <c r="R114" s="13"/>
      <c r="S114" s="13"/>
      <c r="T114" s="13"/>
      <c r="U114" s="13"/>
      <c r="V114" s="13"/>
      <c r="W114" s="13"/>
      <c r="X114" s="13"/>
      <c r="Y114" s="13"/>
      <c r="Z114" s="13"/>
    </row>
    <row r="115" s="2" customFormat="1" hidden="1" spans="1:26">
      <c r="A115" s="11" t="s">
        <v>935</v>
      </c>
      <c r="B115" s="11" t="s">
        <v>937</v>
      </c>
      <c r="C115" s="14" t="s">
        <v>908</v>
      </c>
      <c r="D115" s="14" t="s">
        <v>938</v>
      </c>
      <c r="E115" s="14" t="s">
        <v>939</v>
      </c>
      <c r="F115" s="3" t="s">
        <v>941</v>
      </c>
      <c r="G115" s="4">
        <v>7</v>
      </c>
      <c r="H115" s="12">
        <v>1141.924</v>
      </c>
      <c r="I115" s="12">
        <v>-158.184925</v>
      </c>
      <c r="J115" s="13">
        <v>-0.1385249149</v>
      </c>
      <c r="K115" s="13">
        <v>-0.1385249149</v>
      </c>
      <c r="L115" s="12">
        <v>23.99</v>
      </c>
      <c r="M115" s="13">
        <v>0.1116094941</v>
      </c>
      <c r="N115" s="13">
        <v>0.0434201689</v>
      </c>
      <c r="O115" s="13">
        <v>0.30280474</v>
      </c>
      <c r="P115" s="13">
        <v>0</v>
      </c>
      <c r="Q115" s="13">
        <v>0.0269069114</v>
      </c>
      <c r="R115" s="13">
        <v>0.5527939126</v>
      </c>
      <c r="S115" s="13">
        <v>0</v>
      </c>
      <c r="T115" s="13">
        <v>0.0841422021</v>
      </c>
      <c r="U115" s="13">
        <v>0.0115097283</v>
      </c>
      <c r="V115" s="13">
        <v>0</v>
      </c>
      <c r="W115" s="13">
        <v>0</v>
      </c>
      <c r="X115" s="13">
        <v>0</v>
      </c>
      <c r="Y115" s="13">
        <v>0</v>
      </c>
      <c r="Z115" s="13">
        <v>0.0053377571</v>
      </c>
    </row>
    <row r="116" s="2" customFormat="1" hidden="1" spans="1:26">
      <c r="A116" s="11" t="s">
        <v>935</v>
      </c>
      <c r="B116" s="11" t="s">
        <v>937</v>
      </c>
      <c r="C116" s="14" t="s">
        <v>908</v>
      </c>
      <c r="D116" s="14" t="s">
        <v>938</v>
      </c>
      <c r="E116" s="14" t="s">
        <v>939</v>
      </c>
      <c r="F116" s="3" t="s">
        <v>942</v>
      </c>
      <c r="G116" s="4">
        <v>36</v>
      </c>
      <c r="H116" s="12">
        <v>5156.848</v>
      </c>
      <c r="I116" s="12">
        <v>652.812465</v>
      </c>
      <c r="J116" s="13">
        <v>0.1265913722</v>
      </c>
      <c r="K116" s="13">
        <v>0.1265913722</v>
      </c>
      <c r="L116" s="12">
        <v>21.0655555555</v>
      </c>
      <c r="M116" s="13">
        <v>0.1271037812</v>
      </c>
      <c r="N116" s="13">
        <v>0.0376443416</v>
      </c>
      <c r="O116" s="13">
        <v>0.3584049791</v>
      </c>
      <c r="P116" s="13">
        <v>0</v>
      </c>
      <c r="Q116" s="13">
        <v>0.0530257019</v>
      </c>
      <c r="R116" s="13">
        <v>0.1583391</v>
      </c>
      <c r="S116" s="13">
        <v>0</v>
      </c>
      <c r="T116" s="13">
        <v>0.1192969038</v>
      </c>
      <c r="U116" s="13">
        <v>0.0131075765</v>
      </c>
      <c r="V116" s="13">
        <v>0</v>
      </c>
      <c r="W116" s="13">
        <v>0</v>
      </c>
      <c r="X116" s="13">
        <v>0</v>
      </c>
      <c r="Y116" s="13">
        <v>0</v>
      </c>
      <c r="Z116" s="13">
        <v>0.0064862431</v>
      </c>
    </row>
    <row r="117" s="2" customFormat="1" hidden="1" spans="1:26">
      <c r="A117" s="11" t="s">
        <v>935</v>
      </c>
      <c r="B117" s="11" t="s">
        <v>937</v>
      </c>
      <c r="C117" s="14" t="s">
        <v>908</v>
      </c>
      <c r="D117" s="14" t="s">
        <v>938</v>
      </c>
      <c r="E117" s="14" t="s">
        <v>939</v>
      </c>
      <c r="F117" s="3" t="s">
        <v>943</v>
      </c>
      <c r="G117" s="4">
        <v>38</v>
      </c>
      <c r="H117" s="12">
        <v>5682.216</v>
      </c>
      <c r="I117" s="12">
        <v>718.238286</v>
      </c>
      <c r="J117" s="13">
        <v>0.1264010882</v>
      </c>
      <c r="K117" s="13">
        <v>0.1264010882</v>
      </c>
      <c r="L117" s="12">
        <v>21.99</v>
      </c>
      <c r="M117" s="13">
        <v>0.1217604258</v>
      </c>
      <c r="N117" s="13">
        <v>0.039243814</v>
      </c>
      <c r="O117" s="13">
        <v>0.3433378808</v>
      </c>
      <c r="P117" s="13">
        <v>0.0263157894</v>
      </c>
      <c r="Q117" s="13">
        <v>0.0450207267</v>
      </c>
      <c r="R117" s="13">
        <v>0.161492918</v>
      </c>
      <c r="S117" s="13">
        <v>0</v>
      </c>
      <c r="T117" s="13">
        <v>0.1109954285</v>
      </c>
      <c r="U117" s="13">
        <v>0.012556543</v>
      </c>
      <c r="V117" s="13">
        <v>0</v>
      </c>
      <c r="W117" s="13">
        <v>0</v>
      </c>
      <c r="X117" s="13">
        <v>0</v>
      </c>
      <c r="Y117" s="13">
        <v>0</v>
      </c>
      <c r="Z117" s="13">
        <v>0.012875385</v>
      </c>
    </row>
    <row r="118" s="2" customFormat="1" spans="1:26">
      <c r="A118" s="11" t="s">
        <v>935</v>
      </c>
      <c r="B118" s="11" t="s">
        <v>937</v>
      </c>
      <c r="C118" s="14" t="s">
        <v>908</v>
      </c>
      <c r="D118" s="14" t="s">
        <v>938</v>
      </c>
      <c r="E118" s="14" t="s">
        <v>939</v>
      </c>
      <c r="F118" s="3" t="s">
        <v>944</v>
      </c>
      <c r="G118" s="4">
        <v>62</v>
      </c>
      <c r="H118" s="12">
        <v>9270.984</v>
      </c>
      <c r="I118" s="12">
        <v>1128.320762</v>
      </c>
      <c r="J118" s="13">
        <v>0.1217045312</v>
      </c>
      <c r="K118" s="13">
        <v>0.1217045312</v>
      </c>
      <c r="L118" s="12">
        <v>21.99</v>
      </c>
      <c r="M118" s="13">
        <v>0.1217604258</v>
      </c>
      <c r="N118" s="13">
        <v>0.0394471216</v>
      </c>
      <c r="O118" s="13">
        <v>0.3438219718</v>
      </c>
      <c r="P118" s="13">
        <v>0</v>
      </c>
      <c r="Q118" s="13">
        <v>0.0205750383</v>
      </c>
      <c r="R118" s="13">
        <v>0.2283788087</v>
      </c>
      <c r="S118" s="13">
        <v>0</v>
      </c>
      <c r="T118" s="13">
        <v>0.1103507459</v>
      </c>
      <c r="U118" s="13">
        <v>0.012556543</v>
      </c>
      <c r="V118" s="13">
        <v>0</v>
      </c>
      <c r="W118" s="13">
        <v>0</v>
      </c>
      <c r="X118" s="13">
        <v>0</v>
      </c>
      <c r="Y118" s="13">
        <v>0</v>
      </c>
      <c r="Z118" s="13">
        <v>0.0014048132</v>
      </c>
    </row>
    <row r="119" s="2" customFormat="1" hidden="1" spans="1:26">
      <c r="A119" s="11" t="s">
        <v>935</v>
      </c>
      <c r="B119" s="11" t="s">
        <v>937</v>
      </c>
      <c r="C119" s="14" t="s">
        <v>908</v>
      </c>
      <c r="D119" s="14" t="s">
        <v>938</v>
      </c>
      <c r="E119" s="14" t="s">
        <v>939</v>
      </c>
      <c r="F119" s="3" t="s">
        <v>945</v>
      </c>
      <c r="G119" s="4">
        <v>3</v>
      </c>
      <c r="H119" s="12">
        <v>448.596</v>
      </c>
      <c r="I119" s="12">
        <v>19.302534</v>
      </c>
      <c r="J119" s="13">
        <v>0.0430287697</v>
      </c>
      <c r="K119" s="13">
        <v>0.0430287697</v>
      </c>
      <c r="L119" s="12">
        <v>21.99</v>
      </c>
      <c r="M119" s="13">
        <v>0.1217604258</v>
      </c>
      <c r="N119" s="13">
        <v>0.0394471216</v>
      </c>
      <c r="O119" s="13">
        <v>0.3433378808</v>
      </c>
      <c r="P119" s="13">
        <v>0</v>
      </c>
      <c r="Q119" s="13">
        <v>0</v>
      </c>
      <c r="R119" s="13">
        <v>0.3320929968</v>
      </c>
      <c r="S119" s="13">
        <v>0</v>
      </c>
      <c r="T119" s="13">
        <v>0.1077762619</v>
      </c>
      <c r="U119" s="13">
        <v>0.012556543</v>
      </c>
      <c r="V119" s="13">
        <v>0</v>
      </c>
      <c r="W119" s="13">
        <v>0</v>
      </c>
      <c r="X119" s="13">
        <v>0</v>
      </c>
      <c r="Y119" s="13">
        <v>0</v>
      </c>
      <c r="Z119" s="13">
        <v>0</v>
      </c>
    </row>
    <row r="120" s="2" customFormat="1" hidden="1" spans="1:26">
      <c r="A120" s="11" t="s">
        <v>935</v>
      </c>
      <c r="B120" s="11" t="s">
        <v>937</v>
      </c>
      <c r="C120" s="14" t="s">
        <v>826</v>
      </c>
      <c r="D120" s="14" t="s">
        <v>938</v>
      </c>
      <c r="E120" s="14" t="s">
        <v>939</v>
      </c>
      <c r="F120" s="3" t="s">
        <v>936</v>
      </c>
      <c r="G120" s="4">
        <v>155</v>
      </c>
      <c r="H120" s="12">
        <v>23129.928</v>
      </c>
      <c r="I120" s="12">
        <v>1401.967338</v>
      </c>
      <c r="J120" s="13">
        <v>0.0606126978</v>
      </c>
      <c r="K120" s="13">
        <v>0.0606126978</v>
      </c>
      <c r="L120" s="12">
        <v>21.9449032257</v>
      </c>
      <c r="M120" s="13">
        <v>0.166310217</v>
      </c>
      <c r="N120" s="13">
        <v>0.0513274263</v>
      </c>
      <c r="O120" s="13">
        <v>0.348973676</v>
      </c>
      <c r="P120" s="13">
        <v>0.0123417591</v>
      </c>
      <c r="Q120" s="13">
        <v>0.041188091</v>
      </c>
      <c r="R120" s="13">
        <v>0.1933246052</v>
      </c>
      <c r="S120" s="13">
        <v>0</v>
      </c>
      <c r="T120" s="13">
        <v>0.1085210468</v>
      </c>
      <c r="U120" s="13">
        <v>0.0171507397</v>
      </c>
      <c r="V120" s="13">
        <v>-0.0022278668</v>
      </c>
      <c r="W120" s="13">
        <v>-0.0026466282</v>
      </c>
      <c r="X120" s="13">
        <v>0</v>
      </c>
      <c r="Y120" s="13">
        <v>0</v>
      </c>
      <c r="Z120" s="13">
        <v>0.0051242357</v>
      </c>
    </row>
    <row r="121" s="2" customFormat="1" hidden="1" spans="1:26">
      <c r="A121" s="11" t="s">
        <v>935</v>
      </c>
      <c r="B121" s="11" t="s">
        <v>937</v>
      </c>
      <c r="C121" s="14" t="s">
        <v>826</v>
      </c>
      <c r="D121" s="14" t="s">
        <v>938</v>
      </c>
      <c r="E121" s="14" t="s">
        <v>939</v>
      </c>
      <c r="F121" s="3" t="s">
        <v>941</v>
      </c>
      <c r="G121" s="4">
        <v>12</v>
      </c>
      <c r="H121" s="12">
        <v>1739.984</v>
      </c>
      <c r="I121" s="12">
        <v>2.534677</v>
      </c>
      <c r="J121" s="13">
        <v>0.0014567243</v>
      </c>
      <c r="K121" s="13">
        <v>0.0014567243</v>
      </c>
      <c r="L121" s="12">
        <v>21.3233333333</v>
      </c>
      <c r="M121" s="13">
        <v>0.1711581186</v>
      </c>
      <c r="N121" s="13">
        <v>0.0571632497</v>
      </c>
      <c r="O121" s="13">
        <v>0.3603251524</v>
      </c>
      <c r="P121" s="13">
        <v>0</v>
      </c>
      <c r="Q121" s="13">
        <v>0.0017910877</v>
      </c>
      <c r="R121" s="13">
        <v>0.2852266193</v>
      </c>
      <c r="S121" s="13">
        <v>0</v>
      </c>
      <c r="T121" s="13">
        <v>0.0998905737</v>
      </c>
      <c r="U121" s="13">
        <v>0.0176506795</v>
      </c>
      <c r="V121" s="13">
        <v>0</v>
      </c>
      <c r="W121" s="13">
        <v>0</v>
      </c>
      <c r="X121" s="13">
        <v>0</v>
      </c>
      <c r="Y121" s="13">
        <v>0</v>
      </c>
      <c r="Z121" s="13">
        <v>0.0053377944</v>
      </c>
    </row>
    <row r="122" s="2" customFormat="1" hidden="1" spans="1:26">
      <c r="A122" s="11" t="s">
        <v>935</v>
      </c>
      <c r="B122" s="11" t="s">
        <v>937</v>
      </c>
      <c r="C122" s="14" t="s">
        <v>826</v>
      </c>
      <c r="D122" s="14" t="s">
        <v>938</v>
      </c>
      <c r="E122" s="14" t="s">
        <v>939</v>
      </c>
      <c r="F122" s="3" t="s">
        <v>942</v>
      </c>
      <c r="G122" s="4">
        <v>46</v>
      </c>
      <c r="H122" s="12">
        <v>6545.34</v>
      </c>
      <c r="I122" s="12">
        <v>-51.161687</v>
      </c>
      <c r="J122" s="13">
        <v>-0.0078165056</v>
      </c>
      <c r="K122" s="13">
        <v>-0.0078165056</v>
      </c>
      <c r="L122" s="12">
        <v>20.925</v>
      </c>
      <c r="M122" s="13">
        <v>0.1744163258</v>
      </c>
      <c r="N122" s="13">
        <v>0.0414985873</v>
      </c>
      <c r="O122" s="13">
        <v>0.3604488078</v>
      </c>
      <c r="P122" s="13">
        <v>0.0207677523</v>
      </c>
      <c r="Q122" s="13">
        <v>0.0251472669</v>
      </c>
      <c r="R122" s="13">
        <v>0.2651508846</v>
      </c>
      <c r="S122" s="13">
        <v>0</v>
      </c>
      <c r="T122" s="13">
        <v>0.1006077606</v>
      </c>
      <c r="U122" s="13">
        <v>0.0179866821</v>
      </c>
      <c r="V122" s="13">
        <v>0</v>
      </c>
      <c r="W122" s="13">
        <v>-0.0046938024</v>
      </c>
      <c r="X122" s="13">
        <v>0</v>
      </c>
      <c r="Y122" s="13">
        <v>0</v>
      </c>
      <c r="Z122" s="13">
        <v>0.0064862402</v>
      </c>
    </row>
    <row r="123" s="2" customFormat="1" hidden="1" spans="1:26">
      <c r="A123" s="11" t="s">
        <v>935</v>
      </c>
      <c r="B123" s="11" t="s">
        <v>937</v>
      </c>
      <c r="C123" s="14" t="s">
        <v>826</v>
      </c>
      <c r="D123" s="14" t="s">
        <v>938</v>
      </c>
      <c r="E123" s="14" t="s">
        <v>939</v>
      </c>
      <c r="F123" s="3" t="s">
        <v>943</v>
      </c>
      <c r="G123" s="4">
        <v>26</v>
      </c>
      <c r="H123" s="12">
        <v>4187.032</v>
      </c>
      <c r="I123" s="12">
        <v>682.42485</v>
      </c>
      <c r="J123" s="13">
        <v>0.1629853437</v>
      </c>
      <c r="K123" s="13">
        <v>0.1629853437</v>
      </c>
      <c r="L123" s="12">
        <v>23.6823076922</v>
      </c>
      <c r="M123" s="13">
        <v>0.1541092052</v>
      </c>
      <c r="N123" s="13">
        <v>0.0352465216</v>
      </c>
      <c r="O123" s="13">
        <v>0.3255594893</v>
      </c>
      <c r="P123" s="13">
        <v>0</v>
      </c>
      <c r="Q123" s="13">
        <v>0.0586406733</v>
      </c>
      <c r="R123" s="13">
        <v>0.1261456809</v>
      </c>
      <c r="S123" s="13">
        <v>0</v>
      </c>
      <c r="T123" s="13">
        <v>0.1158281092</v>
      </c>
      <c r="U123" s="13">
        <v>0.0158925104</v>
      </c>
      <c r="V123" s="13">
        <v>0</v>
      </c>
      <c r="W123" s="13">
        <v>-0.0072829125</v>
      </c>
      <c r="X123" s="13">
        <v>0</v>
      </c>
      <c r="Y123" s="13">
        <v>0</v>
      </c>
      <c r="Z123" s="13">
        <v>0.0128753783</v>
      </c>
    </row>
    <row r="124" s="2" customFormat="1" spans="1:26">
      <c r="A124" s="11" t="s">
        <v>935</v>
      </c>
      <c r="B124" s="11" t="s">
        <v>937</v>
      </c>
      <c r="C124" s="14" t="s">
        <v>826</v>
      </c>
      <c r="D124" s="14" t="s">
        <v>938</v>
      </c>
      <c r="E124" s="14" t="s">
        <v>939</v>
      </c>
      <c r="F124" s="3" t="s">
        <v>944</v>
      </c>
      <c r="G124" s="4">
        <v>61</v>
      </c>
      <c r="H124" s="12">
        <v>9162.252</v>
      </c>
      <c r="I124" s="12">
        <v>470.859615</v>
      </c>
      <c r="J124" s="13">
        <v>0.0513912534</v>
      </c>
      <c r="K124" s="13">
        <v>0.0513912534</v>
      </c>
      <c r="L124" s="12">
        <v>22.0883606557</v>
      </c>
      <c r="M124" s="13">
        <v>0.1652300808</v>
      </c>
      <c r="N124" s="13">
        <v>0.0626893778</v>
      </c>
      <c r="O124" s="13">
        <v>0.3490526128</v>
      </c>
      <c r="P124" s="13">
        <v>0.0163204417</v>
      </c>
      <c r="Q124" s="13">
        <v>0.0588756267</v>
      </c>
      <c r="R124" s="13">
        <v>0.1730290605</v>
      </c>
      <c r="S124" s="13">
        <v>0</v>
      </c>
      <c r="T124" s="13">
        <v>0.1105915881</v>
      </c>
      <c r="U124" s="13">
        <v>0.0170393506</v>
      </c>
      <c r="V124" s="13">
        <v>-0.0056242067</v>
      </c>
      <c r="W124" s="13">
        <v>0</v>
      </c>
      <c r="X124" s="13">
        <v>0</v>
      </c>
      <c r="Y124" s="13">
        <v>0</v>
      </c>
      <c r="Z124" s="13">
        <v>0.0014048136</v>
      </c>
    </row>
    <row r="125" s="2" customFormat="1" hidden="1" spans="1:26">
      <c r="A125" s="11" t="s">
        <v>935</v>
      </c>
      <c r="B125" s="11" t="s">
        <v>937</v>
      </c>
      <c r="C125" s="14" t="s">
        <v>826</v>
      </c>
      <c r="D125" s="14" t="s">
        <v>938</v>
      </c>
      <c r="E125" s="14" t="s">
        <v>939</v>
      </c>
      <c r="F125" s="3" t="s">
        <v>945</v>
      </c>
      <c r="G125" s="4">
        <v>10</v>
      </c>
      <c r="H125" s="12">
        <v>1495.32</v>
      </c>
      <c r="I125" s="12">
        <v>297.309883</v>
      </c>
      <c r="J125" s="13">
        <v>0.1988269286</v>
      </c>
      <c r="K125" s="13">
        <v>0.1988269286</v>
      </c>
      <c r="L125" s="12">
        <v>21.99</v>
      </c>
      <c r="M125" s="13">
        <v>0.1659691504</v>
      </c>
      <c r="N125" s="13">
        <v>0.0629697857</v>
      </c>
      <c r="O125" s="13">
        <v>0.3506139154</v>
      </c>
      <c r="P125" s="13">
        <v>0</v>
      </c>
      <c r="Q125" s="13">
        <v>0</v>
      </c>
      <c r="R125" s="13">
        <v>0.0844500822</v>
      </c>
      <c r="S125" s="13">
        <v>0</v>
      </c>
      <c r="T125" s="13">
        <v>0.1200545702</v>
      </c>
      <c r="U125" s="13">
        <v>0.0171155672</v>
      </c>
      <c r="V125" s="13">
        <v>0</v>
      </c>
      <c r="W125" s="13">
        <v>0</v>
      </c>
      <c r="X125" s="13">
        <v>0</v>
      </c>
      <c r="Y125" s="13">
        <v>0</v>
      </c>
      <c r="Z125" s="13">
        <v>0</v>
      </c>
    </row>
    <row r="126" s="2" customFormat="1" hidden="1" spans="1:26">
      <c r="A126" s="11" t="s">
        <v>935</v>
      </c>
      <c r="B126" s="11" t="s">
        <v>937</v>
      </c>
      <c r="C126" s="14" t="s">
        <v>828</v>
      </c>
      <c r="D126" s="14" t="s">
        <v>938</v>
      </c>
      <c r="E126" s="14" t="s">
        <v>939</v>
      </c>
      <c r="F126" s="3" t="s">
        <v>936</v>
      </c>
      <c r="G126" s="4">
        <v>44</v>
      </c>
      <c r="H126" s="12">
        <v>7402.208</v>
      </c>
      <c r="I126" s="12">
        <v>673.639145</v>
      </c>
      <c r="J126" s="13">
        <v>0.0910051629</v>
      </c>
      <c r="K126" s="13">
        <v>0.0910051629</v>
      </c>
      <c r="L126" s="12">
        <v>24.74</v>
      </c>
      <c r="M126" s="13">
        <v>0.1129129713</v>
      </c>
      <c r="N126" s="13">
        <v>0.0748782917</v>
      </c>
      <c r="O126" s="13">
        <v>0.3002958033</v>
      </c>
      <c r="P126" s="13">
        <v>0.0229569339</v>
      </c>
      <c r="Q126" s="13">
        <v>0.0519017441</v>
      </c>
      <c r="R126" s="13">
        <v>0.2218468467</v>
      </c>
      <c r="S126" s="13">
        <v>0</v>
      </c>
      <c r="T126" s="13">
        <v>0.1073160873</v>
      </c>
      <c r="U126" s="13">
        <v>0.0116441521</v>
      </c>
      <c r="V126" s="13">
        <v>0</v>
      </c>
      <c r="W126" s="13">
        <v>0</v>
      </c>
      <c r="X126" s="13">
        <v>0</v>
      </c>
      <c r="Y126" s="13">
        <v>0</v>
      </c>
      <c r="Z126" s="13">
        <v>0.0052420063</v>
      </c>
    </row>
    <row r="127" s="2" customFormat="1" hidden="1" spans="1:26">
      <c r="A127" s="11" t="s">
        <v>935</v>
      </c>
      <c r="B127" s="11" t="s">
        <v>937</v>
      </c>
      <c r="C127" s="14" t="s">
        <v>828</v>
      </c>
      <c r="D127" s="14" t="s">
        <v>938</v>
      </c>
      <c r="E127" s="14" t="s">
        <v>939</v>
      </c>
      <c r="F127" s="3" t="s">
        <v>942</v>
      </c>
      <c r="G127" s="4">
        <v>7</v>
      </c>
      <c r="H127" s="12">
        <v>1141.924</v>
      </c>
      <c r="I127" s="12">
        <v>-136.535929</v>
      </c>
      <c r="J127" s="13">
        <v>-0.1195665639</v>
      </c>
      <c r="K127" s="13">
        <v>-0.1195665639</v>
      </c>
      <c r="L127" s="12">
        <v>23.99</v>
      </c>
      <c r="M127" s="13">
        <v>0.1164429725</v>
      </c>
      <c r="N127" s="13">
        <v>0.0404908601</v>
      </c>
      <c r="O127" s="13">
        <v>0.3061990114</v>
      </c>
      <c r="P127" s="13">
        <v>0</v>
      </c>
      <c r="Q127" s="13">
        <v>0.0003234374</v>
      </c>
      <c r="R127" s="13">
        <v>0.5517467397</v>
      </c>
      <c r="S127" s="13">
        <v>0</v>
      </c>
      <c r="T127" s="13">
        <v>0.0858691121</v>
      </c>
      <c r="U127" s="13">
        <v>0.0120081835</v>
      </c>
      <c r="V127" s="13">
        <v>0</v>
      </c>
      <c r="W127" s="13">
        <v>0</v>
      </c>
      <c r="X127" s="13">
        <v>0</v>
      </c>
      <c r="Y127" s="13">
        <v>0</v>
      </c>
      <c r="Z127" s="13">
        <v>0.0064862468</v>
      </c>
    </row>
    <row r="128" s="2" customFormat="1" hidden="1" spans="1:26">
      <c r="A128" s="11" t="s">
        <v>935</v>
      </c>
      <c r="B128" s="11" t="s">
        <v>937</v>
      </c>
      <c r="C128" s="14" t="s">
        <v>828</v>
      </c>
      <c r="D128" s="14" t="s">
        <v>938</v>
      </c>
      <c r="E128" s="14" t="s">
        <v>939</v>
      </c>
      <c r="F128" s="3" t="s">
        <v>943</v>
      </c>
      <c r="G128" s="4">
        <v>12</v>
      </c>
      <c r="H128" s="12">
        <v>2011.984</v>
      </c>
      <c r="I128" s="12">
        <v>227.321049</v>
      </c>
      <c r="J128" s="13">
        <v>0.1129835272</v>
      </c>
      <c r="K128" s="13">
        <v>0.1129835272</v>
      </c>
      <c r="L128" s="12">
        <v>24.6566666666</v>
      </c>
      <c r="M128" s="13">
        <v>0.1132945888</v>
      </c>
      <c r="N128" s="13">
        <v>0.0818920925</v>
      </c>
      <c r="O128" s="13">
        <v>0.3025550899</v>
      </c>
      <c r="P128" s="13">
        <v>0</v>
      </c>
      <c r="Q128" s="13">
        <v>0.0990614428</v>
      </c>
      <c r="R128" s="13">
        <v>0.1515540957</v>
      </c>
      <c r="S128" s="13">
        <v>0</v>
      </c>
      <c r="T128" s="13">
        <v>0.1141003109</v>
      </c>
      <c r="U128" s="13">
        <v>0.0116835064</v>
      </c>
      <c r="V128" s="13">
        <v>0</v>
      </c>
      <c r="W128" s="13">
        <v>0</v>
      </c>
      <c r="X128" s="13">
        <v>0</v>
      </c>
      <c r="Y128" s="13">
        <v>0</v>
      </c>
      <c r="Z128" s="13">
        <v>0.0128753454</v>
      </c>
    </row>
    <row r="129" s="2" customFormat="1" spans="1:26">
      <c r="A129" s="11" t="s">
        <v>935</v>
      </c>
      <c r="B129" s="11" t="s">
        <v>937</v>
      </c>
      <c r="C129" s="14" t="s">
        <v>828</v>
      </c>
      <c r="D129" s="14" t="s">
        <v>938</v>
      </c>
      <c r="E129" s="14" t="s">
        <v>939</v>
      </c>
      <c r="F129" s="3" t="s">
        <v>944</v>
      </c>
      <c r="G129" s="4">
        <v>23</v>
      </c>
      <c r="H129" s="12">
        <v>3908.436</v>
      </c>
      <c r="I129" s="12">
        <v>510.956479</v>
      </c>
      <c r="J129" s="13">
        <v>0.130731699</v>
      </c>
      <c r="K129" s="13">
        <v>0.130731699</v>
      </c>
      <c r="L129" s="12">
        <v>24.99</v>
      </c>
      <c r="M129" s="13">
        <v>0.1117833898</v>
      </c>
      <c r="N129" s="13">
        <v>0.080799761</v>
      </c>
      <c r="O129" s="13">
        <v>0.2978408749</v>
      </c>
      <c r="P129" s="13">
        <v>0.0434782608</v>
      </c>
      <c r="Q129" s="13">
        <v>0.0472076623</v>
      </c>
      <c r="R129" s="13">
        <v>0.165199253</v>
      </c>
      <c r="S129" s="13">
        <v>0</v>
      </c>
      <c r="T129" s="13">
        <v>0.1100266193</v>
      </c>
      <c r="U129" s="13">
        <v>0.011527664</v>
      </c>
      <c r="V129" s="13">
        <v>0</v>
      </c>
      <c r="W129" s="13">
        <v>0</v>
      </c>
      <c r="X129" s="13">
        <v>0</v>
      </c>
      <c r="Y129" s="13">
        <v>0</v>
      </c>
      <c r="Z129" s="13">
        <v>0.0014048153</v>
      </c>
    </row>
    <row r="130" s="2" customFormat="1" hidden="1" spans="1:26">
      <c r="A130" s="11" t="s">
        <v>935</v>
      </c>
      <c r="B130" s="11" t="s">
        <v>937</v>
      </c>
      <c r="C130" s="14" t="s">
        <v>828</v>
      </c>
      <c r="D130" s="14" t="s">
        <v>938</v>
      </c>
      <c r="E130" s="14" t="s">
        <v>939</v>
      </c>
      <c r="F130" s="3" t="s">
        <v>945</v>
      </c>
      <c r="G130" s="4">
        <v>2</v>
      </c>
      <c r="H130" s="12">
        <v>339.864</v>
      </c>
      <c r="I130" s="12">
        <v>71.897546</v>
      </c>
      <c r="J130" s="13">
        <v>0.2115479897</v>
      </c>
      <c r="K130" s="13">
        <v>0.2115479897</v>
      </c>
      <c r="L130" s="12">
        <v>24.99</v>
      </c>
      <c r="M130" s="13">
        <v>0.1117833898</v>
      </c>
      <c r="N130" s="13">
        <v>0.080799761</v>
      </c>
      <c r="O130" s="13">
        <v>0.2953181272</v>
      </c>
      <c r="P130" s="13">
        <v>0</v>
      </c>
      <c r="Q130" s="13">
        <v>0</v>
      </c>
      <c r="R130" s="13">
        <v>0.1809798507</v>
      </c>
      <c r="S130" s="13">
        <v>0</v>
      </c>
      <c r="T130" s="13">
        <v>0.1080432172</v>
      </c>
      <c r="U130" s="13">
        <v>0.011527664</v>
      </c>
      <c r="V130" s="13">
        <v>0</v>
      </c>
      <c r="W130" s="13">
        <v>0</v>
      </c>
      <c r="X130" s="13">
        <v>0</v>
      </c>
      <c r="Y130" s="13">
        <v>0</v>
      </c>
      <c r="Z130" s="13">
        <v>0</v>
      </c>
    </row>
    <row r="131" s="2" customFormat="1" hidden="1" spans="1:26">
      <c r="A131" s="11" t="s">
        <v>935</v>
      </c>
      <c r="B131" s="11" t="s">
        <v>937</v>
      </c>
      <c r="C131" s="14" t="s">
        <v>830</v>
      </c>
      <c r="D131" s="14" t="s">
        <v>938</v>
      </c>
      <c r="E131" s="14" t="s">
        <v>939</v>
      </c>
      <c r="F131" s="3" t="s">
        <v>936</v>
      </c>
      <c r="G131" s="4">
        <v>18</v>
      </c>
      <c r="H131" s="12">
        <v>2960.244</v>
      </c>
      <c r="I131" s="12">
        <v>-827.214199</v>
      </c>
      <c r="J131" s="13">
        <v>-0.2794412213</v>
      </c>
      <c r="K131" s="13">
        <v>-0.2794412213</v>
      </c>
      <c r="L131" s="12">
        <v>24.185</v>
      </c>
      <c r="M131" s="13">
        <v>0.1437868817</v>
      </c>
      <c r="N131" s="13">
        <v>0.0547875658</v>
      </c>
      <c r="O131" s="13">
        <v>0.279741805</v>
      </c>
      <c r="P131" s="13">
        <v>0</v>
      </c>
      <c r="Q131" s="13">
        <v>0.0843056859</v>
      </c>
      <c r="R131" s="13">
        <v>0.6459923692</v>
      </c>
      <c r="S131" s="13">
        <v>0</v>
      </c>
      <c r="T131" s="13">
        <v>0.0617003192</v>
      </c>
      <c r="U131" s="13">
        <v>0.0148280229</v>
      </c>
      <c r="V131" s="13">
        <v>0</v>
      </c>
      <c r="W131" s="13">
        <v>-0.0118910133</v>
      </c>
      <c r="X131" s="13">
        <v>0</v>
      </c>
      <c r="Y131" s="13">
        <v>0</v>
      </c>
      <c r="Z131" s="13">
        <v>0.0061895847</v>
      </c>
    </row>
    <row r="132" s="2" customFormat="1" hidden="1" spans="1:26">
      <c r="A132" s="11" t="s">
        <v>935</v>
      </c>
      <c r="B132" s="11" t="s">
        <v>937</v>
      </c>
      <c r="C132" s="14" t="s">
        <v>830</v>
      </c>
      <c r="D132" s="14" t="s">
        <v>938</v>
      </c>
      <c r="E132" s="14" t="s">
        <v>939</v>
      </c>
      <c r="F132" s="3" t="s">
        <v>942</v>
      </c>
      <c r="G132" s="4">
        <v>9</v>
      </c>
      <c r="H132" s="12">
        <v>1590.588</v>
      </c>
      <c r="I132" s="12">
        <v>-774.556464</v>
      </c>
      <c r="J132" s="13">
        <v>-0.486962346</v>
      </c>
      <c r="K132" s="13">
        <v>-0.486962346</v>
      </c>
      <c r="L132" s="12">
        <v>25.99</v>
      </c>
      <c r="M132" s="13">
        <v>0.1338009132</v>
      </c>
      <c r="N132" s="13">
        <v>0.0365927449</v>
      </c>
      <c r="O132" s="13">
        <v>0.2654867256</v>
      </c>
      <c r="P132" s="13">
        <v>0</v>
      </c>
      <c r="Q132" s="13">
        <v>0.0003234275</v>
      </c>
      <c r="R132" s="13">
        <v>1.0189312078</v>
      </c>
      <c r="S132" s="13">
        <v>0</v>
      </c>
      <c r="T132" s="13">
        <v>0.0115429011</v>
      </c>
      <c r="U132" s="13">
        <v>0.0137982199</v>
      </c>
      <c r="V132" s="13">
        <v>0</v>
      </c>
      <c r="W132" s="13">
        <v>0</v>
      </c>
      <c r="X132" s="13">
        <v>0</v>
      </c>
      <c r="Y132" s="13">
        <v>0</v>
      </c>
      <c r="Z132" s="13">
        <v>0.0064862057</v>
      </c>
    </row>
    <row r="133" s="2" customFormat="1" hidden="1" spans="1:26">
      <c r="A133" s="11" t="s">
        <v>935</v>
      </c>
      <c r="B133" s="11" t="s">
        <v>937</v>
      </c>
      <c r="C133" s="14" t="s">
        <v>830</v>
      </c>
      <c r="D133" s="14" t="s">
        <v>938</v>
      </c>
      <c r="E133" s="14" t="s">
        <v>939</v>
      </c>
      <c r="F133" s="3" t="s">
        <v>943</v>
      </c>
      <c r="G133" s="4">
        <v>4</v>
      </c>
      <c r="H133" s="12">
        <v>530.196</v>
      </c>
      <c r="I133" s="12">
        <v>55.869062</v>
      </c>
      <c r="J133" s="13">
        <v>0.1053743558</v>
      </c>
      <c r="K133" s="13">
        <v>0.1053743558</v>
      </c>
      <c r="L133" s="12">
        <v>19.4925</v>
      </c>
      <c r="M133" s="13">
        <v>0.1784012176</v>
      </c>
      <c r="N133" s="13">
        <v>0.0871632226</v>
      </c>
      <c r="O133" s="13">
        <v>0.2870334744</v>
      </c>
      <c r="P133" s="13">
        <v>0</v>
      </c>
      <c r="Q133" s="13">
        <v>0.1429805958</v>
      </c>
      <c r="R133" s="13">
        <v>0.1141189861</v>
      </c>
      <c r="S133" s="13">
        <v>0</v>
      </c>
      <c r="T133" s="13">
        <v>0.1200461716</v>
      </c>
      <c r="U133" s="13">
        <v>0.0183976265</v>
      </c>
      <c r="V133" s="13">
        <v>0</v>
      </c>
      <c r="W133" s="13">
        <v>-0.06639111</v>
      </c>
      <c r="X133" s="13">
        <v>0</v>
      </c>
      <c r="Y133" s="13">
        <v>0</v>
      </c>
      <c r="Z133" s="13">
        <v>0.0128754592</v>
      </c>
    </row>
    <row r="134" s="2" customFormat="1" spans="1:26">
      <c r="A134" s="11" t="s">
        <v>935</v>
      </c>
      <c r="B134" s="11" t="s">
        <v>937</v>
      </c>
      <c r="C134" s="14" t="s">
        <v>830</v>
      </c>
      <c r="D134" s="14" t="s">
        <v>938</v>
      </c>
      <c r="E134" s="14" t="s">
        <v>939</v>
      </c>
      <c r="F134" s="3" t="s">
        <v>944</v>
      </c>
      <c r="G134" s="4">
        <v>5</v>
      </c>
      <c r="H134" s="12">
        <v>839.46</v>
      </c>
      <c r="I134" s="12">
        <v>-108.526797</v>
      </c>
      <c r="J134" s="13">
        <v>-0.1292816775</v>
      </c>
      <c r="K134" s="13">
        <v>-0.1292816775</v>
      </c>
      <c r="L134" s="12">
        <v>24.69</v>
      </c>
      <c r="M134" s="13">
        <v>0.1408459188</v>
      </c>
      <c r="N134" s="13">
        <v>0.068814464</v>
      </c>
      <c r="O134" s="13">
        <v>0.302146618</v>
      </c>
      <c r="P134" s="13">
        <v>0</v>
      </c>
      <c r="Q134" s="13">
        <v>0.2063745991</v>
      </c>
      <c r="R134" s="13">
        <v>0.2752839361</v>
      </c>
      <c r="S134" s="13">
        <v>0</v>
      </c>
      <c r="T134" s="13">
        <v>0.1198865937</v>
      </c>
      <c r="U134" s="13">
        <v>0.0145247361</v>
      </c>
      <c r="V134" s="13">
        <v>0</v>
      </c>
      <c r="W134" s="13">
        <v>0</v>
      </c>
      <c r="X134" s="13">
        <v>0</v>
      </c>
      <c r="Y134" s="13">
        <v>0</v>
      </c>
      <c r="Z134" s="13">
        <v>0.0014048114</v>
      </c>
    </row>
    <row r="135" s="2" customFormat="1" hidden="1" spans="1:26">
      <c r="A135" s="11" t="s">
        <v>935</v>
      </c>
      <c r="B135" s="11" t="s">
        <v>937</v>
      </c>
      <c r="C135" s="14" t="s">
        <v>832</v>
      </c>
      <c r="D135" s="14" t="s">
        <v>938</v>
      </c>
      <c r="E135" s="14" t="s">
        <v>939</v>
      </c>
      <c r="F135" s="3" t="s">
        <v>936</v>
      </c>
      <c r="G135" s="4">
        <v>138</v>
      </c>
      <c r="H135" s="12">
        <v>21451.416</v>
      </c>
      <c r="I135" s="12">
        <v>3086.839361</v>
      </c>
      <c r="J135" s="13">
        <v>0.1438990955</v>
      </c>
      <c r="K135" s="13">
        <v>0.1438990955</v>
      </c>
      <c r="L135" s="12">
        <v>22.8595652173</v>
      </c>
      <c r="M135" s="13">
        <v>0.1438746549</v>
      </c>
      <c r="N135" s="13">
        <v>0.036574721</v>
      </c>
      <c r="O135" s="13">
        <v>0.33356157</v>
      </c>
      <c r="P135" s="13">
        <v>0.007287724</v>
      </c>
      <c r="Q135" s="13">
        <v>0.0274888691</v>
      </c>
      <c r="R135" s="13">
        <v>0.1745821449</v>
      </c>
      <c r="S135" s="13">
        <v>0</v>
      </c>
      <c r="T135" s="13">
        <v>0.1117060057</v>
      </c>
      <c r="U135" s="13">
        <v>0.0148370764</v>
      </c>
      <c r="V135" s="13">
        <v>0</v>
      </c>
      <c r="W135" s="13">
        <v>0</v>
      </c>
      <c r="X135" s="13">
        <v>0</v>
      </c>
      <c r="Y135" s="13">
        <v>0</v>
      </c>
      <c r="Z135" s="13">
        <v>0.0061881378</v>
      </c>
    </row>
    <row r="136" s="2" customFormat="1" hidden="1" spans="1:26">
      <c r="A136" s="11" t="s">
        <v>935</v>
      </c>
      <c r="B136" s="11" t="s">
        <v>937</v>
      </c>
      <c r="C136" s="14" t="s">
        <v>832</v>
      </c>
      <c r="D136" s="14" t="s">
        <v>938</v>
      </c>
      <c r="E136" s="14" t="s">
        <v>939</v>
      </c>
      <c r="F136" s="3" t="s">
        <v>941</v>
      </c>
      <c r="G136" s="4">
        <v>9</v>
      </c>
      <c r="H136" s="12">
        <v>1345.788</v>
      </c>
      <c r="I136" s="12">
        <v>107.654755</v>
      </c>
      <c r="J136" s="13">
        <v>0.0799938437</v>
      </c>
      <c r="K136" s="13">
        <v>0.0799938437</v>
      </c>
      <c r="L136" s="12">
        <v>21.99</v>
      </c>
      <c r="M136" s="13">
        <v>0.1495639863</v>
      </c>
      <c r="N136" s="13">
        <v>0.052133035</v>
      </c>
      <c r="O136" s="13">
        <v>0.3435399929</v>
      </c>
      <c r="P136" s="13">
        <v>0</v>
      </c>
      <c r="Q136" s="13">
        <v>0.0017910763</v>
      </c>
      <c r="R136" s="13">
        <v>0.2533837261</v>
      </c>
      <c r="S136" s="13">
        <v>0</v>
      </c>
      <c r="T136" s="13">
        <v>0.0988328027</v>
      </c>
      <c r="U136" s="13">
        <v>0.0154237888</v>
      </c>
      <c r="V136" s="13">
        <v>0</v>
      </c>
      <c r="W136" s="13">
        <v>0</v>
      </c>
      <c r="X136" s="13">
        <v>0</v>
      </c>
      <c r="Y136" s="13">
        <v>0</v>
      </c>
      <c r="Z136" s="13">
        <v>0.0053377478</v>
      </c>
    </row>
    <row r="137" s="2" customFormat="1" hidden="1" spans="1:26">
      <c r="A137" s="11" t="s">
        <v>935</v>
      </c>
      <c r="B137" s="11" t="s">
        <v>937</v>
      </c>
      <c r="C137" s="14" t="s">
        <v>832</v>
      </c>
      <c r="D137" s="14" t="s">
        <v>938</v>
      </c>
      <c r="E137" s="14" t="s">
        <v>939</v>
      </c>
      <c r="F137" s="3" t="s">
        <v>942</v>
      </c>
      <c r="G137" s="4">
        <v>57</v>
      </c>
      <c r="H137" s="12">
        <v>8645.724</v>
      </c>
      <c r="I137" s="12">
        <v>1037.290247</v>
      </c>
      <c r="J137" s="13">
        <v>0.1199772566</v>
      </c>
      <c r="K137" s="13">
        <v>0.1199772566</v>
      </c>
      <c r="L137" s="12">
        <v>22.3057894736</v>
      </c>
      <c r="M137" s="13">
        <v>0.1474465659</v>
      </c>
      <c r="N137" s="13">
        <v>0.0365121246</v>
      </c>
      <c r="O137" s="13">
        <v>0.3420636606</v>
      </c>
      <c r="P137" s="13">
        <v>0</v>
      </c>
      <c r="Q137" s="13">
        <v>0.0193287906</v>
      </c>
      <c r="R137" s="13">
        <v>0.2085935189</v>
      </c>
      <c r="S137" s="13">
        <v>0</v>
      </c>
      <c r="T137" s="13">
        <v>0.1043863995</v>
      </c>
      <c r="U137" s="13">
        <v>0.0152054298</v>
      </c>
      <c r="V137" s="13">
        <v>0</v>
      </c>
      <c r="W137" s="13">
        <v>0</v>
      </c>
      <c r="X137" s="13">
        <v>0</v>
      </c>
      <c r="Y137" s="13">
        <v>0</v>
      </c>
      <c r="Z137" s="13">
        <v>0.006486253</v>
      </c>
    </row>
    <row r="138" s="2" customFormat="1" hidden="1" spans="1:26">
      <c r="A138" s="11" t="s">
        <v>935</v>
      </c>
      <c r="B138" s="11" t="s">
        <v>937</v>
      </c>
      <c r="C138" s="14" t="s">
        <v>832</v>
      </c>
      <c r="D138" s="14" t="s">
        <v>938</v>
      </c>
      <c r="E138" s="14" t="s">
        <v>939</v>
      </c>
      <c r="F138" s="3" t="s">
        <v>943</v>
      </c>
      <c r="G138" s="4">
        <v>29</v>
      </c>
      <c r="H138" s="12">
        <v>4676.428</v>
      </c>
      <c r="I138" s="12">
        <v>641.585768</v>
      </c>
      <c r="J138" s="13">
        <v>0.1371956903</v>
      </c>
      <c r="K138" s="13">
        <v>0.1371956903</v>
      </c>
      <c r="L138" s="12">
        <v>23.714137931</v>
      </c>
      <c r="M138" s="13">
        <v>0.138689927</v>
      </c>
      <c r="N138" s="13">
        <v>0.0343437221</v>
      </c>
      <c r="O138" s="13">
        <v>0.321748993</v>
      </c>
      <c r="P138" s="13">
        <v>0.0334297887</v>
      </c>
      <c r="Q138" s="13">
        <v>0.0529595282</v>
      </c>
      <c r="R138" s="13">
        <v>0.1376175266</v>
      </c>
      <c r="S138" s="13">
        <v>0</v>
      </c>
      <c r="T138" s="13">
        <v>0.1168370388</v>
      </c>
      <c r="U138" s="13">
        <v>0.0143024013</v>
      </c>
      <c r="V138" s="13">
        <v>0</v>
      </c>
      <c r="W138" s="13">
        <v>0</v>
      </c>
      <c r="X138" s="13">
        <v>0</v>
      </c>
      <c r="Y138" s="13">
        <v>0</v>
      </c>
      <c r="Z138" s="13">
        <v>0.0128753835</v>
      </c>
    </row>
    <row r="139" s="2" customFormat="1" spans="1:26">
      <c r="A139" s="11" t="s">
        <v>935</v>
      </c>
      <c r="B139" s="11" t="s">
        <v>937</v>
      </c>
      <c r="C139" s="14" t="s">
        <v>832</v>
      </c>
      <c r="D139" s="14" t="s">
        <v>938</v>
      </c>
      <c r="E139" s="14" t="s">
        <v>939</v>
      </c>
      <c r="F139" s="3" t="s">
        <v>944</v>
      </c>
      <c r="G139" s="4">
        <v>42</v>
      </c>
      <c r="H139" s="12">
        <v>6599.944</v>
      </c>
      <c r="I139" s="12">
        <v>1254.553566</v>
      </c>
      <c r="J139" s="13">
        <v>0.1900854864</v>
      </c>
      <c r="K139" s="13">
        <v>0.1900854864</v>
      </c>
      <c r="L139" s="12">
        <v>23.109047619</v>
      </c>
      <c r="M139" s="13">
        <v>0.1423214021</v>
      </c>
      <c r="N139" s="13">
        <v>0.0352429826</v>
      </c>
      <c r="O139" s="13">
        <v>0.3301737105</v>
      </c>
      <c r="P139" s="13">
        <v>0</v>
      </c>
      <c r="Q139" s="13">
        <v>0.0261353655</v>
      </c>
      <c r="R139" s="13">
        <v>0.1399074149</v>
      </c>
      <c r="S139" s="13">
        <v>0</v>
      </c>
      <c r="T139" s="13">
        <v>0.1200519277</v>
      </c>
      <c r="U139" s="13">
        <v>0.0146768972</v>
      </c>
      <c r="V139" s="13">
        <v>0</v>
      </c>
      <c r="W139" s="13">
        <v>0</v>
      </c>
      <c r="X139" s="13">
        <v>0</v>
      </c>
      <c r="Y139" s="13">
        <v>0</v>
      </c>
      <c r="Z139" s="13">
        <v>0.0014048126</v>
      </c>
    </row>
    <row r="140" s="2" customFormat="1" hidden="1" spans="1:26">
      <c r="A140" s="11" t="s">
        <v>935</v>
      </c>
      <c r="B140" s="11" t="s">
        <v>937</v>
      </c>
      <c r="C140" s="14" t="s">
        <v>832</v>
      </c>
      <c r="D140" s="14" t="s">
        <v>938</v>
      </c>
      <c r="E140" s="14" t="s">
        <v>939</v>
      </c>
      <c r="F140" s="3" t="s">
        <v>945</v>
      </c>
      <c r="G140" s="4">
        <v>1</v>
      </c>
      <c r="H140" s="12">
        <v>183.532</v>
      </c>
      <c r="I140" s="12">
        <v>45.755025</v>
      </c>
      <c r="J140" s="13">
        <v>0.2493027101</v>
      </c>
      <c r="K140" s="13">
        <v>0.2493027101</v>
      </c>
      <c r="L140" s="12">
        <v>26.99</v>
      </c>
      <c r="M140" s="13">
        <v>0.1218566898</v>
      </c>
      <c r="N140" s="13">
        <v>0.0301753154</v>
      </c>
      <c r="O140" s="13">
        <v>0.2826972952</v>
      </c>
      <c r="P140" s="13">
        <v>0</v>
      </c>
      <c r="Q140" s="13">
        <v>0</v>
      </c>
      <c r="R140" s="13">
        <v>0.1833570549</v>
      </c>
      <c r="S140" s="13">
        <v>0</v>
      </c>
      <c r="T140" s="13">
        <v>0.1200444609</v>
      </c>
      <c r="U140" s="13">
        <v>0.0125664734</v>
      </c>
      <c r="V140" s="13">
        <v>0</v>
      </c>
      <c r="W140" s="13">
        <v>0</v>
      </c>
      <c r="X140" s="13">
        <v>0</v>
      </c>
      <c r="Y140" s="13">
        <v>0</v>
      </c>
      <c r="Z140" s="13">
        <v>0</v>
      </c>
    </row>
    <row r="141" s="2" customFormat="1" hidden="1" spans="1:26">
      <c r="A141" s="11" t="s">
        <v>935</v>
      </c>
      <c r="B141" s="11" t="s">
        <v>937</v>
      </c>
      <c r="C141" s="14" t="s">
        <v>834</v>
      </c>
      <c r="D141" s="14" t="s">
        <v>938</v>
      </c>
      <c r="E141" s="14" t="s">
        <v>939</v>
      </c>
      <c r="F141" s="3" t="s">
        <v>936</v>
      </c>
      <c r="G141" s="4">
        <v>69</v>
      </c>
      <c r="H141" s="12">
        <v>10440.108</v>
      </c>
      <c r="I141" s="12">
        <v>-1335.860059</v>
      </c>
      <c r="J141" s="13">
        <v>-0.1279546206</v>
      </c>
      <c r="K141" s="13">
        <v>-0.1279546206</v>
      </c>
      <c r="L141" s="12">
        <v>22.2508695652</v>
      </c>
      <c r="M141" s="13">
        <v>0.145231178</v>
      </c>
      <c r="N141" s="13">
        <v>0.0671206128</v>
      </c>
      <c r="O141" s="13">
        <v>0.3628908819</v>
      </c>
      <c r="P141" s="13">
        <v>0.0585940298</v>
      </c>
      <c r="Q141" s="13">
        <v>0.153644966</v>
      </c>
      <c r="R141" s="13">
        <v>0.255219472</v>
      </c>
      <c r="S141" s="13">
        <v>0</v>
      </c>
      <c r="T141" s="13">
        <v>0.0953879021</v>
      </c>
      <c r="U141" s="13">
        <v>0.0149769692</v>
      </c>
      <c r="V141" s="13">
        <v>-0.0329054067</v>
      </c>
      <c r="W141" s="13">
        <v>0</v>
      </c>
      <c r="X141" s="13">
        <v>0.0025727703</v>
      </c>
      <c r="Y141" s="13">
        <v>0</v>
      </c>
      <c r="Z141" s="13">
        <v>0.0052212448</v>
      </c>
    </row>
    <row r="142" s="2" customFormat="1" hidden="1" spans="1:26">
      <c r="A142" s="11" t="s">
        <v>935</v>
      </c>
      <c r="B142" s="11" t="s">
        <v>937</v>
      </c>
      <c r="C142" s="14" t="s">
        <v>834</v>
      </c>
      <c r="D142" s="14" t="s">
        <v>938</v>
      </c>
      <c r="E142" s="14" t="s">
        <v>939</v>
      </c>
      <c r="F142" s="3" t="s">
        <v>941</v>
      </c>
      <c r="G142" s="4">
        <v>4</v>
      </c>
      <c r="H142" s="12">
        <v>625.328</v>
      </c>
      <c r="I142" s="12">
        <v>-153.300753</v>
      </c>
      <c r="J142" s="13">
        <v>-0.2451525487</v>
      </c>
      <c r="K142" s="13">
        <v>-0.2451525487</v>
      </c>
      <c r="L142" s="12">
        <v>22.99</v>
      </c>
      <c r="M142" s="13">
        <v>0.1405619834</v>
      </c>
      <c r="N142" s="13">
        <v>0.0625652457</v>
      </c>
      <c r="O142" s="13">
        <v>0.3442801217</v>
      </c>
      <c r="P142" s="13">
        <v>0</v>
      </c>
      <c r="Q142" s="13">
        <v>0.0017910712</v>
      </c>
      <c r="R142" s="13">
        <v>0.615333564</v>
      </c>
      <c r="S142" s="13">
        <v>0</v>
      </c>
      <c r="T142" s="13">
        <v>0.0607872988</v>
      </c>
      <c r="U142" s="13">
        <v>0.0144954583</v>
      </c>
      <c r="V142" s="13">
        <v>0</v>
      </c>
      <c r="W142" s="13">
        <v>0</v>
      </c>
      <c r="X142" s="13">
        <v>0</v>
      </c>
      <c r="Y142" s="13">
        <v>0</v>
      </c>
      <c r="Z142" s="13">
        <v>0.0053378051</v>
      </c>
    </row>
    <row r="143" s="2" customFormat="1" hidden="1" spans="1:26">
      <c r="A143" s="11" t="s">
        <v>935</v>
      </c>
      <c r="B143" s="11" t="s">
        <v>937</v>
      </c>
      <c r="C143" s="14" t="s">
        <v>834</v>
      </c>
      <c r="D143" s="14" t="s">
        <v>938</v>
      </c>
      <c r="E143" s="14" t="s">
        <v>939</v>
      </c>
      <c r="F143" s="3" t="s">
        <v>942</v>
      </c>
      <c r="G143" s="4">
        <v>14</v>
      </c>
      <c r="H143" s="12">
        <v>1957.448</v>
      </c>
      <c r="I143" s="12">
        <v>-1184.374194</v>
      </c>
      <c r="J143" s="13">
        <v>-0.6050603612</v>
      </c>
      <c r="K143" s="13">
        <v>-0.6050603612</v>
      </c>
      <c r="L143" s="12">
        <v>20.5614285714</v>
      </c>
      <c r="M143" s="13">
        <v>0.157164177</v>
      </c>
      <c r="N143" s="13">
        <v>0.0699550128</v>
      </c>
      <c r="O143" s="13">
        <v>0.3939762384</v>
      </c>
      <c r="P143" s="13">
        <v>0.0833391231</v>
      </c>
      <c r="Q143" s="13">
        <v>0.1614889218</v>
      </c>
      <c r="R143" s="13">
        <v>0.6627364353</v>
      </c>
      <c r="S143" s="13">
        <v>0</v>
      </c>
      <c r="T143" s="13">
        <v>0.0537066629</v>
      </c>
      <c r="U143" s="13">
        <v>0.01620756</v>
      </c>
      <c r="V143" s="13">
        <v>0</v>
      </c>
      <c r="W143" s="13">
        <v>0</v>
      </c>
      <c r="X143" s="13">
        <v>0</v>
      </c>
      <c r="Y143" s="13">
        <v>0</v>
      </c>
      <c r="Z143" s="13">
        <v>0.0064862295</v>
      </c>
    </row>
    <row r="144" s="2" customFormat="1" hidden="1" spans="1:26">
      <c r="A144" s="11" t="s">
        <v>935</v>
      </c>
      <c r="B144" s="11" t="s">
        <v>937</v>
      </c>
      <c r="C144" s="14" t="s">
        <v>834</v>
      </c>
      <c r="D144" s="14" t="s">
        <v>938</v>
      </c>
      <c r="E144" s="14" t="s">
        <v>939</v>
      </c>
      <c r="F144" s="3" t="s">
        <v>943</v>
      </c>
      <c r="G144" s="4">
        <v>15</v>
      </c>
      <c r="H144" s="12">
        <v>2446.98</v>
      </c>
      <c r="I144" s="12">
        <v>232.57179</v>
      </c>
      <c r="J144" s="13">
        <v>0.095044418</v>
      </c>
      <c r="K144" s="13">
        <v>0.095044418</v>
      </c>
      <c r="L144" s="12">
        <v>23.99</v>
      </c>
      <c r="M144" s="13">
        <v>0.1347027928</v>
      </c>
      <c r="N144" s="13">
        <v>0.0582168611</v>
      </c>
      <c r="O144" s="13">
        <v>0.3408086702</v>
      </c>
      <c r="P144" s="13">
        <v>0</v>
      </c>
      <c r="Q144" s="13">
        <v>0.2400003861</v>
      </c>
      <c r="R144" s="13">
        <v>0.1194665616</v>
      </c>
      <c r="S144" s="13">
        <v>0</v>
      </c>
      <c r="T144" s="13">
        <v>0.1144087814</v>
      </c>
      <c r="U144" s="13">
        <v>0.0138912291</v>
      </c>
      <c r="V144" s="13">
        <v>-0.1403918299</v>
      </c>
      <c r="W144" s="13">
        <v>0</v>
      </c>
      <c r="X144" s="13">
        <v>0.0109767958</v>
      </c>
      <c r="Y144" s="13">
        <v>0</v>
      </c>
      <c r="Z144" s="13">
        <v>0.0128753332</v>
      </c>
    </row>
    <row r="145" s="2" customFormat="1" spans="1:26">
      <c r="A145" s="11" t="s">
        <v>935</v>
      </c>
      <c r="B145" s="11" t="s">
        <v>937</v>
      </c>
      <c r="C145" s="14" t="s">
        <v>834</v>
      </c>
      <c r="D145" s="14" t="s">
        <v>938</v>
      </c>
      <c r="E145" s="14" t="s">
        <v>939</v>
      </c>
      <c r="F145" s="3" t="s">
        <v>944</v>
      </c>
      <c r="G145" s="4">
        <v>33</v>
      </c>
      <c r="H145" s="12">
        <v>4961.756</v>
      </c>
      <c r="I145" s="12">
        <v>-342.572286</v>
      </c>
      <c r="J145" s="13">
        <v>-0.0690425498</v>
      </c>
      <c r="K145" s="13">
        <v>-0.0690425498</v>
      </c>
      <c r="L145" s="12">
        <v>22.1112121212</v>
      </c>
      <c r="M145" s="13">
        <v>0.146148478</v>
      </c>
      <c r="N145" s="13">
        <v>0.0706163364</v>
      </c>
      <c r="O145" s="13">
        <v>0.3636164293</v>
      </c>
      <c r="P145" s="13">
        <v>0.0904107336</v>
      </c>
      <c r="Q145" s="13">
        <v>0.1409919633</v>
      </c>
      <c r="R145" s="13">
        <v>0.1362007066</v>
      </c>
      <c r="S145" s="13">
        <v>0</v>
      </c>
      <c r="T145" s="13">
        <v>0.1045815231</v>
      </c>
      <c r="U145" s="13">
        <v>0.0150715657</v>
      </c>
      <c r="V145" s="13">
        <v>0</v>
      </c>
      <c r="W145" s="13">
        <v>0</v>
      </c>
      <c r="X145" s="13">
        <v>0</v>
      </c>
      <c r="Y145" s="13">
        <v>0</v>
      </c>
      <c r="Z145" s="13">
        <v>0.0014048133</v>
      </c>
    </row>
    <row r="146" s="2" customFormat="1" hidden="1" spans="1:26">
      <c r="A146" s="11" t="s">
        <v>935</v>
      </c>
      <c r="B146" s="11" t="s">
        <v>937</v>
      </c>
      <c r="C146" s="14" t="s">
        <v>834</v>
      </c>
      <c r="D146" s="14" t="s">
        <v>938</v>
      </c>
      <c r="E146" s="14" t="s">
        <v>939</v>
      </c>
      <c r="F146" s="3" t="s">
        <v>945</v>
      </c>
      <c r="G146" s="4">
        <v>3</v>
      </c>
      <c r="H146" s="12">
        <v>448.596</v>
      </c>
      <c r="I146" s="12">
        <v>111.815384</v>
      </c>
      <c r="J146" s="13">
        <v>0.2492563108</v>
      </c>
      <c r="K146" s="13">
        <v>0.2492563108</v>
      </c>
      <c r="L146" s="12">
        <v>21.99</v>
      </c>
      <c r="M146" s="13">
        <v>0.14695407</v>
      </c>
      <c r="N146" s="13">
        <v>0.071005584</v>
      </c>
      <c r="O146" s="13">
        <v>0.3656207366</v>
      </c>
      <c r="P146" s="13">
        <v>0</v>
      </c>
      <c r="Q146" s="13">
        <v>0</v>
      </c>
      <c r="R146" s="13">
        <v>0.0319540856</v>
      </c>
      <c r="S146" s="13">
        <v>0</v>
      </c>
      <c r="T146" s="13">
        <v>0.1200545702</v>
      </c>
      <c r="U146" s="13">
        <v>0.0151546424</v>
      </c>
      <c r="V146" s="13">
        <v>0</v>
      </c>
      <c r="W146" s="13">
        <v>0</v>
      </c>
      <c r="X146" s="13">
        <v>0</v>
      </c>
      <c r="Y146" s="13">
        <v>0</v>
      </c>
      <c r="Z146" s="13">
        <v>0</v>
      </c>
    </row>
    <row r="147" s="2" customFormat="1" hidden="1" spans="1:26">
      <c r="A147" s="11" t="s">
        <v>935</v>
      </c>
      <c r="B147" s="11" t="s">
        <v>937</v>
      </c>
      <c r="C147" s="14" t="s">
        <v>836</v>
      </c>
      <c r="D147" s="14" t="s">
        <v>938</v>
      </c>
      <c r="E147" s="14" t="s">
        <v>939</v>
      </c>
      <c r="F147" s="3" t="s">
        <v>936</v>
      </c>
      <c r="G147" s="4">
        <v>188</v>
      </c>
      <c r="H147" s="12">
        <v>27950.448</v>
      </c>
      <c r="I147" s="12">
        <v>5234.158299</v>
      </c>
      <c r="J147" s="13">
        <v>0.1872656316</v>
      </c>
      <c r="K147" s="13">
        <v>0.1872656316</v>
      </c>
      <c r="L147" s="12">
        <v>21.8636170212</v>
      </c>
      <c r="M147" s="13">
        <v>0.1130892611</v>
      </c>
      <c r="N147" s="13">
        <v>0.0262588666</v>
      </c>
      <c r="O147" s="13">
        <v>0.335612939</v>
      </c>
      <c r="P147" s="13">
        <v>0.0053498963</v>
      </c>
      <c r="Q147" s="13">
        <v>0.0241112728</v>
      </c>
      <c r="R147" s="13">
        <v>0.1727560784</v>
      </c>
      <c r="S147" s="13">
        <v>0</v>
      </c>
      <c r="T147" s="13">
        <v>0.1171941143</v>
      </c>
      <c r="U147" s="13">
        <v>0.0116623308</v>
      </c>
      <c r="V147" s="13">
        <v>0</v>
      </c>
      <c r="W147" s="13">
        <v>0</v>
      </c>
      <c r="X147" s="13">
        <v>0</v>
      </c>
      <c r="Y147" s="13">
        <v>0</v>
      </c>
      <c r="Z147" s="13">
        <v>0.0066996087</v>
      </c>
    </row>
    <row r="148" s="2" customFormat="1" hidden="1" spans="1:26">
      <c r="A148" s="11" t="s">
        <v>935</v>
      </c>
      <c r="B148" s="11" t="s">
        <v>937</v>
      </c>
      <c r="C148" s="14" t="s">
        <v>836</v>
      </c>
      <c r="D148" s="14" t="s">
        <v>938</v>
      </c>
      <c r="E148" s="14" t="s">
        <v>939</v>
      </c>
      <c r="F148" s="3" t="s">
        <v>940</v>
      </c>
      <c r="G148" s="4">
        <v>2</v>
      </c>
      <c r="H148" s="12">
        <v>326.264</v>
      </c>
      <c r="I148" s="12">
        <v>-34.121936</v>
      </c>
      <c r="J148" s="13">
        <v>-0.1045838216</v>
      </c>
      <c r="K148" s="13">
        <v>-0.1045838216</v>
      </c>
      <c r="L148" s="12">
        <v>23.99</v>
      </c>
      <c r="M148" s="13">
        <v>0.1030654561</v>
      </c>
      <c r="N148" s="13">
        <v>0.0352867677</v>
      </c>
      <c r="O148" s="13">
        <v>0.2780325135</v>
      </c>
      <c r="P148" s="13">
        <v>0</v>
      </c>
      <c r="Q148" s="13">
        <v>0.0008192537</v>
      </c>
      <c r="R148" s="13">
        <v>0.6161764276</v>
      </c>
      <c r="S148" s="13">
        <v>0</v>
      </c>
      <c r="T148" s="13">
        <v>0.0602334305</v>
      </c>
      <c r="U148" s="13">
        <v>0.0106286258</v>
      </c>
      <c r="V148" s="13">
        <v>0</v>
      </c>
      <c r="W148" s="13">
        <v>0</v>
      </c>
      <c r="X148" s="13">
        <v>0</v>
      </c>
      <c r="Y148" s="13">
        <v>0</v>
      </c>
      <c r="Z148" s="13">
        <v>0.0003413462</v>
      </c>
    </row>
    <row r="149" s="2" customFormat="1" hidden="1" spans="1:26">
      <c r="A149" s="11" t="s">
        <v>935</v>
      </c>
      <c r="B149" s="11" t="s">
        <v>937</v>
      </c>
      <c r="C149" s="14" t="s">
        <v>836</v>
      </c>
      <c r="D149" s="14" t="s">
        <v>938</v>
      </c>
      <c r="E149" s="14" t="s">
        <v>939</v>
      </c>
      <c r="F149" s="3" t="s">
        <v>941</v>
      </c>
      <c r="G149" s="4">
        <v>58</v>
      </c>
      <c r="H149" s="12">
        <v>8438.392</v>
      </c>
      <c r="I149" s="12">
        <v>1327.487586</v>
      </c>
      <c r="J149" s="13">
        <v>0.1573152309</v>
      </c>
      <c r="K149" s="13">
        <v>0.1573152309</v>
      </c>
      <c r="L149" s="12">
        <v>21.3955172413</v>
      </c>
      <c r="M149" s="13">
        <v>0.1155634737</v>
      </c>
      <c r="N149" s="13">
        <v>0.0395657371</v>
      </c>
      <c r="O149" s="13">
        <v>0.3413380179</v>
      </c>
      <c r="P149" s="13">
        <v>0</v>
      </c>
      <c r="Q149" s="13">
        <v>0.0129899367</v>
      </c>
      <c r="R149" s="13">
        <v>0.2013414983</v>
      </c>
      <c r="S149" s="13">
        <v>0</v>
      </c>
      <c r="T149" s="13">
        <v>0.1146308443</v>
      </c>
      <c r="U149" s="13">
        <v>0.011917484</v>
      </c>
      <c r="V149" s="13">
        <v>0</v>
      </c>
      <c r="W149" s="13">
        <v>0</v>
      </c>
      <c r="X149" s="13">
        <v>0</v>
      </c>
      <c r="Y149" s="13">
        <v>0</v>
      </c>
      <c r="Z149" s="13">
        <v>0.0053377767</v>
      </c>
    </row>
    <row r="150" s="2" customFormat="1" hidden="1" spans="1:26">
      <c r="A150" s="11" t="s">
        <v>935</v>
      </c>
      <c r="B150" s="11" t="s">
        <v>937</v>
      </c>
      <c r="C150" s="14" t="s">
        <v>836</v>
      </c>
      <c r="D150" s="14" t="s">
        <v>938</v>
      </c>
      <c r="E150" s="14" t="s">
        <v>939</v>
      </c>
      <c r="F150" s="3" t="s">
        <v>942</v>
      </c>
      <c r="G150" s="4">
        <v>40</v>
      </c>
      <c r="H150" s="12">
        <v>6269.056</v>
      </c>
      <c r="I150" s="12">
        <v>1280.676396</v>
      </c>
      <c r="J150" s="13">
        <v>0.2042853654</v>
      </c>
      <c r="K150" s="13">
        <v>0.2042853654</v>
      </c>
      <c r="L150" s="12">
        <v>23.048</v>
      </c>
      <c r="M150" s="13">
        <v>0.1072778676</v>
      </c>
      <c r="N150" s="13">
        <v>0.019315763</v>
      </c>
      <c r="O150" s="13">
        <v>0.3202013189</v>
      </c>
      <c r="P150" s="13">
        <v>0</v>
      </c>
      <c r="Q150" s="13">
        <v>0.0405704078</v>
      </c>
      <c r="R150" s="13">
        <v>0.1707570418</v>
      </c>
      <c r="S150" s="13">
        <v>0</v>
      </c>
      <c r="T150" s="13">
        <v>0.1200429538</v>
      </c>
      <c r="U150" s="13">
        <v>0.0110630308</v>
      </c>
      <c r="V150" s="13">
        <v>0</v>
      </c>
      <c r="W150" s="13">
        <v>0</v>
      </c>
      <c r="X150" s="13">
        <v>0</v>
      </c>
      <c r="Y150" s="13">
        <v>0</v>
      </c>
      <c r="Z150" s="13">
        <v>0.0064862504</v>
      </c>
    </row>
    <row r="151" s="2" customFormat="1" hidden="1" spans="1:26">
      <c r="A151" s="11" t="s">
        <v>935</v>
      </c>
      <c r="B151" s="11" t="s">
        <v>937</v>
      </c>
      <c r="C151" s="14" t="s">
        <v>836</v>
      </c>
      <c r="D151" s="14" t="s">
        <v>938</v>
      </c>
      <c r="E151" s="14" t="s">
        <v>939</v>
      </c>
      <c r="F151" s="3" t="s">
        <v>943</v>
      </c>
      <c r="G151" s="4">
        <v>51</v>
      </c>
      <c r="H151" s="12">
        <v>7261.652</v>
      </c>
      <c r="I151" s="12">
        <v>1496.444776</v>
      </c>
      <c r="J151" s="13">
        <v>0.2060749779</v>
      </c>
      <c r="K151" s="13">
        <v>0.2060749779</v>
      </c>
      <c r="L151" s="12">
        <v>20.9390196078</v>
      </c>
      <c r="M151" s="13">
        <v>0.1180829064</v>
      </c>
      <c r="N151" s="13">
        <v>0.0212612488</v>
      </c>
      <c r="O151" s="13">
        <v>0.3518058976</v>
      </c>
      <c r="P151" s="13">
        <v>0</v>
      </c>
      <c r="Q151" s="13">
        <v>0.0251006631</v>
      </c>
      <c r="R151" s="13">
        <v>0.1325999139</v>
      </c>
      <c r="S151" s="13">
        <v>0</v>
      </c>
      <c r="T151" s="13">
        <v>0.120021725</v>
      </c>
      <c r="U151" s="13">
        <v>0.0121773005</v>
      </c>
      <c r="V151" s="13">
        <v>0</v>
      </c>
      <c r="W151" s="13">
        <v>0</v>
      </c>
      <c r="X151" s="13">
        <v>0</v>
      </c>
      <c r="Y151" s="13">
        <v>0</v>
      </c>
      <c r="Z151" s="13">
        <v>0.0128753663</v>
      </c>
    </row>
    <row r="152" s="2" customFormat="1" spans="1:26">
      <c r="A152" s="11" t="s">
        <v>935</v>
      </c>
      <c r="B152" s="11" t="s">
        <v>937</v>
      </c>
      <c r="C152" s="14" t="s">
        <v>836</v>
      </c>
      <c r="D152" s="14" t="s">
        <v>938</v>
      </c>
      <c r="E152" s="14" t="s">
        <v>939</v>
      </c>
      <c r="F152" s="3" t="s">
        <v>944</v>
      </c>
      <c r="G152" s="4">
        <v>37</v>
      </c>
      <c r="H152" s="12">
        <v>5655.084</v>
      </c>
      <c r="I152" s="12">
        <v>1192.340427</v>
      </c>
      <c r="J152" s="13">
        <v>0.2108439816</v>
      </c>
      <c r="K152" s="13">
        <v>0.2108439816</v>
      </c>
      <c r="L152" s="12">
        <v>22.4764864864</v>
      </c>
      <c r="M152" s="13">
        <v>0.1100056405</v>
      </c>
      <c r="N152" s="13">
        <v>0.0199961125</v>
      </c>
      <c r="O152" s="13">
        <v>0.3266837415</v>
      </c>
      <c r="P152" s="13">
        <v>0.0264420475</v>
      </c>
      <c r="Q152" s="13">
        <v>0.0225335231</v>
      </c>
      <c r="R152" s="13">
        <v>0.1532296026</v>
      </c>
      <c r="S152" s="13">
        <v>0</v>
      </c>
      <c r="T152" s="13">
        <v>0.1175162031</v>
      </c>
      <c r="U152" s="13">
        <v>0.0113443324</v>
      </c>
      <c r="V152" s="13">
        <v>0</v>
      </c>
      <c r="W152" s="13">
        <v>0</v>
      </c>
      <c r="X152" s="13">
        <v>0</v>
      </c>
      <c r="Y152" s="13">
        <v>0</v>
      </c>
      <c r="Z152" s="13">
        <v>0.0014048148</v>
      </c>
    </row>
    <row r="153" s="2" customFormat="1" hidden="1" spans="1:26">
      <c r="A153" s="11" t="s">
        <v>935</v>
      </c>
      <c r="B153" s="11" t="s">
        <v>937</v>
      </c>
      <c r="C153" s="14" t="s">
        <v>836</v>
      </c>
      <c r="D153" s="14" t="s">
        <v>938</v>
      </c>
      <c r="E153" s="14" t="s">
        <v>939</v>
      </c>
      <c r="F153" s="3" t="s">
        <v>945</v>
      </c>
      <c r="G153" s="4">
        <v>0</v>
      </c>
      <c r="H153" s="12">
        <v>0</v>
      </c>
      <c r="I153" s="12">
        <v>-28.66895</v>
      </c>
      <c r="J153" s="13"/>
      <c r="K153" s="13"/>
      <c r="L153" s="12"/>
      <c r="M153" s="13"/>
      <c r="N153" s="13"/>
      <c r="O153" s="13"/>
      <c r="P153" s="13"/>
      <c r="Q153" s="13"/>
      <c r="R153" s="13"/>
      <c r="S153" s="13"/>
      <c r="T153" s="13"/>
      <c r="U153" s="13"/>
      <c r="V153" s="13"/>
      <c r="W153" s="13"/>
      <c r="X153" s="13"/>
      <c r="Y153" s="13"/>
      <c r="Z153" s="13"/>
    </row>
    <row r="154" s="2" customFormat="1" hidden="1" spans="1:26">
      <c r="A154" s="11" t="s">
        <v>935</v>
      </c>
      <c r="B154" s="11" t="s">
        <v>937</v>
      </c>
      <c r="C154" s="14" t="s">
        <v>838</v>
      </c>
      <c r="D154" s="14" t="s">
        <v>938</v>
      </c>
      <c r="E154" s="14" t="s">
        <v>939</v>
      </c>
      <c r="F154" s="3" t="s">
        <v>936</v>
      </c>
      <c r="G154" s="4">
        <v>70</v>
      </c>
      <c r="H154" s="12">
        <v>12371.24</v>
      </c>
      <c r="I154" s="12">
        <v>-133.994616</v>
      </c>
      <c r="J154" s="13">
        <v>-0.0108311386</v>
      </c>
      <c r="K154" s="13">
        <v>-0.0108311386</v>
      </c>
      <c r="L154" s="12">
        <v>25.99</v>
      </c>
      <c r="M154" s="13">
        <v>0.1285281895</v>
      </c>
      <c r="N154" s="13">
        <v>0.1024500387</v>
      </c>
      <c r="O154" s="13">
        <v>0.3169076018</v>
      </c>
      <c r="P154" s="13">
        <v>0</v>
      </c>
      <c r="Q154" s="13">
        <v>0.1428047442</v>
      </c>
      <c r="R154" s="13">
        <v>0.1916557801</v>
      </c>
      <c r="S154" s="13">
        <v>0</v>
      </c>
      <c r="T154" s="13">
        <v>0.1091628648</v>
      </c>
      <c r="U154" s="13">
        <v>0.01325447</v>
      </c>
      <c r="V154" s="13">
        <v>0</v>
      </c>
      <c r="W154" s="13">
        <v>0</v>
      </c>
      <c r="X154" s="13">
        <v>0</v>
      </c>
      <c r="Y154" s="13">
        <v>0</v>
      </c>
      <c r="Z154" s="13">
        <v>0.0060674491</v>
      </c>
    </row>
    <row r="155" s="2" customFormat="1" hidden="1" spans="1:26">
      <c r="A155" s="11" t="s">
        <v>935</v>
      </c>
      <c r="B155" s="11" t="s">
        <v>937</v>
      </c>
      <c r="C155" s="14" t="s">
        <v>838</v>
      </c>
      <c r="D155" s="14" t="s">
        <v>938</v>
      </c>
      <c r="E155" s="14" t="s">
        <v>939</v>
      </c>
      <c r="F155" s="3" t="s">
        <v>942</v>
      </c>
      <c r="G155" s="4">
        <v>23</v>
      </c>
      <c r="H155" s="12">
        <v>4064.836</v>
      </c>
      <c r="I155" s="12">
        <v>477.30846</v>
      </c>
      <c r="J155" s="13">
        <v>0.1174237927</v>
      </c>
      <c r="K155" s="13">
        <v>0.1174237927</v>
      </c>
      <c r="L155" s="12">
        <v>25.99</v>
      </c>
      <c r="M155" s="13">
        <v>0.1285281895</v>
      </c>
      <c r="N155" s="13">
        <v>0.0725723524</v>
      </c>
      <c r="O155" s="13">
        <v>0.3174130518</v>
      </c>
      <c r="P155" s="13">
        <v>0</v>
      </c>
      <c r="Q155" s="13">
        <v>0.0432996541</v>
      </c>
      <c r="R155" s="13">
        <v>0.1940580109</v>
      </c>
      <c r="S155" s="13">
        <v>0</v>
      </c>
      <c r="T155" s="13">
        <v>0.106964217</v>
      </c>
      <c r="U155" s="13">
        <v>0.01325447</v>
      </c>
      <c r="V155" s="13">
        <v>0</v>
      </c>
      <c r="W155" s="13">
        <v>0</v>
      </c>
      <c r="X155" s="13">
        <v>0</v>
      </c>
      <c r="Y155" s="13">
        <v>0</v>
      </c>
      <c r="Z155" s="13">
        <v>0.0064862611</v>
      </c>
    </row>
    <row r="156" s="2" customFormat="1" hidden="1" spans="1:26">
      <c r="A156" s="11" t="s">
        <v>935</v>
      </c>
      <c r="B156" s="11" t="s">
        <v>937</v>
      </c>
      <c r="C156" s="14" t="s">
        <v>838</v>
      </c>
      <c r="D156" s="14" t="s">
        <v>938</v>
      </c>
      <c r="E156" s="14" t="s">
        <v>939</v>
      </c>
      <c r="F156" s="3" t="s">
        <v>943</v>
      </c>
      <c r="G156" s="4">
        <v>19</v>
      </c>
      <c r="H156" s="12">
        <v>3357.908</v>
      </c>
      <c r="I156" s="12">
        <v>-274.788533</v>
      </c>
      <c r="J156" s="13">
        <v>-0.0818332524</v>
      </c>
      <c r="K156" s="13">
        <v>-0.0818332524</v>
      </c>
      <c r="L156" s="12">
        <v>25.99</v>
      </c>
      <c r="M156" s="13">
        <v>0.1285281895</v>
      </c>
      <c r="N156" s="13">
        <v>0.1170710341</v>
      </c>
      <c r="O156" s="13">
        <v>0.3166602539</v>
      </c>
      <c r="P156" s="13">
        <v>0</v>
      </c>
      <c r="Q156" s="13">
        <v>0.2455016111</v>
      </c>
      <c r="R156" s="13">
        <v>0.1366849827</v>
      </c>
      <c r="S156" s="13">
        <v>0</v>
      </c>
      <c r="T156" s="13">
        <v>0.1112573661</v>
      </c>
      <c r="U156" s="13">
        <v>0.01325447</v>
      </c>
      <c r="V156" s="13">
        <v>0</v>
      </c>
      <c r="W156" s="13">
        <v>0</v>
      </c>
      <c r="X156" s="13">
        <v>0</v>
      </c>
      <c r="Y156" s="13">
        <v>0</v>
      </c>
      <c r="Z156" s="13">
        <v>0.0128753447</v>
      </c>
    </row>
    <row r="157" s="2" customFormat="1" spans="1:26">
      <c r="A157" s="11" t="s">
        <v>935</v>
      </c>
      <c r="B157" s="11" t="s">
        <v>937</v>
      </c>
      <c r="C157" s="14" t="s">
        <v>838</v>
      </c>
      <c r="D157" s="14" t="s">
        <v>938</v>
      </c>
      <c r="E157" s="14" t="s">
        <v>939</v>
      </c>
      <c r="F157" s="3" t="s">
        <v>944</v>
      </c>
      <c r="G157" s="4">
        <v>22</v>
      </c>
      <c r="H157" s="12">
        <v>3888.104</v>
      </c>
      <c r="I157" s="12">
        <v>-406.290322</v>
      </c>
      <c r="J157" s="13">
        <v>-0.1044957444</v>
      </c>
      <c r="K157" s="13">
        <v>-0.1044957444</v>
      </c>
      <c r="L157" s="12">
        <v>25.99</v>
      </c>
      <c r="M157" s="13">
        <v>0.1285281895</v>
      </c>
      <c r="N157" s="13">
        <v>0.1170710341</v>
      </c>
      <c r="O157" s="13">
        <v>0.3166602539</v>
      </c>
      <c r="P157" s="13">
        <v>0</v>
      </c>
      <c r="Q157" s="13">
        <v>0.1970867926</v>
      </c>
      <c r="R157" s="13">
        <v>0.218873835</v>
      </c>
      <c r="S157" s="13">
        <v>0</v>
      </c>
      <c r="T157" s="13">
        <v>0.1116163559</v>
      </c>
      <c r="U157" s="13">
        <v>0.01325447</v>
      </c>
      <c r="V157" s="13">
        <v>0</v>
      </c>
      <c r="W157" s="13">
        <v>0</v>
      </c>
      <c r="X157" s="13">
        <v>0</v>
      </c>
      <c r="Y157" s="13">
        <v>0</v>
      </c>
      <c r="Z157" s="13">
        <v>0.0014048129</v>
      </c>
    </row>
    <row r="158" s="2" customFormat="1" hidden="1" spans="1:26">
      <c r="A158" s="11" t="s">
        <v>935</v>
      </c>
      <c r="B158" s="11" t="s">
        <v>937</v>
      </c>
      <c r="C158" s="14" t="s">
        <v>838</v>
      </c>
      <c r="D158" s="14" t="s">
        <v>938</v>
      </c>
      <c r="E158" s="14" t="s">
        <v>939</v>
      </c>
      <c r="F158" s="3" t="s">
        <v>945</v>
      </c>
      <c r="G158" s="4">
        <v>6</v>
      </c>
      <c r="H158" s="12">
        <v>1060.392</v>
      </c>
      <c r="I158" s="12">
        <v>69.775779</v>
      </c>
      <c r="J158" s="13">
        <v>0.0658018723</v>
      </c>
      <c r="K158" s="13">
        <v>0.0658018723</v>
      </c>
      <c r="L158" s="12">
        <v>25.99</v>
      </c>
      <c r="M158" s="13">
        <v>0.1285281895</v>
      </c>
      <c r="N158" s="13">
        <v>0.1170710341</v>
      </c>
      <c r="O158" s="13">
        <v>0.3166602539</v>
      </c>
      <c r="P158" s="13">
        <v>0</v>
      </c>
      <c r="Q158" s="13">
        <v>0</v>
      </c>
      <c r="R158" s="13">
        <v>0.2567218868</v>
      </c>
      <c r="S158" s="13">
        <v>0</v>
      </c>
      <c r="T158" s="13">
        <v>0.1019622931</v>
      </c>
      <c r="U158" s="13">
        <v>0.01325447</v>
      </c>
      <c r="V158" s="13">
        <v>0</v>
      </c>
      <c r="W158" s="13">
        <v>0</v>
      </c>
      <c r="X158" s="13">
        <v>0</v>
      </c>
      <c r="Y158" s="13">
        <v>0</v>
      </c>
      <c r="Z158" s="13">
        <v>0</v>
      </c>
    </row>
    <row r="159" s="2" customFormat="1" hidden="1" spans="1:26">
      <c r="A159" s="11" t="s">
        <v>935</v>
      </c>
      <c r="B159" s="11" t="s">
        <v>937</v>
      </c>
      <c r="C159" s="14" t="s">
        <v>840</v>
      </c>
      <c r="D159" s="14" t="s">
        <v>938</v>
      </c>
      <c r="E159" s="14" t="s">
        <v>939</v>
      </c>
      <c r="F159" s="3" t="s">
        <v>936</v>
      </c>
      <c r="G159" s="4">
        <v>35</v>
      </c>
      <c r="H159" s="12">
        <v>5691.328</v>
      </c>
      <c r="I159" s="12">
        <v>-2884.570407</v>
      </c>
      <c r="J159" s="13">
        <v>-0.5068360858</v>
      </c>
      <c r="K159" s="13">
        <v>-0.5068360858</v>
      </c>
      <c r="L159" s="12">
        <v>23.9131428571</v>
      </c>
      <c r="M159" s="13">
        <v>0.1170621215</v>
      </c>
      <c r="N159" s="13">
        <v>0.0646673438</v>
      </c>
      <c r="O159" s="13">
        <v>0.3197165933</v>
      </c>
      <c r="P159" s="13">
        <v>0.1700439686</v>
      </c>
      <c r="Q159" s="13">
        <v>0.1678710169</v>
      </c>
      <c r="R159" s="13">
        <v>0.6043291355</v>
      </c>
      <c r="S159" s="13">
        <v>0</v>
      </c>
      <c r="T159" s="13">
        <v>0.0673508889</v>
      </c>
      <c r="U159" s="13">
        <v>0.0120720348</v>
      </c>
      <c r="V159" s="13">
        <v>0</v>
      </c>
      <c r="W159" s="13">
        <v>-0.0216179939</v>
      </c>
      <c r="X159" s="13">
        <v>0</v>
      </c>
      <c r="Y159" s="13">
        <v>0</v>
      </c>
      <c r="Z159" s="13">
        <v>0.0053409759</v>
      </c>
    </row>
    <row r="160" s="2" customFormat="1" hidden="1" spans="1:26">
      <c r="A160" s="11" t="s">
        <v>935</v>
      </c>
      <c r="B160" s="11" t="s">
        <v>937</v>
      </c>
      <c r="C160" s="14" t="s">
        <v>840</v>
      </c>
      <c r="D160" s="14" t="s">
        <v>938</v>
      </c>
      <c r="E160" s="14" t="s">
        <v>939</v>
      </c>
      <c r="F160" s="3" t="s">
        <v>942</v>
      </c>
      <c r="G160" s="4">
        <v>14</v>
      </c>
      <c r="H160" s="12">
        <v>2474.248</v>
      </c>
      <c r="I160" s="12">
        <v>-912.157399</v>
      </c>
      <c r="J160" s="13">
        <v>-0.3686604572</v>
      </c>
      <c r="K160" s="13">
        <v>-0.3686604572</v>
      </c>
      <c r="L160" s="12">
        <v>25.99</v>
      </c>
      <c r="M160" s="13">
        <v>0.1077077043</v>
      </c>
      <c r="N160" s="13">
        <v>0.0488779281</v>
      </c>
      <c r="O160" s="13">
        <v>0.3022865937</v>
      </c>
      <c r="P160" s="13">
        <v>0</v>
      </c>
      <c r="Q160" s="13">
        <v>0.0098391636</v>
      </c>
      <c r="R160" s="13">
        <v>0.8363212834</v>
      </c>
      <c r="S160" s="13">
        <v>0</v>
      </c>
      <c r="T160" s="13">
        <v>0.0460341889</v>
      </c>
      <c r="U160" s="13">
        <v>0.0111073602</v>
      </c>
      <c r="V160" s="13">
        <v>0</v>
      </c>
      <c r="W160" s="13">
        <v>0</v>
      </c>
      <c r="X160" s="13">
        <v>0</v>
      </c>
      <c r="Y160" s="13">
        <v>0</v>
      </c>
      <c r="Z160" s="13">
        <v>0.0064862346</v>
      </c>
    </row>
    <row r="161" s="2" customFormat="1" hidden="1" spans="1:26">
      <c r="A161" s="11" t="s">
        <v>935</v>
      </c>
      <c r="B161" s="11" t="s">
        <v>937</v>
      </c>
      <c r="C161" s="14" t="s">
        <v>840</v>
      </c>
      <c r="D161" s="14" t="s">
        <v>938</v>
      </c>
      <c r="E161" s="14" t="s">
        <v>939</v>
      </c>
      <c r="F161" s="3" t="s">
        <v>943</v>
      </c>
      <c r="G161" s="4">
        <v>5</v>
      </c>
      <c r="H161" s="12">
        <v>878.22</v>
      </c>
      <c r="I161" s="12">
        <v>-1063.389648</v>
      </c>
      <c r="J161" s="13">
        <v>-1.2108465395</v>
      </c>
      <c r="K161" s="13">
        <v>-1.2108465395</v>
      </c>
      <c r="L161" s="12">
        <v>25.83</v>
      </c>
      <c r="M161" s="13">
        <v>0.1083748832</v>
      </c>
      <c r="N161" s="13">
        <v>0.0662709628</v>
      </c>
      <c r="O161" s="13">
        <v>0.3050716221</v>
      </c>
      <c r="P161" s="13">
        <v>0.402477739</v>
      </c>
      <c r="Q161" s="13">
        <v>0.5086241727</v>
      </c>
      <c r="R161" s="13">
        <v>0.8079941597</v>
      </c>
      <c r="S161" s="13">
        <v>0</v>
      </c>
      <c r="T161" s="13">
        <v>0.0578397212</v>
      </c>
      <c r="U161" s="13">
        <v>0.0111761631</v>
      </c>
      <c r="V161" s="13">
        <v>0</v>
      </c>
      <c r="W161" s="13">
        <v>-0.0698583384</v>
      </c>
      <c r="X161" s="13">
        <v>0</v>
      </c>
      <c r="Y161" s="13">
        <v>0</v>
      </c>
      <c r="Z161" s="13">
        <v>0.0128754537</v>
      </c>
    </row>
    <row r="162" s="2" customFormat="1" spans="1:26">
      <c r="A162" s="11" t="s">
        <v>935</v>
      </c>
      <c r="B162" s="11" t="s">
        <v>937</v>
      </c>
      <c r="C162" s="14" t="s">
        <v>840</v>
      </c>
      <c r="D162" s="14" t="s">
        <v>938</v>
      </c>
      <c r="E162" s="14" t="s">
        <v>939</v>
      </c>
      <c r="F162" s="3" t="s">
        <v>944</v>
      </c>
      <c r="G162" s="4">
        <v>15</v>
      </c>
      <c r="H162" s="12">
        <v>2164.848</v>
      </c>
      <c r="I162" s="12">
        <v>-969.96823</v>
      </c>
      <c r="J162" s="13">
        <v>-0.448053734</v>
      </c>
      <c r="K162" s="13">
        <v>-0.448053734</v>
      </c>
      <c r="L162" s="12">
        <v>21.224</v>
      </c>
      <c r="M162" s="13">
        <v>0.1318942346</v>
      </c>
      <c r="N162" s="13">
        <v>0.0818070414</v>
      </c>
      <c r="O162" s="13">
        <v>0.3465259454</v>
      </c>
      <c r="P162" s="13">
        <v>0.2837668048</v>
      </c>
      <c r="Q162" s="13">
        <v>0.2237480723</v>
      </c>
      <c r="R162" s="13">
        <v>0.3024555927</v>
      </c>
      <c r="S162" s="13">
        <v>0</v>
      </c>
      <c r="T162" s="13">
        <v>0.0913431335</v>
      </c>
      <c r="U162" s="13">
        <v>0.0136015969</v>
      </c>
      <c r="V162" s="13">
        <v>0</v>
      </c>
      <c r="W162" s="13">
        <v>-0.0284935034</v>
      </c>
      <c r="X162" s="13">
        <v>0</v>
      </c>
      <c r="Y162" s="13">
        <v>0</v>
      </c>
      <c r="Z162" s="13">
        <v>0.0014048154</v>
      </c>
    </row>
    <row r="163" s="2" customFormat="1" hidden="1" spans="1:26">
      <c r="A163" s="11" t="s">
        <v>935</v>
      </c>
      <c r="B163" s="11" t="s">
        <v>937</v>
      </c>
      <c r="C163" s="14" t="s">
        <v>840</v>
      </c>
      <c r="D163" s="14" t="s">
        <v>938</v>
      </c>
      <c r="E163" s="14" t="s">
        <v>939</v>
      </c>
      <c r="F163" s="3" t="s">
        <v>945</v>
      </c>
      <c r="G163" s="4">
        <v>1</v>
      </c>
      <c r="H163" s="12">
        <v>174.012</v>
      </c>
      <c r="I163" s="12">
        <v>60.94487</v>
      </c>
      <c r="J163" s="13">
        <v>0.3502337195</v>
      </c>
      <c r="K163" s="13">
        <v>0.3502337195</v>
      </c>
      <c r="L163" s="12">
        <v>25.59</v>
      </c>
      <c r="M163" s="13">
        <v>0.1093912948</v>
      </c>
      <c r="N163" s="13">
        <v>0.067849654</v>
      </c>
      <c r="O163" s="13">
        <v>0.3079327862</v>
      </c>
      <c r="P163" s="13">
        <v>0</v>
      </c>
      <c r="Q163" s="13">
        <v>0</v>
      </c>
      <c r="R163" s="13">
        <v>0.0333428269</v>
      </c>
      <c r="S163" s="13">
        <v>0</v>
      </c>
      <c r="T163" s="13">
        <v>0.1199687377</v>
      </c>
      <c r="U163" s="13">
        <v>0.0112809806</v>
      </c>
      <c r="V163" s="13">
        <v>0</v>
      </c>
      <c r="W163" s="13">
        <v>0</v>
      </c>
      <c r="X163" s="13">
        <v>0</v>
      </c>
      <c r="Y163" s="13">
        <v>0</v>
      </c>
      <c r="Z163" s="13">
        <v>0</v>
      </c>
    </row>
    <row r="164" s="2" customFormat="1" hidden="1" spans="1:26">
      <c r="A164" s="11" t="s">
        <v>935</v>
      </c>
      <c r="B164" s="11" t="s">
        <v>937</v>
      </c>
      <c r="C164" s="14" t="s">
        <v>842</v>
      </c>
      <c r="D164" s="14" t="s">
        <v>938</v>
      </c>
      <c r="E164" s="14" t="s">
        <v>939</v>
      </c>
      <c r="F164" s="3" t="s">
        <v>936</v>
      </c>
      <c r="G164" s="4">
        <v>147</v>
      </c>
      <c r="H164" s="12">
        <v>23552.14</v>
      </c>
      <c r="I164" s="12">
        <v>4575.190519</v>
      </c>
      <c r="J164" s="13">
        <v>0.1942579535</v>
      </c>
      <c r="K164" s="13">
        <v>0.1942579535</v>
      </c>
      <c r="L164" s="12">
        <v>23.5615646258</v>
      </c>
      <c r="M164" s="13">
        <v>0.129248164</v>
      </c>
      <c r="N164" s="13">
        <v>0.029722686</v>
      </c>
      <c r="O164" s="13">
        <v>0.3039020657</v>
      </c>
      <c r="P164" s="13">
        <v>0.0424246798</v>
      </c>
      <c r="Q164" s="13">
        <v>0.0163080799</v>
      </c>
      <c r="R164" s="13">
        <v>0.1614084943</v>
      </c>
      <c r="S164" s="13">
        <v>0</v>
      </c>
      <c r="T164" s="13">
        <v>0.113219096</v>
      </c>
      <c r="U164" s="13">
        <v>0.0133287176</v>
      </c>
      <c r="V164" s="13">
        <v>-0.006175167</v>
      </c>
      <c r="W164" s="13">
        <v>-0.0054299214</v>
      </c>
      <c r="X164" s="13">
        <v>0</v>
      </c>
      <c r="Y164" s="13">
        <v>0</v>
      </c>
      <c r="Z164" s="13">
        <v>0.0077851513</v>
      </c>
    </row>
    <row r="165" s="2" customFormat="1" hidden="1" spans="1:26">
      <c r="A165" s="11" t="s">
        <v>935</v>
      </c>
      <c r="B165" s="11" t="s">
        <v>937</v>
      </c>
      <c r="C165" s="14" t="s">
        <v>842</v>
      </c>
      <c r="D165" s="14" t="s">
        <v>938</v>
      </c>
      <c r="E165" s="14" t="s">
        <v>939</v>
      </c>
      <c r="F165" s="3" t="s">
        <v>940</v>
      </c>
      <c r="G165" s="4">
        <v>1</v>
      </c>
      <c r="H165" s="12">
        <v>163.132</v>
      </c>
      <c r="I165" s="12">
        <v>-87.45329</v>
      </c>
      <c r="J165" s="13">
        <v>-0.536089118</v>
      </c>
      <c r="K165" s="13">
        <v>-0.536089118</v>
      </c>
      <c r="L165" s="12">
        <v>23.99</v>
      </c>
      <c r="M165" s="13">
        <v>0.126939932</v>
      </c>
      <c r="N165" s="13">
        <v>0.0352867677</v>
      </c>
      <c r="O165" s="13">
        <v>0.2780325135</v>
      </c>
      <c r="P165" s="13">
        <v>0</v>
      </c>
      <c r="Q165" s="13">
        <v>0.0008191771</v>
      </c>
      <c r="R165" s="13">
        <v>1.0690734865</v>
      </c>
      <c r="S165" s="13">
        <v>0</v>
      </c>
      <c r="T165" s="13">
        <v>0.0125052105</v>
      </c>
      <c r="U165" s="13">
        <v>0.0130906811</v>
      </c>
      <c r="V165" s="13">
        <v>0</v>
      </c>
      <c r="W165" s="13">
        <v>0</v>
      </c>
      <c r="X165" s="13">
        <v>0</v>
      </c>
      <c r="Y165" s="13">
        <v>0</v>
      </c>
      <c r="Z165" s="13">
        <v>0.0003413493</v>
      </c>
    </row>
    <row r="166" s="2" customFormat="1" hidden="1" spans="1:26">
      <c r="A166" s="11" t="s">
        <v>935</v>
      </c>
      <c r="B166" s="11" t="s">
        <v>937</v>
      </c>
      <c r="C166" s="14" t="s">
        <v>842</v>
      </c>
      <c r="D166" s="14" t="s">
        <v>938</v>
      </c>
      <c r="E166" s="14" t="s">
        <v>939</v>
      </c>
      <c r="F166" s="3" t="s">
        <v>941</v>
      </c>
      <c r="G166" s="4">
        <v>21</v>
      </c>
      <c r="H166" s="12">
        <v>3344.172</v>
      </c>
      <c r="I166" s="12">
        <v>524.319254</v>
      </c>
      <c r="J166" s="13">
        <v>0.1567859709</v>
      </c>
      <c r="K166" s="13">
        <v>0.1567859709</v>
      </c>
      <c r="L166" s="12">
        <v>23.4185714285</v>
      </c>
      <c r="M166" s="13">
        <v>0.13003735</v>
      </c>
      <c r="N166" s="13">
        <v>0.0361477818</v>
      </c>
      <c r="O166" s="13">
        <v>0.3009617926</v>
      </c>
      <c r="P166" s="13">
        <v>0</v>
      </c>
      <c r="Q166" s="13">
        <v>0.0088302751</v>
      </c>
      <c r="R166" s="13">
        <v>0.2431187689</v>
      </c>
      <c r="S166" s="13">
        <v>0</v>
      </c>
      <c r="T166" s="13">
        <v>0.1053701783</v>
      </c>
      <c r="U166" s="13">
        <v>0.0134101024</v>
      </c>
      <c r="V166" s="13">
        <v>0</v>
      </c>
      <c r="W166" s="13">
        <v>0</v>
      </c>
      <c r="X166" s="13">
        <v>0</v>
      </c>
      <c r="Y166" s="13">
        <v>0</v>
      </c>
      <c r="Z166" s="13">
        <v>0.0053377795</v>
      </c>
    </row>
    <row r="167" s="2" customFormat="1" hidden="1" spans="1:26">
      <c r="A167" s="11" t="s">
        <v>935</v>
      </c>
      <c r="B167" s="11" t="s">
        <v>937</v>
      </c>
      <c r="C167" s="14" t="s">
        <v>842</v>
      </c>
      <c r="D167" s="14" t="s">
        <v>938</v>
      </c>
      <c r="E167" s="14" t="s">
        <v>939</v>
      </c>
      <c r="F167" s="3" t="s">
        <v>942</v>
      </c>
      <c r="G167" s="4">
        <v>62</v>
      </c>
      <c r="H167" s="12">
        <v>9515.852</v>
      </c>
      <c r="I167" s="12">
        <v>1859.910122</v>
      </c>
      <c r="J167" s="13">
        <v>0.1954538723</v>
      </c>
      <c r="K167" s="13">
        <v>0.1954538723</v>
      </c>
      <c r="L167" s="12">
        <v>22.5708064516</v>
      </c>
      <c r="M167" s="13">
        <v>0.1349215845</v>
      </c>
      <c r="N167" s="13">
        <v>0.0203904335</v>
      </c>
      <c r="O167" s="13">
        <v>0.3182100772</v>
      </c>
      <c r="P167" s="13">
        <v>0.0342863676</v>
      </c>
      <c r="Q167" s="13">
        <v>0.0152340595</v>
      </c>
      <c r="R167" s="13">
        <v>0.1491841181</v>
      </c>
      <c r="S167" s="13">
        <v>0</v>
      </c>
      <c r="T167" s="13">
        <v>0.1169295192</v>
      </c>
      <c r="U167" s="13">
        <v>0.0139137891</v>
      </c>
      <c r="V167" s="13">
        <v>0</v>
      </c>
      <c r="W167" s="13">
        <v>-0.005010065</v>
      </c>
      <c r="X167" s="13">
        <v>0</v>
      </c>
      <c r="Y167" s="13">
        <v>0</v>
      </c>
      <c r="Z167" s="13">
        <v>0.0064862437</v>
      </c>
    </row>
    <row r="168" s="2" customFormat="1" hidden="1" spans="1:26">
      <c r="A168" s="11" t="s">
        <v>935</v>
      </c>
      <c r="B168" s="11" t="s">
        <v>937</v>
      </c>
      <c r="C168" s="14" t="s">
        <v>842</v>
      </c>
      <c r="D168" s="14" t="s">
        <v>938</v>
      </c>
      <c r="E168" s="14" t="s">
        <v>939</v>
      </c>
      <c r="F168" s="3" t="s">
        <v>943</v>
      </c>
      <c r="G168" s="4">
        <v>47</v>
      </c>
      <c r="H168" s="12">
        <v>7776.004</v>
      </c>
      <c r="I168" s="12">
        <v>1614.765883</v>
      </c>
      <c r="J168" s="13">
        <v>0.2076601147</v>
      </c>
      <c r="K168" s="13">
        <v>0.2076601147</v>
      </c>
      <c r="L168" s="12">
        <v>24.3304255319</v>
      </c>
      <c r="M168" s="13">
        <v>0.1251638187</v>
      </c>
      <c r="N168" s="13">
        <v>0.0362502242</v>
      </c>
      <c r="O168" s="13">
        <v>0.3000358538</v>
      </c>
      <c r="P168" s="13">
        <v>0.0419577973</v>
      </c>
      <c r="Q168" s="13">
        <v>0.0196367855</v>
      </c>
      <c r="R168" s="13">
        <v>0.1343544867</v>
      </c>
      <c r="S168" s="13">
        <v>0</v>
      </c>
      <c r="T168" s="13">
        <v>0.1160266892</v>
      </c>
      <c r="U168" s="13">
        <v>0.0129075194</v>
      </c>
      <c r="V168" s="13">
        <v>0</v>
      </c>
      <c r="W168" s="13">
        <v>-0.0068686826</v>
      </c>
      <c r="X168" s="13">
        <v>0</v>
      </c>
      <c r="Y168" s="13">
        <v>0</v>
      </c>
      <c r="Z168" s="13">
        <v>0.0128753926</v>
      </c>
    </row>
    <row r="169" s="2" customFormat="1" spans="1:26">
      <c r="A169" s="11" t="s">
        <v>935</v>
      </c>
      <c r="B169" s="11" t="s">
        <v>937</v>
      </c>
      <c r="C169" s="14" t="s">
        <v>842</v>
      </c>
      <c r="D169" s="14" t="s">
        <v>938</v>
      </c>
      <c r="E169" s="14" t="s">
        <v>939</v>
      </c>
      <c r="F169" s="3" t="s">
        <v>944</v>
      </c>
      <c r="G169" s="4">
        <v>14</v>
      </c>
      <c r="H169" s="12">
        <v>2569.448</v>
      </c>
      <c r="I169" s="12">
        <v>617.646574</v>
      </c>
      <c r="J169" s="13">
        <v>0.2403810367</v>
      </c>
      <c r="K169" s="13">
        <v>0.2403810367</v>
      </c>
      <c r="L169" s="12">
        <v>26.99</v>
      </c>
      <c r="M169" s="13">
        <v>0.1128302693</v>
      </c>
      <c r="N169" s="13">
        <v>0.0331951049</v>
      </c>
      <c r="O169" s="13">
        <v>0.2704705446</v>
      </c>
      <c r="P169" s="13">
        <v>0.1349176943</v>
      </c>
      <c r="Q169" s="13">
        <v>0.0220926086</v>
      </c>
      <c r="R169" s="13">
        <v>0.133002504</v>
      </c>
      <c r="S169" s="13">
        <v>0</v>
      </c>
      <c r="T169" s="13">
        <v>0.1071031599</v>
      </c>
      <c r="U169" s="13">
        <v>0.0116356221</v>
      </c>
      <c r="V169" s="13">
        <v>-0.0566029746</v>
      </c>
      <c r="W169" s="13">
        <v>-0.0104303838</v>
      </c>
      <c r="X169" s="13">
        <v>0</v>
      </c>
      <c r="Y169" s="13">
        <v>0</v>
      </c>
      <c r="Z169" s="13">
        <v>0.0014048137</v>
      </c>
    </row>
    <row r="170" s="2" customFormat="1" hidden="1" spans="1:26">
      <c r="A170" s="11" t="s">
        <v>935</v>
      </c>
      <c r="B170" s="11" t="s">
        <v>937</v>
      </c>
      <c r="C170" s="14" t="s">
        <v>842</v>
      </c>
      <c r="D170" s="14" t="s">
        <v>938</v>
      </c>
      <c r="E170" s="14" t="s">
        <v>939</v>
      </c>
      <c r="F170" s="3" t="s">
        <v>945</v>
      </c>
      <c r="G170" s="4">
        <v>2</v>
      </c>
      <c r="H170" s="12">
        <v>183.532</v>
      </c>
      <c r="I170" s="12">
        <v>46.001976</v>
      </c>
      <c r="J170" s="13">
        <v>0.2506482575</v>
      </c>
      <c r="K170" s="13">
        <v>0.2506482575</v>
      </c>
      <c r="L170" s="12">
        <v>13.495</v>
      </c>
      <c r="M170" s="13">
        <v>0.2256605387</v>
      </c>
      <c r="N170" s="13">
        <v>0.0663902098</v>
      </c>
      <c r="O170" s="13">
        <v>0.2704705446</v>
      </c>
      <c r="P170" s="13">
        <v>0</v>
      </c>
      <c r="Q170" s="13">
        <v>0</v>
      </c>
      <c r="R170" s="13">
        <v>0.043514744</v>
      </c>
      <c r="S170" s="13">
        <v>0</v>
      </c>
      <c r="T170" s="13">
        <v>0.1200444609</v>
      </c>
      <c r="U170" s="13">
        <v>0.0232712442</v>
      </c>
      <c r="V170" s="13">
        <v>0</v>
      </c>
      <c r="W170" s="13">
        <v>0</v>
      </c>
      <c r="X170" s="13">
        <v>0</v>
      </c>
      <c r="Y170" s="13">
        <v>0</v>
      </c>
      <c r="Z170" s="13">
        <v>0</v>
      </c>
    </row>
    <row r="171" s="2" customFormat="1" hidden="1" spans="1:26">
      <c r="A171" s="11" t="s">
        <v>935</v>
      </c>
      <c r="B171" s="11" t="s">
        <v>937</v>
      </c>
      <c r="C171" s="14" t="s">
        <v>844</v>
      </c>
      <c r="D171" s="14" t="s">
        <v>938</v>
      </c>
      <c r="E171" s="14" t="s">
        <v>939</v>
      </c>
      <c r="F171" s="3" t="s">
        <v>936</v>
      </c>
      <c r="G171" s="4">
        <v>216</v>
      </c>
      <c r="H171" s="12">
        <v>36720</v>
      </c>
      <c r="I171" s="12">
        <v>5352.211274</v>
      </c>
      <c r="J171" s="13">
        <v>0.1457573876</v>
      </c>
      <c r="K171" s="13">
        <v>0.1457573876</v>
      </c>
      <c r="L171" s="12">
        <v>25</v>
      </c>
      <c r="M171" s="13">
        <v>0.1557313882</v>
      </c>
      <c r="N171" s="13">
        <v>0.0597626719</v>
      </c>
      <c r="O171" s="13">
        <v>0.3151</v>
      </c>
      <c r="P171" s="13">
        <v>0.0096259259</v>
      </c>
      <c r="Q171" s="13">
        <v>0.040673893</v>
      </c>
      <c r="R171" s="13">
        <v>0.1503690824</v>
      </c>
      <c r="S171" s="13">
        <v>0</v>
      </c>
      <c r="T171" s="13">
        <v>0.1124314814</v>
      </c>
      <c r="U171" s="13">
        <v>0.0160598</v>
      </c>
      <c r="V171" s="13">
        <v>-0.0091329629</v>
      </c>
      <c r="W171" s="13">
        <v>-0.0021211224</v>
      </c>
      <c r="X171" s="13">
        <v>0</v>
      </c>
      <c r="Y171" s="13">
        <v>0</v>
      </c>
      <c r="Z171" s="13">
        <v>0.0057424545</v>
      </c>
    </row>
    <row r="172" s="2" customFormat="1" hidden="1" spans="1:26">
      <c r="A172" s="11" t="s">
        <v>935</v>
      </c>
      <c r="B172" s="11" t="s">
        <v>937</v>
      </c>
      <c r="C172" s="14" t="s">
        <v>844</v>
      </c>
      <c r="D172" s="14" t="s">
        <v>938</v>
      </c>
      <c r="E172" s="14" t="s">
        <v>939</v>
      </c>
      <c r="F172" s="3" t="s">
        <v>940</v>
      </c>
      <c r="G172" s="4">
        <v>2</v>
      </c>
      <c r="H172" s="12">
        <v>353.464</v>
      </c>
      <c r="I172" s="12">
        <v>54.652755</v>
      </c>
      <c r="J172" s="13">
        <v>0.1546204281</v>
      </c>
      <c r="K172" s="13">
        <v>0.1546204281</v>
      </c>
      <c r="L172" s="12">
        <v>25.99</v>
      </c>
      <c r="M172" s="13">
        <v>0.1497993345</v>
      </c>
      <c r="N172" s="13">
        <v>0.0515764604</v>
      </c>
      <c r="O172" s="13">
        <v>0.289726818</v>
      </c>
      <c r="P172" s="13">
        <v>0</v>
      </c>
      <c r="Q172" s="13">
        <v>0.0008192432</v>
      </c>
      <c r="R172" s="13">
        <v>0.2295497504</v>
      </c>
      <c r="S172" s="13">
        <v>0</v>
      </c>
      <c r="T172" s="13">
        <v>0.1081185071</v>
      </c>
      <c r="U172" s="13">
        <v>0.0154480569</v>
      </c>
      <c r="V172" s="13">
        <v>0</v>
      </c>
      <c r="W172" s="13">
        <v>0</v>
      </c>
      <c r="X172" s="13">
        <v>0</v>
      </c>
      <c r="Y172" s="13">
        <v>0</v>
      </c>
      <c r="Z172" s="13">
        <v>0.0003414011</v>
      </c>
    </row>
    <row r="173" s="2" customFormat="1" hidden="1" spans="1:26">
      <c r="A173" s="11" t="s">
        <v>935</v>
      </c>
      <c r="B173" s="11" t="s">
        <v>937</v>
      </c>
      <c r="C173" s="14" t="s">
        <v>844</v>
      </c>
      <c r="D173" s="14" t="s">
        <v>938</v>
      </c>
      <c r="E173" s="14" t="s">
        <v>939</v>
      </c>
      <c r="F173" s="3" t="s">
        <v>941</v>
      </c>
      <c r="G173" s="4">
        <v>26</v>
      </c>
      <c r="H173" s="12">
        <v>4581.432</v>
      </c>
      <c r="I173" s="12">
        <v>602.223185</v>
      </c>
      <c r="J173" s="13">
        <v>0.1314486791</v>
      </c>
      <c r="K173" s="13">
        <v>0.1314486791</v>
      </c>
      <c r="L173" s="12">
        <v>25.913076923</v>
      </c>
      <c r="M173" s="13">
        <v>0.1502440145</v>
      </c>
      <c r="N173" s="13">
        <v>0.0513707923</v>
      </c>
      <c r="O173" s="13">
        <v>0.3043755751</v>
      </c>
      <c r="P173" s="13">
        <v>0</v>
      </c>
      <c r="Q173" s="13">
        <v>0.0275882804</v>
      </c>
      <c r="R173" s="13">
        <v>0.210940916</v>
      </c>
      <c r="S173" s="13">
        <v>0</v>
      </c>
      <c r="T173" s="13">
        <v>0.1032000474</v>
      </c>
      <c r="U173" s="13">
        <v>0.0154939145</v>
      </c>
      <c r="V173" s="13">
        <v>0</v>
      </c>
      <c r="W173" s="13">
        <v>0</v>
      </c>
      <c r="X173" s="13">
        <v>0</v>
      </c>
      <c r="Y173" s="13">
        <v>0</v>
      </c>
      <c r="Z173" s="13">
        <v>0.0053377801</v>
      </c>
    </row>
    <row r="174" s="2" customFormat="1" hidden="1" spans="1:26">
      <c r="A174" s="11" t="s">
        <v>935</v>
      </c>
      <c r="B174" s="11" t="s">
        <v>937</v>
      </c>
      <c r="C174" s="14" t="s">
        <v>844</v>
      </c>
      <c r="D174" s="14" t="s">
        <v>938</v>
      </c>
      <c r="E174" s="14" t="s">
        <v>939</v>
      </c>
      <c r="F174" s="3" t="s">
        <v>942</v>
      </c>
      <c r="G174" s="4">
        <v>74</v>
      </c>
      <c r="H174" s="12">
        <v>11895.988</v>
      </c>
      <c r="I174" s="12">
        <v>1859.682966</v>
      </c>
      <c r="J174" s="13">
        <v>0.1563285845</v>
      </c>
      <c r="K174" s="13">
        <v>0.1563285845</v>
      </c>
      <c r="L174" s="12">
        <v>23.6406756756</v>
      </c>
      <c r="M174" s="13">
        <v>0.1646858473</v>
      </c>
      <c r="N174" s="13">
        <v>0.0513745207</v>
      </c>
      <c r="O174" s="13">
        <v>0.3321576988</v>
      </c>
      <c r="P174" s="13">
        <v>0</v>
      </c>
      <c r="Q174" s="13">
        <v>0.0330084976</v>
      </c>
      <c r="R174" s="13">
        <v>0.1204382716</v>
      </c>
      <c r="S174" s="13">
        <v>0</v>
      </c>
      <c r="T174" s="13">
        <v>0.1185371067</v>
      </c>
      <c r="U174" s="13">
        <v>0.0169832286</v>
      </c>
      <c r="V174" s="13">
        <v>0</v>
      </c>
      <c r="W174" s="13">
        <v>0</v>
      </c>
      <c r="X174" s="13">
        <v>0</v>
      </c>
      <c r="Y174" s="13">
        <v>0</v>
      </c>
      <c r="Z174" s="13">
        <v>0.0064862437</v>
      </c>
    </row>
    <row r="175" s="2" customFormat="1" hidden="1" spans="1:26">
      <c r="A175" s="11" t="s">
        <v>935</v>
      </c>
      <c r="B175" s="11" t="s">
        <v>937</v>
      </c>
      <c r="C175" s="14" t="s">
        <v>844</v>
      </c>
      <c r="D175" s="14" t="s">
        <v>938</v>
      </c>
      <c r="E175" s="14" t="s">
        <v>939</v>
      </c>
      <c r="F175" s="3" t="s">
        <v>943</v>
      </c>
      <c r="G175" s="4">
        <v>41</v>
      </c>
      <c r="H175" s="12">
        <v>7164.412</v>
      </c>
      <c r="I175" s="12">
        <v>1158.218331</v>
      </c>
      <c r="J175" s="13">
        <v>0.1616627199</v>
      </c>
      <c r="K175" s="13">
        <v>0.1616627199</v>
      </c>
      <c r="L175" s="12">
        <v>25.6973170731</v>
      </c>
      <c r="M175" s="13">
        <v>0.1515054935</v>
      </c>
      <c r="N175" s="13">
        <v>0.0585506477</v>
      </c>
      <c r="O175" s="13">
        <v>0.3097599635</v>
      </c>
      <c r="P175" s="13">
        <v>0</v>
      </c>
      <c r="Q175" s="13">
        <v>0.0693182975</v>
      </c>
      <c r="R175" s="13">
        <v>0.1209872795</v>
      </c>
      <c r="S175" s="13">
        <v>0</v>
      </c>
      <c r="T175" s="13">
        <v>0.1138678233</v>
      </c>
      <c r="U175" s="13">
        <v>0.0156240045</v>
      </c>
      <c r="V175" s="13">
        <v>-0.0141516149</v>
      </c>
      <c r="W175" s="13">
        <v>0</v>
      </c>
      <c r="X175" s="13">
        <v>0</v>
      </c>
      <c r="Y175" s="13">
        <v>0</v>
      </c>
      <c r="Z175" s="13">
        <v>0.012875385</v>
      </c>
    </row>
    <row r="176" s="2" customFormat="1" spans="1:26">
      <c r="A176" s="11" t="s">
        <v>935</v>
      </c>
      <c r="B176" s="11" t="s">
        <v>937</v>
      </c>
      <c r="C176" s="14" t="s">
        <v>844</v>
      </c>
      <c r="D176" s="14" t="s">
        <v>938</v>
      </c>
      <c r="E176" s="14" t="s">
        <v>939</v>
      </c>
      <c r="F176" s="3" t="s">
        <v>944</v>
      </c>
      <c r="G176" s="4">
        <v>69</v>
      </c>
      <c r="H176" s="12">
        <v>12017.776</v>
      </c>
      <c r="I176" s="12">
        <v>1625.157448</v>
      </c>
      <c r="J176" s="13">
        <v>0.1352294674</v>
      </c>
      <c r="K176" s="13">
        <v>0.1352294674</v>
      </c>
      <c r="L176" s="12">
        <v>25.6133333333</v>
      </c>
      <c r="M176" s="13">
        <v>0.1520022659</v>
      </c>
      <c r="N176" s="13">
        <v>0.0715934102</v>
      </c>
      <c r="O176" s="13">
        <v>0.3067525971</v>
      </c>
      <c r="P176" s="13">
        <v>0.0294117647</v>
      </c>
      <c r="Q176" s="13">
        <v>0.0397385018</v>
      </c>
      <c r="R176" s="13">
        <v>0.1648861826</v>
      </c>
      <c r="S176" s="13">
        <v>0</v>
      </c>
      <c r="T176" s="13">
        <v>0.1092558223</v>
      </c>
      <c r="U176" s="13">
        <v>0.0156752342</v>
      </c>
      <c r="V176" s="13">
        <v>-0.0194690265</v>
      </c>
      <c r="W176" s="13">
        <v>-0.006481034</v>
      </c>
      <c r="X176" s="13">
        <v>0</v>
      </c>
      <c r="Y176" s="13">
        <v>0</v>
      </c>
      <c r="Z176" s="13">
        <v>0.0014048139</v>
      </c>
    </row>
    <row r="177" s="2" customFormat="1" hidden="1" spans="1:26">
      <c r="A177" s="11" t="s">
        <v>935</v>
      </c>
      <c r="B177" s="11" t="s">
        <v>937</v>
      </c>
      <c r="C177" s="14" t="s">
        <v>844</v>
      </c>
      <c r="D177" s="14" t="s">
        <v>938</v>
      </c>
      <c r="E177" s="14" t="s">
        <v>939</v>
      </c>
      <c r="F177" s="3" t="s">
        <v>945</v>
      </c>
      <c r="G177" s="4">
        <v>4</v>
      </c>
      <c r="H177" s="12">
        <v>706.928</v>
      </c>
      <c r="I177" s="12">
        <v>52.276589</v>
      </c>
      <c r="J177" s="13">
        <v>0.073948958</v>
      </c>
      <c r="K177" s="13">
        <v>0.073948958</v>
      </c>
      <c r="L177" s="12">
        <v>25.99</v>
      </c>
      <c r="M177" s="13">
        <v>0.1497993345</v>
      </c>
      <c r="N177" s="13">
        <v>0.0705558246</v>
      </c>
      <c r="O177" s="13">
        <v>0.3062716429</v>
      </c>
      <c r="P177" s="13">
        <v>0</v>
      </c>
      <c r="Q177" s="13">
        <v>0</v>
      </c>
      <c r="R177" s="13">
        <v>0.2728757595</v>
      </c>
      <c r="S177" s="13">
        <v>0</v>
      </c>
      <c r="T177" s="13">
        <v>0.1111004232</v>
      </c>
      <c r="U177" s="13">
        <v>0.0154480569</v>
      </c>
      <c r="V177" s="13">
        <v>0</v>
      </c>
      <c r="W177" s="13">
        <v>0</v>
      </c>
      <c r="X177" s="13">
        <v>0</v>
      </c>
      <c r="Y177" s="13">
        <v>0</v>
      </c>
      <c r="Z177" s="13">
        <v>0</v>
      </c>
    </row>
    <row r="178" s="2" customFormat="1" hidden="1" spans="1:26">
      <c r="A178" s="11" t="s">
        <v>935</v>
      </c>
      <c r="B178" s="11" t="s">
        <v>937</v>
      </c>
      <c r="C178" s="14" t="s">
        <v>846</v>
      </c>
      <c r="D178" s="14" t="s">
        <v>938</v>
      </c>
      <c r="E178" s="14" t="s">
        <v>939</v>
      </c>
      <c r="F178" s="3" t="s">
        <v>936</v>
      </c>
      <c r="G178" s="4">
        <v>185</v>
      </c>
      <c r="H178" s="12">
        <v>30639.032</v>
      </c>
      <c r="I178" s="12">
        <v>2165.158608</v>
      </c>
      <c r="J178" s="13">
        <v>0.0706666779</v>
      </c>
      <c r="K178" s="13">
        <v>0.0706666779</v>
      </c>
      <c r="L178" s="12">
        <v>24.3553513513</v>
      </c>
      <c r="M178" s="13">
        <v>0.1351217623</v>
      </c>
      <c r="N178" s="13">
        <v>0.0444312863</v>
      </c>
      <c r="O178" s="13">
        <v>0.3246458961</v>
      </c>
      <c r="P178" s="13">
        <v>0.0279532329</v>
      </c>
      <c r="Q178" s="13">
        <v>0.0181889326</v>
      </c>
      <c r="R178" s="13">
        <v>0.24728417</v>
      </c>
      <c r="S178" s="13">
        <v>0</v>
      </c>
      <c r="T178" s="13">
        <v>0.1120592843</v>
      </c>
      <c r="U178" s="13">
        <v>0.0139344347</v>
      </c>
      <c r="V178" s="13">
        <v>0.0001864288</v>
      </c>
      <c r="W178" s="13">
        <v>-0.001981582</v>
      </c>
      <c r="X178" s="13">
        <v>0</v>
      </c>
      <c r="Y178" s="13">
        <v>0</v>
      </c>
      <c r="Z178" s="13">
        <v>0.0075094755</v>
      </c>
    </row>
    <row r="179" s="2" customFormat="1" hidden="1" spans="1:26">
      <c r="A179" s="11" t="s">
        <v>935</v>
      </c>
      <c r="B179" s="11" t="s">
        <v>937</v>
      </c>
      <c r="C179" s="14" t="s">
        <v>846</v>
      </c>
      <c r="D179" s="14" t="s">
        <v>938</v>
      </c>
      <c r="E179" s="14" t="s">
        <v>939</v>
      </c>
      <c r="F179" s="3" t="s">
        <v>941</v>
      </c>
      <c r="G179" s="4">
        <v>19</v>
      </c>
      <c r="H179" s="12">
        <v>2881.908</v>
      </c>
      <c r="I179" s="12">
        <v>51.487229</v>
      </c>
      <c r="J179" s="13">
        <v>0.017865674</v>
      </c>
      <c r="K179" s="13">
        <v>0.017865674</v>
      </c>
      <c r="L179" s="12">
        <v>22.3057894736</v>
      </c>
      <c r="M179" s="13">
        <v>0.1483392252</v>
      </c>
      <c r="N179" s="13">
        <v>0.0640657796</v>
      </c>
      <c r="O179" s="13">
        <v>0.3524456714</v>
      </c>
      <c r="P179" s="13">
        <v>0</v>
      </c>
      <c r="Q179" s="13">
        <v>0.0017910974</v>
      </c>
      <c r="R179" s="13">
        <v>0.2910843669</v>
      </c>
      <c r="S179" s="13">
        <v>0</v>
      </c>
      <c r="T179" s="13">
        <v>0.1037729171</v>
      </c>
      <c r="U179" s="13">
        <v>0.0152974859</v>
      </c>
      <c r="V179" s="13">
        <v>0</v>
      </c>
      <c r="W179" s="13">
        <v>0</v>
      </c>
      <c r="X179" s="13">
        <v>0</v>
      </c>
      <c r="Y179" s="13">
        <v>0</v>
      </c>
      <c r="Z179" s="13">
        <v>0.0053377821</v>
      </c>
    </row>
    <row r="180" s="2" customFormat="1" hidden="1" spans="1:26">
      <c r="A180" s="11" t="s">
        <v>935</v>
      </c>
      <c r="B180" s="11" t="s">
        <v>937</v>
      </c>
      <c r="C180" s="14" t="s">
        <v>846</v>
      </c>
      <c r="D180" s="14" t="s">
        <v>938</v>
      </c>
      <c r="E180" s="14" t="s">
        <v>939</v>
      </c>
      <c r="F180" s="3" t="s">
        <v>942</v>
      </c>
      <c r="G180" s="4">
        <v>111</v>
      </c>
      <c r="H180" s="12">
        <v>17506.464</v>
      </c>
      <c r="I180" s="12">
        <v>962.238803</v>
      </c>
      <c r="J180" s="13">
        <v>0.054964772</v>
      </c>
      <c r="K180" s="13">
        <v>0.054964772</v>
      </c>
      <c r="L180" s="12">
        <v>23.1935135135</v>
      </c>
      <c r="M180" s="13">
        <v>0.141376351</v>
      </c>
      <c r="N180" s="13">
        <v>0.0425312404</v>
      </c>
      <c r="O180" s="13">
        <v>0.3401075168</v>
      </c>
      <c r="P180" s="13">
        <v>0.0178599173</v>
      </c>
      <c r="Q180" s="13">
        <v>0.0120476515</v>
      </c>
      <c r="R180" s="13">
        <v>0.257985401</v>
      </c>
      <c r="S180" s="13">
        <v>0</v>
      </c>
      <c r="T180" s="13">
        <v>0.1117351853</v>
      </c>
      <c r="U180" s="13">
        <v>0.0145794393</v>
      </c>
      <c r="V180" s="13">
        <v>0.0003262794</v>
      </c>
      <c r="W180" s="13">
        <v>0</v>
      </c>
      <c r="X180" s="13">
        <v>0</v>
      </c>
      <c r="Y180" s="13">
        <v>0</v>
      </c>
      <c r="Z180" s="13">
        <v>0.0064862453</v>
      </c>
    </row>
    <row r="181" s="2" customFormat="1" hidden="1" spans="1:26">
      <c r="A181" s="11" t="s">
        <v>935</v>
      </c>
      <c r="B181" s="11" t="s">
        <v>937</v>
      </c>
      <c r="C181" s="14" t="s">
        <v>846</v>
      </c>
      <c r="D181" s="14" t="s">
        <v>938</v>
      </c>
      <c r="E181" s="14" t="s">
        <v>939</v>
      </c>
      <c r="F181" s="3" t="s">
        <v>943</v>
      </c>
      <c r="G181" s="4">
        <v>41</v>
      </c>
      <c r="H181" s="12">
        <v>7586.012</v>
      </c>
      <c r="I181" s="12">
        <v>513.618001</v>
      </c>
      <c r="J181" s="13">
        <v>0.0677059304</v>
      </c>
      <c r="K181" s="13">
        <v>0.0677059304</v>
      </c>
      <c r="L181" s="12">
        <v>27.2095121951</v>
      </c>
      <c r="M181" s="13">
        <v>0.1216053968</v>
      </c>
      <c r="N181" s="13">
        <v>0.0424639452</v>
      </c>
      <c r="O181" s="13">
        <v>0.2925447521</v>
      </c>
      <c r="P181" s="13">
        <v>0.0716840416</v>
      </c>
      <c r="Q181" s="13">
        <v>0.033179651</v>
      </c>
      <c r="R181" s="13">
        <v>0.2362511315</v>
      </c>
      <c r="S181" s="13">
        <v>0</v>
      </c>
      <c r="T181" s="13">
        <v>0.1131508887</v>
      </c>
      <c r="U181" s="13">
        <v>0.0125405592</v>
      </c>
      <c r="V181" s="13">
        <v>0</v>
      </c>
      <c r="W181" s="13">
        <v>-0.0040016912</v>
      </c>
      <c r="X181" s="13">
        <v>0</v>
      </c>
      <c r="Y181" s="13">
        <v>0</v>
      </c>
      <c r="Z181" s="13">
        <v>0.0128753943</v>
      </c>
    </row>
    <row r="182" s="2" customFormat="1" spans="1:26">
      <c r="A182" s="11" t="s">
        <v>935</v>
      </c>
      <c r="B182" s="11" t="s">
        <v>937</v>
      </c>
      <c r="C182" s="14" t="s">
        <v>846</v>
      </c>
      <c r="D182" s="14" t="s">
        <v>938</v>
      </c>
      <c r="E182" s="14" t="s">
        <v>939</v>
      </c>
      <c r="F182" s="3" t="s">
        <v>944</v>
      </c>
      <c r="G182" s="4">
        <v>13</v>
      </c>
      <c r="H182" s="12">
        <v>2474.316</v>
      </c>
      <c r="I182" s="12">
        <v>583.552155</v>
      </c>
      <c r="J182" s="13">
        <v>0.2358438271</v>
      </c>
      <c r="K182" s="13">
        <v>0.2358438271</v>
      </c>
      <c r="L182" s="12">
        <v>27.99</v>
      </c>
      <c r="M182" s="13">
        <v>0.1182144883</v>
      </c>
      <c r="N182" s="13">
        <v>0.0412798583</v>
      </c>
      <c r="O182" s="13">
        <v>0.2843872811</v>
      </c>
      <c r="P182" s="13">
        <v>0</v>
      </c>
      <c r="Q182" s="13">
        <v>0.0361782819</v>
      </c>
      <c r="R182" s="13">
        <v>0.1627265025</v>
      </c>
      <c r="S182" s="13">
        <v>0</v>
      </c>
      <c r="T182" s="13">
        <v>0.1200428724</v>
      </c>
      <c r="U182" s="13">
        <v>0.0121908717</v>
      </c>
      <c r="V182" s="13">
        <v>0</v>
      </c>
      <c r="W182" s="13">
        <v>-0.0122687959</v>
      </c>
      <c r="X182" s="13">
        <v>0</v>
      </c>
      <c r="Y182" s="13">
        <v>0</v>
      </c>
      <c r="Z182" s="13">
        <v>0.001404812</v>
      </c>
    </row>
    <row r="183" s="2" customFormat="1" hidden="1" spans="1:26">
      <c r="A183" s="11" t="s">
        <v>935</v>
      </c>
      <c r="B183" s="11" t="s">
        <v>937</v>
      </c>
      <c r="C183" s="14" t="s">
        <v>846</v>
      </c>
      <c r="D183" s="14" t="s">
        <v>938</v>
      </c>
      <c r="E183" s="14" t="s">
        <v>939</v>
      </c>
      <c r="F183" s="3" t="s">
        <v>945</v>
      </c>
      <c r="G183" s="4">
        <v>1</v>
      </c>
      <c r="H183" s="12">
        <v>190.332</v>
      </c>
      <c r="I183" s="12">
        <v>54.26242</v>
      </c>
      <c r="J183" s="13">
        <v>0.2850935207</v>
      </c>
      <c r="K183" s="13">
        <v>0.2850935207</v>
      </c>
      <c r="L183" s="12">
        <v>27.99</v>
      </c>
      <c r="M183" s="13">
        <v>0.1182144883</v>
      </c>
      <c r="N183" s="13">
        <v>0.0412798583</v>
      </c>
      <c r="O183" s="13">
        <v>0.2843872811</v>
      </c>
      <c r="P183" s="13">
        <v>0</v>
      </c>
      <c r="Q183" s="13">
        <v>0</v>
      </c>
      <c r="R183" s="13">
        <v>0.1387911071</v>
      </c>
      <c r="S183" s="13">
        <v>0</v>
      </c>
      <c r="T183" s="13">
        <v>0.1200428724</v>
      </c>
      <c r="U183" s="13">
        <v>0.0121908717</v>
      </c>
      <c r="V183" s="13">
        <v>0</v>
      </c>
      <c r="W183" s="13">
        <v>0</v>
      </c>
      <c r="X183" s="13">
        <v>0</v>
      </c>
      <c r="Y183" s="13">
        <v>0</v>
      </c>
      <c r="Z183" s="13">
        <v>0</v>
      </c>
    </row>
    <row r="184" s="2" customFormat="1" hidden="1" spans="1:26">
      <c r="A184" s="11" t="s">
        <v>935</v>
      </c>
      <c r="B184" s="11" t="s">
        <v>937</v>
      </c>
      <c r="C184" s="14" t="s">
        <v>848</v>
      </c>
      <c r="D184" s="14" t="s">
        <v>938</v>
      </c>
      <c r="E184" s="14" t="s">
        <v>939</v>
      </c>
      <c r="F184" s="3" t="s">
        <v>936</v>
      </c>
      <c r="G184" s="4">
        <v>214</v>
      </c>
      <c r="H184" s="12">
        <v>30442.512</v>
      </c>
      <c r="I184" s="12">
        <v>11.261881</v>
      </c>
      <c r="J184" s="13">
        <v>0.0003699392</v>
      </c>
      <c r="K184" s="13">
        <v>0.0003699392</v>
      </c>
      <c r="L184" s="12">
        <v>20.9198130841</v>
      </c>
      <c r="M184" s="13">
        <v>0.1840095027</v>
      </c>
      <c r="N184" s="13">
        <v>0.035042131</v>
      </c>
      <c r="O184" s="13">
        <v>0.3568320511</v>
      </c>
      <c r="P184" s="13">
        <v>0.0098238936</v>
      </c>
      <c r="Q184" s="13">
        <v>0.0793719718</v>
      </c>
      <c r="R184" s="13">
        <v>0.2021803892</v>
      </c>
      <c r="S184" s="13">
        <v>0</v>
      </c>
      <c r="T184" s="13">
        <v>0.1120634197</v>
      </c>
      <c r="U184" s="13">
        <v>0.0189759783</v>
      </c>
      <c r="V184" s="13">
        <v>-0.0028837304</v>
      </c>
      <c r="W184" s="13">
        <v>0</v>
      </c>
      <c r="X184" s="13">
        <v>0</v>
      </c>
      <c r="Y184" s="13">
        <v>0</v>
      </c>
      <c r="Z184" s="13">
        <v>0.0042144533</v>
      </c>
    </row>
    <row r="185" s="2" customFormat="1" hidden="1" spans="1:26">
      <c r="A185" s="11" t="s">
        <v>935</v>
      </c>
      <c r="B185" s="11" t="s">
        <v>937</v>
      </c>
      <c r="C185" s="14" t="s">
        <v>848</v>
      </c>
      <c r="D185" s="14" t="s">
        <v>938</v>
      </c>
      <c r="E185" s="14" t="s">
        <v>939</v>
      </c>
      <c r="F185" s="3" t="s">
        <v>940</v>
      </c>
      <c r="G185" s="4">
        <v>2</v>
      </c>
      <c r="H185" s="12">
        <v>326.264</v>
      </c>
      <c r="I185" s="12">
        <v>-70.419706</v>
      </c>
      <c r="J185" s="13">
        <v>-0.2158365801</v>
      </c>
      <c r="K185" s="13">
        <v>-0.2158365801</v>
      </c>
      <c r="L185" s="12">
        <v>23.99</v>
      </c>
      <c r="M185" s="13">
        <v>0.1612137103</v>
      </c>
      <c r="N185" s="13">
        <v>0.0434201628</v>
      </c>
      <c r="O185" s="13">
        <v>0.3038766152</v>
      </c>
      <c r="P185" s="13">
        <v>0</v>
      </c>
      <c r="Q185" s="13">
        <v>0.0008192537</v>
      </c>
      <c r="R185" s="13">
        <v>0.6232627136</v>
      </c>
      <c r="S185" s="13">
        <v>0</v>
      </c>
      <c r="T185" s="13">
        <v>0.0662776156</v>
      </c>
      <c r="U185" s="13">
        <v>0.0166251624</v>
      </c>
      <c r="V185" s="13">
        <v>0</v>
      </c>
      <c r="W185" s="13">
        <v>0</v>
      </c>
      <c r="X185" s="13">
        <v>0</v>
      </c>
      <c r="Y185" s="13">
        <v>0</v>
      </c>
      <c r="Z185" s="13">
        <v>0.0003413462</v>
      </c>
    </row>
    <row r="186" s="2" customFormat="1" hidden="1" spans="1:26">
      <c r="A186" s="11" t="s">
        <v>935</v>
      </c>
      <c r="B186" s="11" t="s">
        <v>937</v>
      </c>
      <c r="C186" s="14" t="s">
        <v>848</v>
      </c>
      <c r="D186" s="14" t="s">
        <v>938</v>
      </c>
      <c r="E186" s="14" t="s">
        <v>939</v>
      </c>
      <c r="F186" s="3" t="s">
        <v>941</v>
      </c>
      <c r="G186" s="4">
        <v>29</v>
      </c>
      <c r="H186" s="12">
        <v>4261.356</v>
      </c>
      <c r="I186" s="12">
        <v>-568.330388</v>
      </c>
      <c r="J186" s="13">
        <v>-0.1333684367</v>
      </c>
      <c r="K186" s="13">
        <v>-0.1333684367</v>
      </c>
      <c r="L186" s="12">
        <v>21.6093103448</v>
      </c>
      <c r="M186" s="13">
        <v>0.1789745646</v>
      </c>
      <c r="N186" s="13">
        <v>0.0482037527</v>
      </c>
      <c r="O186" s="13">
        <v>0.3546842835</v>
      </c>
      <c r="P186" s="13">
        <v>0.0382817112</v>
      </c>
      <c r="Q186" s="13">
        <v>0.0765451004</v>
      </c>
      <c r="R186" s="13">
        <v>0.3052840144</v>
      </c>
      <c r="S186" s="13">
        <v>0</v>
      </c>
      <c r="T186" s="13">
        <v>0.1076004914</v>
      </c>
      <c r="U186" s="13">
        <v>0.0184567503</v>
      </c>
      <c r="V186" s="13">
        <v>0</v>
      </c>
      <c r="W186" s="13">
        <v>0</v>
      </c>
      <c r="X186" s="13">
        <v>0</v>
      </c>
      <c r="Y186" s="13">
        <v>0</v>
      </c>
      <c r="Z186" s="13">
        <v>0.0053377676</v>
      </c>
    </row>
    <row r="187" s="2" customFormat="1" hidden="1" spans="1:26">
      <c r="A187" s="11" t="s">
        <v>935</v>
      </c>
      <c r="B187" s="11" t="s">
        <v>937</v>
      </c>
      <c r="C187" s="14" t="s">
        <v>848</v>
      </c>
      <c r="D187" s="14" t="s">
        <v>938</v>
      </c>
      <c r="E187" s="14" t="s">
        <v>939</v>
      </c>
      <c r="F187" s="3" t="s">
        <v>942</v>
      </c>
      <c r="G187" s="4">
        <v>48</v>
      </c>
      <c r="H187" s="12">
        <v>6756.072</v>
      </c>
      <c r="I187" s="12">
        <v>-65.129216</v>
      </c>
      <c r="J187" s="13">
        <v>-0.0096401009</v>
      </c>
      <c r="K187" s="13">
        <v>-0.0096401009</v>
      </c>
      <c r="L187" s="12">
        <v>20.69875</v>
      </c>
      <c r="M187" s="13">
        <v>0.1829551853</v>
      </c>
      <c r="N187" s="13">
        <v>0.0323827244</v>
      </c>
      <c r="O187" s="13">
        <v>0.3435996537</v>
      </c>
      <c r="P187" s="13">
        <v>0</v>
      </c>
      <c r="Q187" s="13">
        <v>0.1110094497</v>
      </c>
      <c r="R187" s="13">
        <v>0.1938713641</v>
      </c>
      <c r="S187" s="13">
        <v>0</v>
      </c>
      <c r="T187" s="13">
        <v>0.1198139984</v>
      </c>
      <c r="U187" s="13">
        <v>0.0188672518</v>
      </c>
      <c r="V187" s="13">
        <v>0.0006542263</v>
      </c>
      <c r="W187" s="13">
        <v>0</v>
      </c>
      <c r="X187" s="13">
        <v>0</v>
      </c>
      <c r="Y187" s="13">
        <v>0</v>
      </c>
      <c r="Z187" s="13">
        <v>0.0064862468</v>
      </c>
    </row>
    <row r="188" s="2" customFormat="1" hidden="1" spans="1:26">
      <c r="A188" s="11" t="s">
        <v>935</v>
      </c>
      <c r="B188" s="11" t="s">
        <v>937</v>
      </c>
      <c r="C188" s="14" t="s">
        <v>848</v>
      </c>
      <c r="D188" s="14" t="s">
        <v>938</v>
      </c>
      <c r="E188" s="14" t="s">
        <v>939</v>
      </c>
      <c r="F188" s="3" t="s">
        <v>943</v>
      </c>
      <c r="G188" s="4">
        <v>19</v>
      </c>
      <c r="H188" s="12">
        <v>3099.508</v>
      </c>
      <c r="I188" s="12">
        <v>-334.372443</v>
      </c>
      <c r="J188" s="13">
        <v>-0.1078791998</v>
      </c>
      <c r="K188" s="13">
        <v>-0.1078791998</v>
      </c>
      <c r="L188" s="12">
        <v>23.99</v>
      </c>
      <c r="M188" s="13">
        <v>0.1612137103</v>
      </c>
      <c r="N188" s="13">
        <v>0.0285345241</v>
      </c>
      <c r="O188" s="13">
        <v>0.3147144643</v>
      </c>
      <c r="P188" s="13">
        <v>0</v>
      </c>
      <c r="Q188" s="13">
        <v>0.2225691713</v>
      </c>
      <c r="R188" s="13">
        <v>0.2376590855</v>
      </c>
      <c r="S188" s="13">
        <v>0</v>
      </c>
      <c r="T188" s="13">
        <v>0.1136877207</v>
      </c>
      <c r="U188" s="13">
        <v>0.0166251624</v>
      </c>
      <c r="V188" s="13">
        <v>0</v>
      </c>
      <c r="W188" s="13">
        <v>0</v>
      </c>
      <c r="X188" s="13">
        <v>0</v>
      </c>
      <c r="Y188" s="13">
        <v>0</v>
      </c>
      <c r="Z188" s="13">
        <v>0.0128753608</v>
      </c>
    </row>
    <row r="189" s="2" customFormat="1" spans="1:26">
      <c r="A189" s="11" t="s">
        <v>935</v>
      </c>
      <c r="B189" s="11" t="s">
        <v>937</v>
      </c>
      <c r="C189" s="14" t="s">
        <v>848</v>
      </c>
      <c r="D189" s="14" t="s">
        <v>938</v>
      </c>
      <c r="E189" s="14" t="s">
        <v>939</v>
      </c>
      <c r="F189" s="3" t="s">
        <v>944</v>
      </c>
      <c r="G189" s="4">
        <v>112</v>
      </c>
      <c r="H189" s="12">
        <v>15455.584</v>
      </c>
      <c r="I189" s="12">
        <v>1180.518994</v>
      </c>
      <c r="J189" s="13">
        <v>0.0763813903</v>
      </c>
      <c r="K189" s="13">
        <v>0.0763813903</v>
      </c>
      <c r="L189" s="12">
        <v>20.2935714285</v>
      </c>
      <c r="M189" s="13">
        <v>0.1905784265</v>
      </c>
      <c r="N189" s="13">
        <v>0.0337320238</v>
      </c>
      <c r="O189" s="13">
        <v>0.3720389989</v>
      </c>
      <c r="P189" s="13">
        <v>0</v>
      </c>
      <c r="Q189" s="13">
        <v>0.0420551061</v>
      </c>
      <c r="R189" s="13">
        <v>0.1590117075</v>
      </c>
      <c r="S189" s="13">
        <v>0</v>
      </c>
      <c r="T189" s="13">
        <v>0.1111101333</v>
      </c>
      <c r="U189" s="13">
        <v>0.0196533985</v>
      </c>
      <c r="V189" s="13">
        <v>-0.005965999</v>
      </c>
      <c r="W189" s="13">
        <v>0</v>
      </c>
      <c r="X189" s="13">
        <v>0</v>
      </c>
      <c r="Y189" s="13">
        <v>0</v>
      </c>
      <c r="Z189" s="13">
        <v>0.0014048136</v>
      </c>
    </row>
    <row r="190" s="2" customFormat="1" hidden="1" spans="1:26">
      <c r="A190" s="11" t="s">
        <v>935</v>
      </c>
      <c r="B190" s="11" t="s">
        <v>937</v>
      </c>
      <c r="C190" s="14" t="s">
        <v>848</v>
      </c>
      <c r="D190" s="14" t="s">
        <v>938</v>
      </c>
      <c r="E190" s="14" t="s">
        <v>939</v>
      </c>
      <c r="F190" s="3" t="s">
        <v>945</v>
      </c>
      <c r="G190" s="4">
        <v>4</v>
      </c>
      <c r="H190" s="12">
        <v>543.728</v>
      </c>
      <c r="I190" s="12">
        <v>-131.00536</v>
      </c>
      <c r="J190" s="13">
        <v>-0.240939146</v>
      </c>
      <c r="K190" s="13">
        <v>-0.240939146</v>
      </c>
      <c r="L190" s="12">
        <v>19.99</v>
      </c>
      <c r="M190" s="13">
        <v>0.1934725818</v>
      </c>
      <c r="N190" s="13">
        <v>0.0342442839</v>
      </c>
      <c r="O190" s="13">
        <v>0.3776888444</v>
      </c>
      <c r="P190" s="13">
        <v>0.25</v>
      </c>
      <c r="Q190" s="13">
        <v>0</v>
      </c>
      <c r="R190" s="13">
        <v>0.2695335535</v>
      </c>
      <c r="S190" s="13">
        <v>0</v>
      </c>
      <c r="T190" s="13">
        <v>0.096048024</v>
      </c>
      <c r="U190" s="13">
        <v>0.0199518582</v>
      </c>
      <c r="V190" s="13">
        <v>0</v>
      </c>
      <c r="W190" s="13">
        <v>0</v>
      </c>
      <c r="X190" s="13">
        <v>0</v>
      </c>
      <c r="Y190" s="13">
        <v>0</v>
      </c>
      <c r="Z190" s="13">
        <v>0</v>
      </c>
    </row>
    <row r="191" s="2" customFormat="1" hidden="1" spans="1:26">
      <c r="A191" s="11" t="s">
        <v>935</v>
      </c>
      <c r="B191" s="11" t="s">
        <v>937</v>
      </c>
      <c r="C191" s="14" t="s">
        <v>850</v>
      </c>
      <c r="D191" s="14" t="s">
        <v>938</v>
      </c>
      <c r="E191" s="14" t="s">
        <v>939</v>
      </c>
      <c r="F191" s="3" t="s">
        <v>936</v>
      </c>
      <c r="G191" s="4">
        <v>250</v>
      </c>
      <c r="H191" s="12">
        <v>37486.904</v>
      </c>
      <c r="I191" s="12">
        <v>6616.824409</v>
      </c>
      <c r="J191" s="13">
        <v>0.176510293</v>
      </c>
      <c r="K191" s="13">
        <v>0.176510293</v>
      </c>
      <c r="L191" s="12">
        <v>22.05112</v>
      </c>
      <c r="M191" s="13">
        <v>0.1339051699</v>
      </c>
      <c r="N191" s="13">
        <v>0.0300941661</v>
      </c>
      <c r="O191" s="13">
        <v>0.3030086453</v>
      </c>
      <c r="P191" s="13">
        <v>0.0202057763</v>
      </c>
      <c r="Q191" s="13">
        <v>0.0201802503</v>
      </c>
      <c r="R191" s="13">
        <v>0.1803333281</v>
      </c>
      <c r="S191" s="13">
        <v>0</v>
      </c>
      <c r="T191" s="13">
        <v>0.1165963452</v>
      </c>
      <c r="U191" s="13">
        <v>0.0138089691</v>
      </c>
      <c r="V191" s="13">
        <v>0</v>
      </c>
      <c r="W191" s="13">
        <v>-0.0013303775</v>
      </c>
      <c r="X191" s="13">
        <v>0.0008235409</v>
      </c>
      <c r="Y191" s="13">
        <v>0</v>
      </c>
      <c r="Z191" s="13">
        <v>0.0058638926</v>
      </c>
    </row>
    <row r="192" s="2" customFormat="1" hidden="1" spans="1:26">
      <c r="A192" s="11" t="s">
        <v>935</v>
      </c>
      <c r="B192" s="11" t="s">
        <v>937</v>
      </c>
      <c r="C192" s="14" t="s">
        <v>850</v>
      </c>
      <c r="D192" s="14" t="s">
        <v>938</v>
      </c>
      <c r="E192" s="14" t="s">
        <v>939</v>
      </c>
      <c r="F192" s="3" t="s">
        <v>940</v>
      </c>
      <c r="G192" s="4">
        <v>1</v>
      </c>
      <c r="H192" s="12">
        <v>163.132</v>
      </c>
      <c r="I192" s="12">
        <v>-87.62762</v>
      </c>
      <c r="J192" s="13">
        <v>-0.5371577618</v>
      </c>
      <c r="K192" s="13">
        <v>-0.5371577618</v>
      </c>
      <c r="L192" s="12">
        <v>23.99</v>
      </c>
      <c r="M192" s="13">
        <v>0.1230829083</v>
      </c>
      <c r="N192" s="13">
        <v>0.0289386631</v>
      </c>
      <c r="O192" s="13">
        <v>0.2542726135</v>
      </c>
      <c r="P192" s="13">
        <v>0</v>
      </c>
      <c r="Q192" s="13">
        <v>0.0008191771</v>
      </c>
      <c r="R192" s="13">
        <v>1.1045049162</v>
      </c>
      <c r="S192" s="13">
        <v>0</v>
      </c>
      <c r="T192" s="13">
        <v>0.0125052105</v>
      </c>
      <c r="U192" s="13">
        <v>0.0126929235</v>
      </c>
      <c r="V192" s="13">
        <v>0</v>
      </c>
      <c r="W192" s="13">
        <v>0</v>
      </c>
      <c r="X192" s="13">
        <v>0</v>
      </c>
      <c r="Y192" s="13">
        <v>0</v>
      </c>
      <c r="Z192" s="13">
        <v>0.0003413493</v>
      </c>
    </row>
    <row r="193" s="2" customFormat="1" hidden="1" spans="1:26">
      <c r="A193" s="11" t="s">
        <v>935</v>
      </c>
      <c r="B193" s="11" t="s">
        <v>937</v>
      </c>
      <c r="C193" s="14" t="s">
        <v>850</v>
      </c>
      <c r="D193" s="14" t="s">
        <v>938</v>
      </c>
      <c r="E193" s="14" t="s">
        <v>939</v>
      </c>
      <c r="F193" s="3" t="s">
        <v>941</v>
      </c>
      <c r="G193" s="4">
        <v>27</v>
      </c>
      <c r="H193" s="12">
        <v>4005.268</v>
      </c>
      <c r="I193" s="12">
        <v>280.193342</v>
      </c>
      <c r="J193" s="13">
        <v>0.0699562031</v>
      </c>
      <c r="K193" s="13">
        <v>0.0699562031</v>
      </c>
      <c r="L193" s="12">
        <v>21.8151851851</v>
      </c>
      <c r="M193" s="13">
        <v>0.1353533763</v>
      </c>
      <c r="N193" s="13">
        <v>0.0318236367</v>
      </c>
      <c r="O193" s="13">
        <v>0.3005721464</v>
      </c>
      <c r="P193" s="13">
        <v>0.0329875553</v>
      </c>
      <c r="Q193" s="13">
        <v>0.0078519347</v>
      </c>
      <c r="R193" s="13">
        <v>0.3013067764</v>
      </c>
      <c r="S193" s="13">
        <v>0</v>
      </c>
      <c r="T193" s="13">
        <v>0.107044023</v>
      </c>
      <c r="U193" s="13">
        <v>0.0139583153</v>
      </c>
      <c r="V193" s="13">
        <v>0</v>
      </c>
      <c r="W193" s="13">
        <v>-0.0061917412</v>
      </c>
      <c r="X193" s="13">
        <v>0</v>
      </c>
      <c r="Y193" s="13">
        <v>0</v>
      </c>
      <c r="Z193" s="13">
        <v>0.0053377734</v>
      </c>
    </row>
    <row r="194" s="2" customFormat="1" hidden="1" spans="1:26">
      <c r="A194" s="11" t="s">
        <v>935</v>
      </c>
      <c r="B194" s="11" t="s">
        <v>937</v>
      </c>
      <c r="C194" s="14" t="s">
        <v>850</v>
      </c>
      <c r="D194" s="14" t="s">
        <v>938</v>
      </c>
      <c r="E194" s="14" t="s">
        <v>939</v>
      </c>
      <c r="F194" s="3" t="s">
        <v>942</v>
      </c>
      <c r="G194" s="4">
        <v>59</v>
      </c>
      <c r="H194" s="12">
        <v>8781.588</v>
      </c>
      <c r="I194" s="12">
        <v>1544.991248</v>
      </c>
      <c r="J194" s="13">
        <v>0.1759352918</v>
      </c>
      <c r="K194" s="13">
        <v>0.1759352918</v>
      </c>
      <c r="L194" s="12">
        <v>21.8883050847</v>
      </c>
      <c r="M194" s="13">
        <v>0.1349012159</v>
      </c>
      <c r="N194" s="13">
        <v>0.0181396828</v>
      </c>
      <c r="O194" s="13">
        <v>0.3152368341</v>
      </c>
      <c r="P194" s="13">
        <v>0.0185765945</v>
      </c>
      <c r="Q194" s="13">
        <v>0.0267687017</v>
      </c>
      <c r="R194" s="13">
        <v>0.1717699214</v>
      </c>
      <c r="S194" s="13">
        <v>0</v>
      </c>
      <c r="T194" s="13">
        <v>0.1182738247</v>
      </c>
      <c r="U194" s="13">
        <v>0.0139116863</v>
      </c>
      <c r="V194" s="13">
        <v>0</v>
      </c>
      <c r="W194" s="13">
        <v>0</v>
      </c>
      <c r="X194" s="13">
        <v>0</v>
      </c>
      <c r="Y194" s="13">
        <v>0</v>
      </c>
      <c r="Z194" s="13">
        <v>0.0064862463</v>
      </c>
    </row>
    <row r="195" s="2" customFormat="1" hidden="1" spans="1:26">
      <c r="A195" s="11" t="s">
        <v>935</v>
      </c>
      <c r="B195" s="11" t="s">
        <v>937</v>
      </c>
      <c r="C195" s="14" t="s">
        <v>850</v>
      </c>
      <c r="D195" s="14" t="s">
        <v>938</v>
      </c>
      <c r="E195" s="14" t="s">
        <v>939</v>
      </c>
      <c r="F195" s="3" t="s">
        <v>943</v>
      </c>
      <c r="G195" s="4">
        <v>62</v>
      </c>
      <c r="H195" s="12">
        <v>9434.184</v>
      </c>
      <c r="I195" s="12">
        <v>1599.67723</v>
      </c>
      <c r="J195" s="13">
        <v>0.1695618009</v>
      </c>
      <c r="K195" s="13">
        <v>0.1695618009</v>
      </c>
      <c r="L195" s="12">
        <v>22.3770967741</v>
      </c>
      <c r="M195" s="13">
        <v>0.1319545158</v>
      </c>
      <c r="N195" s="13">
        <v>0.0328157877</v>
      </c>
      <c r="O195" s="13">
        <v>0.307947354</v>
      </c>
      <c r="P195" s="13">
        <v>0.033141605</v>
      </c>
      <c r="Q195" s="13">
        <v>0.0295022135</v>
      </c>
      <c r="R195" s="13">
        <v>0.1521222695</v>
      </c>
      <c r="S195" s="13">
        <v>0</v>
      </c>
      <c r="T195" s="13">
        <v>0.1168749729</v>
      </c>
      <c r="U195" s="13">
        <v>0.0136078079</v>
      </c>
      <c r="V195" s="13">
        <v>0</v>
      </c>
      <c r="W195" s="13">
        <v>-0.0026575855</v>
      </c>
      <c r="X195" s="13">
        <v>0.0022538878</v>
      </c>
      <c r="Y195" s="13">
        <v>0</v>
      </c>
      <c r="Z195" s="13">
        <v>0.01287537</v>
      </c>
    </row>
    <row r="196" s="2" customFormat="1" spans="1:26">
      <c r="A196" s="11" t="s">
        <v>935</v>
      </c>
      <c r="B196" s="11" t="s">
        <v>937</v>
      </c>
      <c r="C196" s="14" t="s">
        <v>850</v>
      </c>
      <c r="D196" s="14" t="s">
        <v>938</v>
      </c>
      <c r="E196" s="14" t="s">
        <v>939</v>
      </c>
      <c r="F196" s="3" t="s">
        <v>944</v>
      </c>
      <c r="G196" s="4">
        <v>95</v>
      </c>
      <c r="H196" s="12">
        <v>14205.54</v>
      </c>
      <c r="I196" s="12">
        <v>3064.230563</v>
      </c>
      <c r="J196" s="13">
        <v>0.2157067287</v>
      </c>
      <c r="K196" s="13">
        <v>0.2157067287</v>
      </c>
      <c r="L196" s="12">
        <v>21.99</v>
      </c>
      <c r="M196" s="13">
        <v>0.134277352</v>
      </c>
      <c r="N196" s="13">
        <v>0.0348988978</v>
      </c>
      <c r="O196" s="13">
        <v>0.2939422225</v>
      </c>
      <c r="P196" s="13">
        <v>0.0105263157</v>
      </c>
      <c r="Q196" s="13">
        <v>0.0148893566</v>
      </c>
      <c r="R196" s="13">
        <v>0.1607860365</v>
      </c>
      <c r="S196" s="13">
        <v>0</v>
      </c>
      <c r="T196" s="13">
        <v>0.1190445417</v>
      </c>
      <c r="U196" s="13">
        <v>0.0138473503</v>
      </c>
      <c r="V196" s="13">
        <v>0</v>
      </c>
      <c r="W196" s="13">
        <v>0</v>
      </c>
      <c r="X196" s="13">
        <v>0.0006763844</v>
      </c>
      <c r="Y196" s="13">
        <v>0</v>
      </c>
      <c r="Z196" s="13">
        <v>0.0014048132</v>
      </c>
    </row>
    <row r="197" s="2" customFormat="1" hidden="1" spans="1:26">
      <c r="A197" s="11" t="s">
        <v>935</v>
      </c>
      <c r="B197" s="11" t="s">
        <v>937</v>
      </c>
      <c r="C197" s="14" t="s">
        <v>850</v>
      </c>
      <c r="D197" s="14" t="s">
        <v>938</v>
      </c>
      <c r="E197" s="14" t="s">
        <v>939</v>
      </c>
      <c r="F197" s="3" t="s">
        <v>945</v>
      </c>
      <c r="G197" s="4">
        <v>6</v>
      </c>
      <c r="H197" s="12">
        <v>897.192</v>
      </c>
      <c r="I197" s="12">
        <v>215.359646</v>
      </c>
      <c r="J197" s="13">
        <v>0.2400374122</v>
      </c>
      <c r="K197" s="13">
        <v>0.2400374122</v>
      </c>
      <c r="L197" s="12">
        <v>21.99</v>
      </c>
      <c r="M197" s="13">
        <v>0.134277352</v>
      </c>
      <c r="N197" s="13">
        <v>0.0348988978</v>
      </c>
      <c r="O197" s="13">
        <v>0.2946793997</v>
      </c>
      <c r="P197" s="13">
        <v>0</v>
      </c>
      <c r="Q197" s="13">
        <v>0</v>
      </c>
      <c r="R197" s="13">
        <v>0.1622050174</v>
      </c>
      <c r="S197" s="13">
        <v>0</v>
      </c>
      <c r="T197" s="13">
        <v>0.1200545702</v>
      </c>
      <c r="U197" s="13">
        <v>0.0138473503</v>
      </c>
      <c r="V197" s="13">
        <v>0</v>
      </c>
      <c r="W197" s="13">
        <v>0</v>
      </c>
      <c r="X197" s="13">
        <v>0</v>
      </c>
      <c r="Y197" s="13">
        <v>0</v>
      </c>
      <c r="Z197" s="13">
        <v>0</v>
      </c>
    </row>
    <row r="198" s="2" customFormat="1" hidden="1" spans="1:26">
      <c r="A198" s="11" t="s">
        <v>935</v>
      </c>
      <c r="B198" s="11" t="s">
        <v>937</v>
      </c>
      <c r="C198" s="14" t="s">
        <v>852</v>
      </c>
      <c r="D198" s="14" t="s">
        <v>938</v>
      </c>
      <c r="E198" s="14" t="s">
        <v>939</v>
      </c>
      <c r="F198" s="3" t="s">
        <v>936</v>
      </c>
      <c r="G198" s="4">
        <v>34</v>
      </c>
      <c r="H198" s="12">
        <v>5508.136</v>
      </c>
      <c r="I198" s="12">
        <v>-1042.981452</v>
      </c>
      <c r="J198" s="13">
        <v>-0.1893528867</v>
      </c>
      <c r="K198" s="13">
        <v>-0.1893528867</v>
      </c>
      <c r="L198" s="12">
        <v>23.824117647</v>
      </c>
      <c r="M198" s="13">
        <v>0.1168604355</v>
      </c>
      <c r="N198" s="13">
        <v>0.0341467766</v>
      </c>
      <c r="O198" s="13">
        <v>0.3064121873</v>
      </c>
      <c r="P198" s="13">
        <v>0.177699316</v>
      </c>
      <c r="Q198" s="13">
        <v>0.1815232989</v>
      </c>
      <c r="R198" s="13">
        <v>0.2612982335</v>
      </c>
      <c r="S198" s="13">
        <v>0</v>
      </c>
      <c r="T198" s="13">
        <v>0.0895780351</v>
      </c>
      <c r="U198" s="13">
        <v>0.0120512333</v>
      </c>
      <c r="V198" s="13">
        <v>0</v>
      </c>
      <c r="W198" s="13">
        <v>0</v>
      </c>
      <c r="X198" s="13">
        <v>0.0056047998</v>
      </c>
      <c r="Y198" s="13">
        <v>0</v>
      </c>
      <c r="Z198" s="13">
        <v>0.0041785702</v>
      </c>
    </row>
    <row r="199" s="2" customFormat="1" hidden="1" spans="1:26">
      <c r="A199" s="11" t="s">
        <v>935</v>
      </c>
      <c r="B199" s="11" t="s">
        <v>937</v>
      </c>
      <c r="C199" s="14" t="s">
        <v>852</v>
      </c>
      <c r="D199" s="14" t="s">
        <v>938</v>
      </c>
      <c r="E199" s="14" t="s">
        <v>939</v>
      </c>
      <c r="F199" s="3" t="s">
        <v>942</v>
      </c>
      <c r="G199" s="4">
        <v>15</v>
      </c>
      <c r="H199" s="12">
        <v>2446.98</v>
      </c>
      <c r="I199" s="12">
        <v>-260.50982</v>
      </c>
      <c r="J199" s="13">
        <v>-0.1064617692</v>
      </c>
      <c r="K199" s="13">
        <v>-0.1064617692</v>
      </c>
      <c r="L199" s="12">
        <v>23.99</v>
      </c>
      <c r="M199" s="13">
        <v>0.116052387</v>
      </c>
      <c r="N199" s="13">
        <v>0.0325625567</v>
      </c>
      <c r="O199" s="13">
        <v>0.3042934556</v>
      </c>
      <c r="P199" s="13">
        <v>0.2</v>
      </c>
      <c r="Q199" s="13">
        <v>0.0250067634</v>
      </c>
      <c r="R199" s="13">
        <v>0.3305037568</v>
      </c>
      <c r="S199" s="13">
        <v>0</v>
      </c>
      <c r="T199" s="13">
        <v>0.0795887175</v>
      </c>
      <c r="U199" s="13">
        <v>0.0119679032</v>
      </c>
      <c r="V199" s="13">
        <v>0</v>
      </c>
      <c r="W199" s="13">
        <v>0</v>
      </c>
      <c r="X199" s="13">
        <v>0</v>
      </c>
      <c r="Y199" s="13">
        <v>0</v>
      </c>
      <c r="Z199" s="13">
        <v>0.0064862287</v>
      </c>
    </row>
    <row r="200" s="2" customFormat="1" hidden="1" spans="1:26">
      <c r="A200" s="11" t="s">
        <v>935</v>
      </c>
      <c r="B200" s="11" t="s">
        <v>937</v>
      </c>
      <c r="C200" s="14" t="s">
        <v>852</v>
      </c>
      <c r="D200" s="14" t="s">
        <v>938</v>
      </c>
      <c r="E200" s="14" t="s">
        <v>939</v>
      </c>
      <c r="F200" s="3" t="s">
        <v>943</v>
      </c>
      <c r="G200" s="4">
        <v>2</v>
      </c>
      <c r="H200" s="12">
        <v>287.912</v>
      </c>
      <c r="I200" s="12">
        <v>-555.846225</v>
      </c>
      <c r="J200" s="13">
        <v>-1.9306115236</v>
      </c>
      <c r="K200" s="13">
        <v>-1.9306115236</v>
      </c>
      <c r="L200" s="12">
        <v>21.17</v>
      </c>
      <c r="M200" s="13">
        <v>0.1315114201</v>
      </c>
      <c r="N200" s="13">
        <v>0.0396338811</v>
      </c>
      <c r="O200" s="13">
        <v>0.3448275862</v>
      </c>
      <c r="P200" s="13">
        <v>0</v>
      </c>
      <c r="Q200" s="13">
        <v>1.6257044305</v>
      </c>
      <c r="R200" s="13">
        <v>0.5519749576</v>
      </c>
      <c r="S200" s="13">
        <v>0</v>
      </c>
      <c r="T200" s="13">
        <v>0.1199811053</v>
      </c>
      <c r="U200" s="13">
        <v>0.0135621162</v>
      </c>
      <c r="V200" s="13">
        <v>0</v>
      </c>
      <c r="W200" s="13">
        <v>0</v>
      </c>
      <c r="X200" s="13">
        <v>0.0905408492</v>
      </c>
      <c r="Y200" s="13">
        <v>0</v>
      </c>
      <c r="Z200" s="13">
        <v>0.0128751771</v>
      </c>
    </row>
    <row r="201" s="2" customFormat="1" spans="1:26">
      <c r="A201" s="11" t="s">
        <v>935</v>
      </c>
      <c r="B201" s="11" t="s">
        <v>937</v>
      </c>
      <c r="C201" s="14" t="s">
        <v>852</v>
      </c>
      <c r="D201" s="14" t="s">
        <v>938</v>
      </c>
      <c r="E201" s="14" t="s">
        <v>939</v>
      </c>
      <c r="F201" s="3" t="s">
        <v>944</v>
      </c>
      <c r="G201" s="4">
        <v>15</v>
      </c>
      <c r="H201" s="12">
        <v>2446.98</v>
      </c>
      <c r="I201" s="12">
        <v>-287.842754</v>
      </c>
      <c r="J201" s="13">
        <v>-0.1176318376</v>
      </c>
      <c r="K201" s="13">
        <v>-0.1176318376</v>
      </c>
      <c r="L201" s="12">
        <v>23.99</v>
      </c>
      <c r="M201" s="13">
        <v>0.116052387</v>
      </c>
      <c r="N201" s="13">
        <v>0.0349749589</v>
      </c>
      <c r="O201" s="13">
        <v>0.3042934556</v>
      </c>
      <c r="P201" s="13">
        <v>0.2</v>
      </c>
      <c r="Q201" s="13">
        <v>0.1923203924</v>
      </c>
      <c r="R201" s="13">
        <v>0.160337534</v>
      </c>
      <c r="S201" s="13">
        <v>0</v>
      </c>
      <c r="T201" s="13">
        <v>0.0943170765</v>
      </c>
      <c r="U201" s="13">
        <v>0.0119679032</v>
      </c>
      <c r="V201" s="13">
        <v>0</v>
      </c>
      <c r="W201" s="13">
        <v>0</v>
      </c>
      <c r="X201" s="13">
        <v>0.0019633192</v>
      </c>
      <c r="Y201" s="13">
        <v>0</v>
      </c>
      <c r="Z201" s="13">
        <v>0.0014048104</v>
      </c>
    </row>
    <row r="202" s="2" customFormat="1" hidden="1" spans="1:26">
      <c r="A202" s="11" t="s">
        <v>935</v>
      </c>
      <c r="B202" s="11" t="s">
        <v>937</v>
      </c>
      <c r="C202" s="14" t="s">
        <v>852</v>
      </c>
      <c r="D202" s="14" t="s">
        <v>938</v>
      </c>
      <c r="E202" s="14" t="s">
        <v>939</v>
      </c>
      <c r="F202" s="3" t="s">
        <v>945</v>
      </c>
      <c r="G202" s="4">
        <v>2</v>
      </c>
      <c r="H202" s="12">
        <v>326.264</v>
      </c>
      <c r="I202" s="12">
        <v>61.217347</v>
      </c>
      <c r="J202" s="13">
        <v>0.1876313261</v>
      </c>
      <c r="K202" s="13">
        <v>0.1876313261</v>
      </c>
      <c r="L202" s="12">
        <v>23.99</v>
      </c>
      <c r="M202" s="13">
        <v>0.116052387</v>
      </c>
      <c r="N202" s="13">
        <v>0.0349749589</v>
      </c>
      <c r="O202" s="13">
        <v>0.3042934556</v>
      </c>
      <c r="P202" s="13">
        <v>0</v>
      </c>
      <c r="Q202" s="13">
        <v>0</v>
      </c>
      <c r="R202" s="13">
        <v>0.2429540831</v>
      </c>
      <c r="S202" s="13">
        <v>0</v>
      </c>
      <c r="T202" s="13">
        <v>0.1021258857</v>
      </c>
      <c r="U202" s="13">
        <v>0.0119679032</v>
      </c>
      <c r="V202" s="13">
        <v>0</v>
      </c>
      <c r="W202" s="13">
        <v>0</v>
      </c>
      <c r="X202" s="13">
        <v>0</v>
      </c>
      <c r="Y202" s="13">
        <v>0</v>
      </c>
      <c r="Z202" s="13">
        <v>0</v>
      </c>
    </row>
    <row r="203" s="2" customFormat="1" hidden="1" spans="1:26">
      <c r="A203" s="11" t="s">
        <v>935</v>
      </c>
      <c r="B203" s="11" t="s">
        <v>937</v>
      </c>
      <c r="C203" s="14" t="s">
        <v>854</v>
      </c>
      <c r="D203" s="14" t="s">
        <v>938</v>
      </c>
      <c r="E203" s="14" t="s">
        <v>939</v>
      </c>
      <c r="F203" s="3" t="s">
        <v>936</v>
      </c>
      <c r="G203" s="4">
        <v>232</v>
      </c>
      <c r="H203" s="12">
        <v>34968.116</v>
      </c>
      <c r="I203" s="12">
        <v>4944.494993</v>
      </c>
      <c r="J203" s="13">
        <v>0.1414000969</v>
      </c>
      <c r="K203" s="13">
        <v>0.1414000969</v>
      </c>
      <c r="L203" s="12">
        <v>22.165387931</v>
      </c>
      <c r="M203" s="13">
        <v>0.1523184029</v>
      </c>
      <c r="N203" s="13">
        <v>0.0323993833</v>
      </c>
      <c r="O203" s="13">
        <v>0.3317575359</v>
      </c>
      <c r="P203" s="13">
        <v>0.0519838129</v>
      </c>
      <c r="Q203" s="13">
        <v>0.0344461077</v>
      </c>
      <c r="R203" s="13">
        <v>0.1275522379</v>
      </c>
      <c r="S203" s="13">
        <v>0</v>
      </c>
      <c r="T203" s="13">
        <v>0.1083274832</v>
      </c>
      <c r="U203" s="13">
        <v>0.0157078356</v>
      </c>
      <c r="V203" s="13">
        <v>-0.0017462765</v>
      </c>
      <c r="W203" s="13">
        <v>-0.0016119963</v>
      </c>
      <c r="X203" s="13">
        <v>0.001324292</v>
      </c>
      <c r="Y203" s="13">
        <v>0</v>
      </c>
      <c r="Z203" s="13">
        <v>0.0061410842</v>
      </c>
    </row>
    <row r="204" s="2" customFormat="1" hidden="1" spans="1:26">
      <c r="A204" s="11" t="s">
        <v>935</v>
      </c>
      <c r="B204" s="11" t="s">
        <v>937</v>
      </c>
      <c r="C204" s="14" t="s">
        <v>854</v>
      </c>
      <c r="D204" s="14" t="s">
        <v>938</v>
      </c>
      <c r="E204" s="14" t="s">
        <v>939</v>
      </c>
      <c r="F204" s="3" t="s">
        <v>940</v>
      </c>
      <c r="G204" s="4">
        <v>2</v>
      </c>
      <c r="H204" s="12">
        <v>326.264</v>
      </c>
      <c r="I204" s="12">
        <v>-163.662438</v>
      </c>
      <c r="J204" s="13">
        <v>-0.5016257938</v>
      </c>
      <c r="K204" s="13">
        <v>-0.5016257938</v>
      </c>
      <c r="L204" s="12">
        <v>23.99</v>
      </c>
      <c r="M204" s="13">
        <v>0.1413427285</v>
      </c>
      <c r="N204" s="13">
        <v>0.0370403476</v>
      </c>
      <c r="O204" s="13">
        <v>0.2780325135</v>
      </c>
      <c r="P204" s="13">
        <v>0</v>
      </c>
      <c r="Q204" s="13">
        <v>0.0008192537</v>
      </c>
      <c r="R204" s="13">
        <v>1.0169684243</v>
      </c>
      <c r="S204" s="13">
        <v>0</v>
      </c>
      <c r="T204" s="13">
        <v>0.0125052105</v>
      </c>
      <c r="U204" s="13">
        <v>0.0145759691</v>
      </c>
      <c r="V204" s="13">
        <v>0</v>
      </c>
      <c r="W204" s="13">
        <v>0</v>
      </c>
      <c r="X204" s="13">
        <v>0</v>
      </c>
      <c r="Y204" s="13">
        <v>0</v>
      </c>
      <c r="Z204" s="13">
        <v>0.0003413462</v>
      </c>
    </row>
    <row r="205" s="2" customFormat="1" hidden="1" spans="1:26">
      <c r="A205" s="11" t="s">
        <v>935</v>
      </c>
      <c r="B205" s="11" t="s">
        <v>937</v>
      </c>
      <c r="C205" s="14" t="s">
        <v>854</v>
      </c>
      <c r="D205" s="14" t="s">
        <v>938</v>
      </c>
      <c r="E205" s="14" t="s">
        <v>939</v>
      </c>
      <c r="F205" s="3" t="s">
        <v>941</v>
      </c>
      <c r="G205" s="4">
        <v>7</v>
      </c>
      <c r="H205" s="12">
        <v>1128.324</v>
      </c>
      <c r="I205" s="12">
        <v>147.857516</v>
      </c>
      <c r="J205" s="13">
        <v>0.1310417185</v>
      </c>
      <c r="K205" s="13">
        <v>0.1310417185</v>
      </c>
      <c r="L205" s="12">
        <v>23.7042857142</v>
      </c>
      <c r="M205" s="13">
        <v>0.1430463714</v>
      </c>
      <c r="N205" s="13">
        <v>0.0374868052</v>
      </c>
      <c r="O205" s="13">
        <v>0.3101910444</v>
      </c>
      <c r="P205" s="13">
        <v>0</v>
      </c>
      <c r="Q205" s="13">
        <v>0.0955987074</v>
      </c>
      <c r="R205" s="13">
        <v>0.1512339017</v>
      </c>
      <c r="S205" s="13">
        <v>0</v>
      </c>
      <c r="T205" s="13">
        <v>0.111311999</v>
      </c>
      <c r="U205" s="13">
        <v>0.0147516573</v>
      </c>
      <c r="V205" s="13">
        <v>0</v>
      </c>
      <c r="W205" s="13">
        <v>0</v>
      </c>
      <c r="X205" s="13">
        <v>0</v>
      </c>
      <c r="Y205" s="13">
        <v>0</v>
      </c>
      <c r="Z205" s="13">
        <v>0.0053377948</v>
      </c>
    </row>
    <row r="206" s="2" customFormat="1" hidden="1" spans="1:26">
      <c r="A206" s="11" t="s">
        <v>935</v>
      </c>
      <c r="B206" s="11" t="s">
        <v>937</v>
      </c>
      <c r="C206" s="14" t="s">
        <v>854</v>
      </c>
      <c r="D206" s="14" t="s">
        <v>938</v>
      </c>
      <c r="E206" s="14" t="s">
        <v>939</v>
      </c>
      <c r="F206" s="3" t="s">
        <v>942</v>
      </c>
      <c r="G206" s="4">
        <v>83</v>
      </c>
      <c r="H206" s="12">
        <v>12014.512</v>
      </c>
      <c r="I206" s="12">
        <v>1908.179849</v>
      </c>
      <c r="J206" s="13">
        <v>0.1588229175</v>
      </c>
      <c r="K206" s="13">
        <v>0.1588229175</v>
      </c>
      <c r="L206" s="12">
        <v>21.2872289156</v>
      </c>
      <c r="M206" s="13">
        <v>0.1573694216</v>
      </c>
      <c r="N206" s="13">
        <v>0.030032261</v>
      </c>
      <c r="O206" s="13">
        <v>0.3462282945</v>
      </c>
      <c r="P206" s="13">
        <v>0.0483348803</v>
      </c>
      <c r="Q206" s="13">
        <v>0.0343370823</v>
      </c>
      <c r="R206" s="13">
        <v>0.0865300128</v>
      </c>
      <c r="S206" s="13">
        <v>0</v>
      </c>
      <c r="T206" s="13">
        <v>0.1152566163</v>
      </c>
      <c r="U206" s="13">
        <v>0.0162287218</v>
      </c>
      <c r="V206" s="13">
        <v>0.0003735482</v>
      </c>
      <c r="W206" s="13">
        <v>0</v>
      </c>
      <c r="X206" s="13">
        <v>0</v>
      </c>
      <c r="Y206" s="13">
        <v>0</v>
      </c>
      <c r="Z206" s="13">
        <v>0.006486243</v>
      </c>
    </row>
    <row r="207" s="2" customFormat="1" hidden="1" spans="1:26">
      <c r="A207" s="11" t="s">
        <v>935</v>
      </c>
      <c r="B207" s="11" t="s">
        <v>937</v>
      </c>
      <c r="C207" s="14" t="s">
        <v>854</v>
      </c>
      <c r="D207" s="14" t="s">
        <v>938</v>
      </c>
      <c r="E207" s="14" t="s">
        <v>939</v>
      </c>
      <c r="F207" s="3" t="s">
        <v>943</v>
      </c>
      <c r="G207" s="4">
        <v>58</v>
      </c>
      <c r="H207" s="12">
        <v>8836.124</v>
      </c>
      <c r="I207" s="12">
        <v>1256.744116</v>
      </c>
      <c r="J207" s="13">
        <v>0.1422279854</v>
      </c>
      <c r="K207" s="13">
        <v>0.1422279854</v>
      </c>
      <c r="L207" s="12">
        <v>22.4039655172</v>
      </c>
      <c r="M207" s="13">
        <v>0.1513487447</v>
      </c>
      <c r="N207" s="13">
        <v>0.0336515793</v>
      </c>
      <c r="O207" s="13">
        <v>0.3272357879</v>
      </c>
      <c r="P207" s="13">
        <v>0.051537982</v>
      </c>
      <c r="Q207" s="13">
        <v>0.045834418</v>
      </c>
      <c r="R207" s="13">
        <v>0.1155536604</v>
      </c>
      <c r="S207" s="13">
        <v>0</v>
      </c>
      <c r="T207" s="13">
        <v>0.1073162848</v>
      </c>
      <c r="U207" s="13">
        <v>0.0156078397</v>
      </c>
      <c r="V207" s="13">
        <v>0</v>
      </c>
      <c r="W207" s="13">
        <v>-0.0031896607</v>
      </c>
      <c r="X207" s="13">
        <v>0</v>
      </c>
      <c r="Y207" s="13">
        <v>0</v>
      </c>
      <c r="Z207" s="13">
        <v>0.012875378</v>
      </c>
    </row>
    <row r="208" s="2" customFormat="1" spans="1:26">
      <c r="A208" s="11" t="s">
        <v>935</v>
      </c>
      <c r="B208" s="11" t="s">
        <v>937</v>
      </c>
      <c r="C208" s="14" t="s">
        <v>854</v>
      </c>
      <c r="D208" s="14" t="s">
        <v>938</v>
      </c>
      <c r="E208" s="14" t="s">
        <v>939</v>
      </c>
      <c r="F208" s="3" t="s">
        <v>944</v>
      </c>
      <c r="G208" s="4">
        <v>78</v>
      </c>
      <c r="H208" s="12">
        <v>12037.564</v>
      </c>
      <c r="I208" s="12">
        <v>1708.239406</v>
      </c>
      <c r="J208" s="13">
        <v>0.1419090611</v>
      </c>
      <c r="K208" s="13">
        <v>0.1419090611</v>
      </c>
      <c r="L208" s="12">
        <v>22.6952564102</v>
      </c>
      <c r="M208" s="13">
        <v>0.1494062017</v>
      </c>
      <c r="N208" s="13">
        <v>0.0332196653</v>
      </c>
      <c r="O208" s="13">
        <v>0.3244889082</v>
      </c>
      <c r="P208" s="13">
        <v>0.0649350649</v>
      </c>
      <c r="Q208" s="13">
        <v>0.0231641544</v>
      </c>
      <c r="R208" s="13">
        <v>0.1456184633</v>
      </c>
      <c r="S208" s="13">
        <v>0</v>
      </c>
      <c r="T208" s="13">
        <v>0.1044948961</v>
      </c>
      <c r="U208" s="13">
        <v>0.0154075148</v>
      </c>
      <c r="V208" s="13">
        <v>-0.00544562</v>
      </c>
      <c r="W208" s="13">
        <v>-0.0023413572</v>
      </c>
      <c r="X208" s="13">
        <v>0.0037382334</v>
      </c>
      <c r="Y208" s="13">
        <v>0</v>
      </c>
      <c r="Z208" s="13">
        <v>0.0014048134</v>
      </c>
    </row>
    <row r="209" s="2" customFormat="1" hidden="1" spans="1:26">
      <c r="A209" s="11" t="s">
        <v>935</v>
      </c>
      <c r="B209" s="11" t="s">
        <v>937</v>
      </c>
      <c r="C209" s="14" t="s">
        <v>854</v>
      </c>
      <c r="D209" s="14" t="s">
        <v>938</v>
      </c>
      <c r="E209" s="14" t="s">
        <v>939</v>
      </c>
      <c r="F209" s="3" t="s">
        <v>945</v>
      </c>
      <c r="G209" s="4">
        <v>4</v>
      </c>
      <c r="H209" s="12">
        <v>625.328</v>
      </c>
      <c r="I209" s="12">
        <v>87.136544</v>
      </c>
      <c r="J209" s="13">
        <v>0.1393453419</v>
      </c>
      <c r="K209" s="13">
        <v>0.1393453419</v>
      </c>
      <c r="L209" s="12">
        <v>22.99</v>
      </c>
      <c r="M209" s="13">
        <v>0.1474907376</v>
      </c>
      <c r="N209" s="13">
        <v>0.0327937722</v>
      </c>
      <c r="O209" s="13">
        <v>0.3244889082</v>
      </c>
      <c r="P209" s="13">
        <v>0</v>
      </c>
      <c r="Q209" s="13">
        <v>0</v>
      </c>
      <c r="R209" s="13">
        <v>0.2307053289</v>
      </c>
      <c r="S209" s="13">
        <v>0</v>
      </c>
      <c r="T209" s="13">
        <v>0.1078729882</v>
      </c>
      <c r="U209" s="13">
        <v>0.0152099826</v>
      </c>
      <c r="V209" s="13">
        <v>0</v>
      </c>
      <c r="W209" s="13">
        <v>0</v>
      </c>
      <c r="X209" s="13">
        <v>0.00209294</v>
      </c>
      <c r="Y209" s="13">
        <v>0</v>
      </c>
      <c r="Z209" s="13">
        <v>0</v>
      </c>
    </row>
    <row r="210" s="2" customFormat="1" hidden="1" spans="1:26">
      <c r="A210" s="11" t="s">
        <v>935</v>
      </c>
      <c r="B210" s="11" t="s">
        <v>937</v>
      </c>
      <c r="C210" s="14" t="s">
        <v>856</v>
      </c>
      <c r="D210" s="14" t="s">
        <v>938</v>
      </c>
      <c r="E210" s="14" t="s">
        <v>939</v>
      </c>
      <c r="F210" s="3" t="s">
        <v>936</v>
      </c>
      <c r="G210" s="4">
        <v>124</v>
      </c>
      <c r="H210" s="12">
        <v>18365.236</v>
      </c>
      <c r="I210" s="12">
        <v>672.216273</v>
      </c>
      <c r="J210" s="13">
        <v>0.0366026482</v>
      </c>
      <c r="K210" s="13">
        <v>0.0366026482</v>
      </c>
      <c r="L210" s="12">
        <v>21.7804032257</v>
      </c>
      <c r="M210" s="13">
        <v>0.1596612192</v>
      </c>
      <c r="N210" s="13">
        <v>0.0404345112</v>
      </c>
      <c r="O210" s="13">
        <v>0.3473009549</v>
      </c>
      <c r="P210" s="13">
        <v>0.0333090192</v>
      </c>
      <c r="Q210" s="13">
        <v>0.0638827173</v>
      </c>
      <c r="R210" s="13">
        <v>0.2159720408</v>
      </c>
      <c r="S210" s="13">
        <v>0</v>
      </c>
      <c r="T210" s="13">
        <v>0.1067510376</v>
      </c>
      <c r="U210" s="13">
        <v>0.0164650641</v>
      </c>
      <c r="V210" s="13">
        <v>-0.0249410353</v>
      </c>
      <c r="W210" s="13">
        <v>-0.0032182134</v>
      </c>
      <c r="X210" s="13">
        <v>0.001681002</v>
      </c>
      <c r="Y210" s="13">
        <v>0</v>
      </c>
      <c r="Z210" s="13">
        <v>0.0060990337</v>
      </c>
    </row>
    <row r="211" s="2" customFormat="1" hidden="1" spans="1:26">
      <c r="A211" s="11" t="s">
        <v>935</v>
      </c>
      <c r="B211" s="11" t="s">
        <v>937</v>
      </c>
      <c r="C211" s="14" t="s">
        <v>856</v>
      </c>
      <c r="D211" s="14" t="s">
        <v>938</v>
      </c>
      <c r="E211" s="14" t="s">
        <v>939</v>
      </c>
      <c r="F211" s="3" t="s">
        <v>941</v>
      </c>
      <c r="G211" s="4">
        <v>7</v>
      </c>
      <c r="H211" s="12">
        <v>1087.524</v>
      </c>
      <c r="I211" s="12">
        <v>-91.433449</v>
      </c>
      <c r="J211" s="13">
        <v>-0.0840748792</v>
      </c>
      <c r="K211" s="13">
        <v>-0.0840748792</v>
      </c>
      <c r="L211" s="12">
        <v>22.8471428571</v>
      </c>
      <c r="M211" s="13">
        <v>0.1522065913</v>
      </c>
      <c r="N211" s="13">
        <v>0.0475730806</v>
      </c>
      <c r="O211" s="13">
        <v>0.3307697117</v>
      </c>
      <c r="P211" s="13">
        <v>0</v>
      </c>
      <c r="Q211" s="13">
        <v>0.0017911016</v>
      </c>
      <c r="R211" s="13">
        <v>0.4483518183</v>
      </c>
      <c r="S211" s="13">
        <v>0</v>
      </c>
      <c r="T211" s="13">
        <v>0.0823485274</v>
      </c>
      <c r="U211" s="13">
        <v>0.0156963055</v>
      </c>
      <c r="V211" s="13">
        <v>0</v>
      </c>
      <c r="W211" s="13">
        <v>0</v>
      </c>
      <c r="X211" s="13">
        <v>0</v>
      </c>
      <c r="Y211" s="13">
        <v>0</v>
      </c>
      <c r="Z211" s="13">
        <v>0.0053377424</v>
      </c>
    </row>
    <row r="212" s="2" customFormat="1" hidden="1" spans="1:26">
      <c r="A212" s="11" t="s">
        <v>935</v>
      </c>
      <c r="B212" s="11" t="s">
        <v>937</v>
      </c>
      <c r="C212" s="14" t="s">
        <v>856</v>
      </c>
      <c r="D212" s="14" t="s">
        <v>938</v>
      </c>
      <c r="E212" s="14" t="s">
        <v>939</v>
      </c>
      <c r="F212" s="3" t="s">
        <v>942</v>
      </c>
      <c r="G212" s="4">
        <v>50</v>
      </c>
      <c r="H212" s="12">
        <v>7000.6</v>
      </c>
      <c r="I212" s="12">
        <v>-230.759284</v>
      </c>
      <c r="J212" s="13">
        <v>-0.0329627866</v>
      </c>
      <c r="K212" s="13">
        <v>-0.0329627866</v>
      </c>
      <c r="L212" s="12">
        <v>20.59</v>
      </c>
      <c r="M212" s="13">
        <v>0.1688919735</v>
      </c>
      <c r="N212" s="13">
        <v>0.0421729708</v>
      </c>
      <c r="O212" s="13">
        <v>0.370568237</v>
      </c>
      <c r="P212" s="13">
        <v>0.0194171928</v>
      </c>
      <c r="Q212" s="13">
        <v>0.0448331841</v>
      </c>
      <c r="R212" s="13">
        <v>0.2594363252</v>
      </c>
      <c r="S212" s="13">
        <v>0</v>
      </c>
      <c r="T212" s="13">
        <v>0.1037396794</v>
      </c>
      <c r="U212" s="13">
        <v>0.0174169856</v>
      </c>
      <c r="V212" s="13">
        <v>0</v>
      </c>
      <c r="W212" s="13">
        <v>0</v>
      </c>
      <c r="X212" s="13">
        <v>0</v>
      </c>
      <c r="Y212" s="13">
        <v>0</v>
      </c>
      <c r="Z212" s="13">
        <v>0.0064862377</v>
      </c>
    </row>
    <row r="213" s="2" customFormat="1" hidden="1" spans="1:26">
      <c r="A213" s="11" t="s">
        <v>935</v>
      </c>
      <c r="B213" s="11" t="s">
        <v>937</v>
      </c>
      <c r="C213" s="14" t="s">
        <v>856</v>
      </c>
      <c r="D213" s="14" t="s">
        <v>938</v>
      </c>
      <c r="E213" s="14" t="s">
        <v>939</v>
      </c>
      <c r="F213" s="3" t="s">
        <v>943</v>
      </c>
      <c r="G213" s="4">
        <v>26</v>
      </c>
      <c r="H213" s="12">
        <v>4078.3</v>
      </c>
      <c r="I213" s="12">
        <v>785.863391</v>
      </c>
      <c r="J213" s="13">
        <v>0.1926938653</v>
      </c>
      <c r="K213" s="13">
        <v>0.1926938653</v>
      </c>
      <c r="L213" s="12">
        <v>23.0673076922</v>
      </c>
      <c r="M213" s="13">
        <v>0.1507538626</v>
      </c>
      <c r="N213" s="13">
        <v>0.0376438153</v>
      </c>
      <c r="O213" s="13">
        <v>0.3180491871</v>
      </c>
      <c r="P213" s="13">
        <v>0.04</v>
      </c>
      <c r="Q213" s="13">
        <v>0.1135263497</v>
      </c>
      <c r="R213" s="13">
        <v>0.1095846614</v>
      </c>
      <c r="S213" s="13">
        <v>0</v>
      </c>
      <c r="T213" s="13">
        <v>0.11524802</v>
      </c>
      <c r="U213" s="13">
        <v>0.0155464929</v>
      </c>
      <c r="V213" s="13">
        <v>-0.1123134639</v>
      </c>
      <c r="W213" s="13">
        <v>0</v>
      </c>
      <c r="X213" s="13">
        <v>0.0063918291</v>
      </c>
      <c r="Y213" s="13">
        <v>0</v>
      </c>
      <c r="Z213" s="13">
        <v>0.0128753801</v>
      </c>
    </row>
    <row r="214" s="2" customFormat="1" spans="1:26">
      <c r="A214" s="11" t="s">
        <v>935</v>
      </c>
      <c r="B214" s="11" t="s">
        <v>937</v>
      </c>
      <c r="C214" s="14" t="s">
        <v>856</v>
      </c>
      <c r="D214" s="14" t="s">
        <v>938</v>
      </c>
      <c r="E214" s="14" t="s">
        <v>939</v>
      </c>
      <c r="F214" s="3" t="s">
        <v>944</v>
      </c>
      <c r="G214" s="4">
        <v>39</v>
      </c>
      <c r="H214" s="12">
        <v>5899.748</v>
      </c>
      <c r="I214" s="12">
        <v>202.758631</v>
      </c>
      <c r="J214" s="13">
        <v>0.0343673375</v>
      </c>
      <c r="K214" s="13">
        <v>0.0343673375</v>
      </c>
      <c r="L214" s="12">
        <v>22.2464102563</v>
      </c>
      <c r="M214" s="13">
        <v>0.1563167133</v>
      </c>
      <c r="N214" s="13">
        <v>0.0390328803</v>
      </c>
      <c r="O214" s="13">
        <v>0.342976683</v>
      </c>
      <c r="P214" s="13">
        <v>0.0529961618</v>
      </c>
      <c r="Q214" s="13">
        <v>0.0668536374</v>
      </c>
      <c r="R214" s="13">
        <v>0.1908607758</v>
      </c>
      <c r="S214" s="13">
        <v>0</v>
      </c>
      <c r="T214" s="13">
        <v>0.1082744551</v>
      </c>
      <c r="U214" s="13">
        <v>0.0161201619</v>
      </c>
      <c r="V214" s="13">
        <v>0</v>
      </c>
      <c r="W214" s="13">
        <v>-0.0100179278</v>
      </c>
      <c r="X214" s="13">
        <v>0.0008143064</v>
      </c>
      <c r="Y214" s="13">
        <v>0</v>
      </c>
      <c r="Z214" s="13">
        <v>0.0014048147</v>
      </c>
    </row>
    <row r="215" s="2" customFormat="1" hidden="1" spans="1:26">
      <c r="A215" s="11" t="s">
        <v>935</v>
      </c>
      <c r="B215" s="11" t="s">
        <v>937</v>
      </c>
      <c r="C215" s="14" t="s">
        <v>856</v>
      </c>
      <c r="D215" s="14" t="s">
        <v>938</v>
      </c>
      <c r="E215" s="14" t="s">
        <v>939</v>
      </c>
      <c r="F215" s="3" t="s">
        <v>945</v>
      </c>
      <c r="G215" s="4">
        <v>2</v>
      </c>
      <c r="H215" s="12">
        <v>299.064</v>
      </c>
      <c r="I215" s="12">
        <v>5.786984</v>
      </c>
      <c r="J215" s="13">
        <v>0.0193503196</v>
      </c>
      <c r="K215" s="13">
        <v>0.0193503196</v>
      </c>
      <c r="L215" s="12">
        <v>21.99</v>
      </c>
      <c r="M215" s="13">
        <v>0.1581394149</v>
      </c>
      <c r="N215" s="13">
        <v>0.0394880159</v>
      </c>
      <c r="O215" s="13">
        <v>0.3469758981</v>
      </c>
      <c r="P215" s="13">
        <v>0</v>
      </c>
      <c r="Q215" s="13">
        <v>0</v>
      </c>
      <c r="R215" s="13">
        <v>0.2996836529</v>
      </c>
      <c r="S215" s="13">
        <v>0</v>
      </c>
      <c r="T215" s="13">
        <v>0.1200545702</v>
      </c>
      <c r="U215" s="13">
        <v>0.016308128</v>
      </c>
      <c r="V215" s="13">
        <v>0</v>
      </c>
      <c r="W215" s="13">
        <v>0</v>
      </c>
      <c r="X215" s="13">
        <v>0</v>
      </c>
      <c r="Y215" s="13">
        <v>0</v>
      </c>
      <c r="Z215" s="13">
        <v>0</v>
      </c>
    </row>
    <row r="216" s="2" customFormat="1" hidden="1" spans="1:26">
      <c r="A216" s="11" t="s">
        <v>935</v>
      </c>
      <c r="B216" s="11" t="s">
        <v>937</v>
      </c>
      <c r="C216" s="14" t="s">
        <v>858</v>
      </c>
      <c r="D216" s="14" t="s">
        <v>938</v>
      </c>
      <c r="E216" s="14" t="s">
        <v>939</v>
      </c>
      <c r="F216" s="3" t="s">
        <v>936</v>
      </c>
      <c r="G216" s="4">
        <v>51</v>
      </c>
      <c r="H216" s="12">
        <v>8822.66</v>
      </c>
      <c r="I216" s="12">
        <v>1189.5102</v>
      </c>
      <c r="J216" s="13">
        <v>0.1348244407</v>
      </c>
      <c r="K216" s="13">
        <v>0.1348244407</v>
      </c>
      <c r="L216" s="12">
        <v>25.4401960784</v>
      </c>
      <c r="M216" s="13">
        <v>0.1103577209</v>
      </c>
      <c r="N216" s="13">
        <v>0.0251521308</v>
      </c>
      <c r="O216" s="13">
        <v>0.2703148483</v>
      </c>
      <c r="P216" s="13">
        <v>0.0394466068</v>
      </c>
      <c r="Q216" s="13">
        <v>0.0684475374</v>
      </c>
      <c r="R216" s="13">
        <v>0.358343545</v>
      </c>
      <c r="S216" s="13">
        <v>0</v>
      </c>
      <c r="T216" s="13">
        <v>0.0900304443</v>
      </c>
      <c r="U216" s="13">
        <v>0.0113806408</v>
      </c>
      <c r="V216" s="13">
        <v>-0.1128598404</v>
      </c>
      <c r="W216" s="13">
        <v>0</v>
      </c>
      <c r="X216" s="13">
        <v>0</v>
      </c>
      <c r="Y216" s="13">
        <v>0</v>
      </c>
      <c r="Z216" s="13">
        <v>0.0045619249</v>
      </c>
    </row>
    <row r="217" s="2" customFormat="1" hidden="1" spans="1:26">
      <c r="A217" s="11" t="s">
        <v>935</v>
      </c>
      <c r="B217" s="11" t="s">
        <v>937</v>
      </c>
      <c r="C217" s="14" t="s">
        <v>858</v>
      </c>
      <c r="D217" s="14" t="s">
        <v>938</v>
      </c>
      <c r="E217" s="14" t="s">
        <v>939</v>
      </c>
      <c r="F217" s="3" t="s">
        <v>942</v>
      </c>
      <c r="G217" s="4">
        <v>17</v>
      </c>
      <c r="H217" s="12">
        <v>3004.444</v>
      </c>
      <c r="I217" s="12">
        <v>292.959763</v>
      </c>
      <c r="J217" s="13">
        <v>0.0975088112</v>
      </c>
      <c r="K217" s="13">
        <v>0.0975088112</v>
      </c>
      <c r="L217" s="12">
        <v>25.99</v>
      </c>
      <c r="M217" s="13">
        <v>0.108023165</v>
      </c>
      <c r="N217" s="13">
        <v>0.0300567808</v>
      </c>
      <c r="O217" s="13">
        <v>0.2628160152</v>
      </c>
      <c r="P217" s="13">
        <v>0</v>
      </c>
      <c r="Q217" s="13">
        <v>0.0194617879</v>
      </c>
      <c r="R217" s="13">
        <v>0.3756043313</v>
      </c>
      <c r="S217" s="13">
        <v>0</v>
      </c>
      <c r="T217" s="13">
        <v>0.0889029717</v>
      </c>
      <c r="U217" s="13">
        <v>0.0111398897</v>
      </c>
      <c r="V217" s="13">
        <v>0</v>
      </c>
      <c r="W217" s="13">
        <v>0</v>
      </c>
      <c r="X217" s="13">
        <v>0</v>
      </c>
      <c r="Y217" s="13">
        <v>0</v>
      </c>
      <c r="Z217" s="13">
        <v>0.0064862467</v>
      </c>
    </row>
    <row r="218" s="2" customFormat="1" hidden="1" spans="1:26">
      <c r="A218" s="11" t="s">
        <v>935</v>
      </c>
      <c r="B218" s="11" t="s">
        <v>937</v>
      </c>
      <c r="C218" s="14" t="s">
        <v>858</v>
      </c>
      <c r="D218" s="14" t="s">
        <v>938</v>
      </c>
      <c r="E218" s="14" t="s">
        <v>939</v>
      </c>
      <c r="F218" s="3" t="s">
        <v>943</v>
      </c>
      <c r="G218" s="4">
        <v>7</v>
      </c>
      <c r="H218" s="12">
        <v>1137.844</v>
      </c>
      <c r="I218" s="12">
        <v>629.546018</v>
      </c>
      <c r="J218" s="13">
        <v>0.5532797272</v>
      </c>
      <c r="K218" s="13">
        <v>0.5532797272</v>
      </c>
      <c r="L218" s="12">
        <v>23.9042857142</v>
      </c>
      <c r="M218" s="13">
        <v>0.1174484815</v>
      </c>
      <c r="N218" s="13">
        <v>0.0238279017</v>
      </c>
      <c r="O218" s="13">
        <v>0.2886511683</v>
      </c>
      <c r="P218" s="13">
        <v>0</v>
      </c>
      <c r="Q218" s="13">
        <v>0.2478243133</v>
      </c>
      <c r="R218" s="13">
        <v>0.4763782363</v>
      </c>
      <c r="S218" s="13">
        <v>0</v>
      </c>
      <c r="T218" s="13">
        <v>0.097412299</v>
      </c>
      <c r="U218" s="13">
        <v>0.0121118756</v>
      </c>
      <c r="V218" s="13">
        <v>-0.8298093587</v>
      </c>
      <c r="W218" s="13">
        <v>0</v>
      </c>
      <c r="X218" s="13">
        <v>0</v>
      </c>
      <c r="Y218" s="13">
        <v>0</v>
      </c>
      <c r="Z218" s="13">
        <v>0.0128753554</v>
      </c>
    </row>
    <row r="219" s="2" customFormat="1" spans="1:26">
      <c r="A219" s="11" t="s">
        <v>935</v>
      </c>
      <c r="B219" s="11" t="s">
        <v>937</v>
      </c>
      <c r="C219" s="14" t="s">
        <v>858</v>
      </c>
      <c r="D219" s="14" t="s">
        <v>938</v>
      </c>
      <c r="E219" s="14" t="s">
        <v>939</v>
      </c>
      <c r="F219" s="3" t="s">
        <v>944</v>
      </c>
      <c r="G219" s="4">
        <v>25</v>
      </c>
      <c r="H219" s="12">
        <v>4349.756</v>
      </c>
      <c r="I219" s="12">
        <v>153.998405</v>
      </c>
      <c r="J219" s="13">
        <v>0.035403918</v>
      </c>
      <c r="K219" s="13">
        <v>0.035403918</v>
      </c>
      <c r="L219" s="12">
        <v>25.5868</v>
      </c>
      <c r="M219" s="13">
        <v>0.1097254075</v>
      </c>
      <c r="N219" s="13">
        <v>0.0222431269</v>
      </c>
      <c r="O219" s="13">
        <v>0.2696702987</v>
      </c>
      <c r="P219" s="13">
        <v>0.0800100051</v>
      </c>
      <c r="Q219" s="13">
        <v>0.0605624984</v>
      </c>
      <c r="R219" s="13">
        <v>0.3349197062</v>
      </c>
      <c r="S219" s="13">
        <v>0</v>
      </c>
      <c r="T219" s="13">
        <v>0.0865915237</v>
      </c>
      <c r="U219" s="13">
        <v>0.0113154335</v>
      </c>
      <c r="V219" s="13">
        <v>-0.0118467334</v>
      </c>
      <c r="W219" s="13">
        <v>0</v>
      </c>
      <c r="X219" s="13">
        <v>0</v>
      </c>
      <c r="Y219" s="13">
        <v>0</v>
      </c>
      <c r="Z219" s="13">
        <v>0.0014048148</v>
      </c>
    </row>
    <row r="220" s="2" customFormat="1" hidden="1" spans="1:26">
      <c r="A220" s="11" t="s">
        <v>935</v>
      </c>
      <c r="B220" s="11" t="s">
        <v>937</v>
      </c>
      <c r="C220" s="14" t="s">
        <v>858</v>
      </c>
      <c r="D220" s="14" t="s">
        <v>938</v>
      </c>
      <c r="E220" s="14" t="s">
        <v>939</v>
      </c>
      <c r="F220" s="3" t="s">
        <v>945</v>
      </c>
      <c r="G220" s="4">
        <v>2</v>
      </c>
      <c r="H220" s="12">
        <v>330.616</v>
      </c>
      <c r="I220" s="12">
        <v>113.006014</v>
      </c>
      <c r="J220" s="13">
        <v>0.3418044317</v>
      </c>
      <c r="K220" s="13">
        <v>0.3418044317</v>
      </c>
      <c r="L220" s="12">
        <v>24.31</v>
      </c>
      <c r="M220" s="13">
        <v>0.1154883611</v>
      </c>
      <c r="N220" s="13">
        <v>0.0234113715</v>
      </c>
      <c r="O220" s="13">
        <v>0.2838338132</v>
      </c>
      <c r="P220" s="13">
        <v>0</v>
      </c>
      <c r="Q220" s="13">
        <v>0</v>
      </c>
      <c r="R220" s="13">
        <v>0.1034371052</v>
      </c>
      <c r="S220" s="13">
        <v>0</v>
      </c>
      <c r="T220" s="13">
        <v>0.1201151789</v>
      </c>
      <c r="U220" s="13">
        <v>0.0119097381</v>
      </c>
      <c r="V220" s="13">
        <v>0</v>
      </c>
      <c r="W220" s="13">
        <v>0</v>
      </c>
      <c r="X220" s="13">
        <v>0</v>
      </c>
      <c r="Y220" s="13">
        <v>0</v>
      </c>
      <c r="Z220" s="13">
        <v>0</v>
      </c>
    </row>
    <row r="221" s="2" customFormat="1" hidden="1" spans="1:26">
      <c r="A221" s="11" t="s">
        <v>935</v>
      </c>
      <c r="B221" s="11" t="s">
        <v>937</v>
      </c>
      <c r="C221" s="14" t="s">
        <v>860</v>
      </c>
      <c r="D221" s="14" t="s">
        <v>938</v>
      </c>
      <c r="E221" s="14" t="s">
        <v>939</v>
      </c>
      <c r="F221" s="3" t="s">
        <v>936</v>
      </c>
      <c r="G221" s="4">
        <v>201</v>
      </c>
      <c r="H221" s="12">
        <v>34218.892</v>
      </c>
      <c r="I221" s="12">
        <v>6940.267225</v>
      </c>
      <c r="J221" s="13">
        <v>0.202819753</v>
      </c>
      <c r="K221" s="13">
        <v>0.202819753</v>
      </c>
      <c r="L221" s="12">
        <v>25.0357711442</v>
      </c>
      <c r="M221" s="13">
        <v>0.125193068</v>
      </c>
      <c r="N221" s="13">
        <v>0.0430032052</v>
      </c>
      <c r="O221" s="13">
        <v>0.2994541144</v>
      </c>
      <c r="P221" s="13">
        <v>0.0194666735</v>
      </c>
      <c r="Q221" s="13">
        <v>0.0145264216</v>
      </c>
      <c r="R221" s="13">
        <v>0.1683559454</v>
      </c>
      <c r="S221" s="13">
        <v>0</v>
      </c>
      <c r="T221" s="13">
        <v>0.1164562546</v>
      </c>
      <c r="U221" s="13">
        <v>0.0129105387</v>
      </c>
      <c r="V221" s="13">
        <v>-0.0075295249</v>
      </c>
      <c r="W221" s="13">
        <v>-0.0016499777</v>
      </c>
      <c r="X221" s="13">
        <v>0.0009021916</v>
      </c>
      <c r="Y221" s="13">
        <v>0</v>
      </c>
      <c r="Z221" s="13">
        <v>0.0060913362</v>
      </c>
    </row>
    <row r="222" s="2" customFormat="1" hidden="1" spans="1:26">
      <c r="A222" s="11" t="s">
        <v>935</v>
      </c>
      <c r="B222" s="11" t="s">
        <v>937</v>
      </c>
      <c r="C222" s="14" t="s">
        <v>860</v>
      </c>
      <c r="D222" s="14" t="s">
        <v>938</v>
      </c>
      <c r="E222" s="14" t="s">
        <v>939</v>
      </c>
      <c r="F222" s="3" t="s">
        <v>940</v>
      </c>
      <c r="G222" s="4">
        <v>7</v>
      </c>
      <c r="H222" s="12">
        <v>1141.924</v>
      </c>
      <c r="I222" s="12">
        <v>262.965068</v>
      </c>
      <c r="J222" s="13">
        <v>0.2302824601</v>
      </c>
      <c r="K222" s="13">
        <v>0.2302824601</v>
      </c>
      <c r="L222" s="12">
        <v>23.99</v>
      </c>
      <c r="M222" s="13">
        <v>0.1306504793</v>
      </c>
      <c r="N222" s="13">
        <v>0.0434201628</v>
      </c>
      <c r="O222" s="13">
        <v>0.2972071696</v>
      </c>
      <c r="P222" s="13">
        <v>0</v>
      </c>
      <c r="Q222" s="13">
        <v>0.0008192208</v>
      </c>
      <c r="R222" s="13">
        <v>0.1741172196</v>
      </c>
      <c r="S222" s="13">
        <v>0</v>
      </c>
      <c r="T222" s="13">
        <v>0.1096885607</v>
      </c>
      <c r="U222" s="13">
        <v>0.0134733344</v>
      </c>
      <c r="V222" s="13">
        <v>0</v>
      </c>
      <c r="W222" s="13">
        <v>0</v>
      </c>
      <c r="X222" s="13">
        <v>0</v>
      </c>
      <c r="Y222" s="13">
        <v>0</v>
      </c>
      <c r="Z222" s="13">
        <v>0.0003413922</v>
      </c>
    </row>
    <row r="223" s="2" customFormat="1" hidden="1" spans="1:26">
      <c r="A223" s="11" t="s">
        <v>935</v>
      </c>
      <c r="B223" s="11" t="s">
        <v>937</v>
      </c>
      <c r="C223" s="14" t="s">
        <v>860</v>
      </c>
      <c r="D223" s="14" t="s">
        <v>938</v>
      </c>
      <c r="E223" s="14" t="s">
        <v>939</v>
      </c>
      <c r="F223" s="3" t="s">
        <v>941</v>
      </c>
      <c r="G223" s="4">
        <v>41</v>
      </c>
      <c r="H223" s="12">
        <v>6397.372</v>
      </c>
      <c r="I223" s="12">
        <v>851.896043</v>
      </c>
      <c r="J223" s="13">
        <v>0.1331634369</v>
      </c>
      <c r="K223" s="13">
        <v>0.1331634369</v>
      </c>
      <c r="L223" s="12">
        <v>22.9460975609</v>
      </c>
      <c r="M223" s="13">
        <v>0.1365942505</v>
      </c>
      <c r="N223" s="13">
        <v>0.0269235451</v>
      </c>
      <c r="O223" s="13">
        <v>0.3208473729</v>
      </c>
      <c r="P223" s="13">
        <v>0.0254998458</v>
      </c>
      <c r="Q223" s="13">
        <v>0.0078640704</v>
      </c>
      <c r="R223" s="13">
        <v>0.2234238799</v>
      </c>
      <c r="S223" s="13">
        <v>0</v>
      </c>
      <c r="T223" s="13">
        <v>0.1102477704</v>
      </c>
      <c r="U223" s="13">
        <v>0.014086286</v>
      </c>
      <c r="V223" s="13">
        <v>0</v>
      </c>
      <c r="W223" s="13">
        <v>-0.0039882389</v>
      </c>
      <c r="X223" s="13">
        <v>0</v>
      </c>
      <c r="Y223" s="13">
        <v>0</v>
      </c>
      <c r="Z223" s="13">
        <v>0.0053377804</v>
      </c>
    </row>
    <row r="224" s="2" customFormat="1" hidden="1" spans="1:26">
      <c r="A224" s="11" t="s">
        <v>935</v>
      </c>
      <c r="B224" s="11" t="s">
        <v>937</v>
      </c>
      <c r="C224" s="14" t="s">
        <v>860</v>
      </c>
      <c r="D224" s="14" t="s">
        <v>938</v>
      </c>
      <c r="E224" s="14" t="s">
        <v>939</v>
      </c>
      <c r="F224" s="3" t="s">
        <v>942</v>
      </c>
      <c r="G224" s="4">
        <v>53</v>
      </c>
      <c r="H224" s="12">
        <v>8632.396</v>
      </c>
      <c r="I224" s="12">
        <v>1836.141663</v>
      </c>
      <c r="J224" s="13">
        <v>0.212703595</v>
      </c>
      <c r="K224" s="13">
        <v>0.212703595</v>
      </c>
      <c r="L224" s="12">
        <v>23.9522641509</v>
      </c>
      <c r="M224" s="13">
        <v>0.130856314</v>
      </c>
      <c r="N224" s="13">
        <v>0.0330911059</v>
      </c>
      <c r="O224" s="13">
        <v>0.3152102846</v>
      </c>
      <c r="P224" s="13">
        <v>0.0173221895</v>
      </c>
      <c r="Q224" s="13">
        <v>0.0219208581</v>
      </c>
      <c r="R224" s="13">
        <v>0.1603739632</v>
      </c>
      <c r="S224" s="13">
        <v>0</v>
      </c>
      <c r="T224" s="13">
        <v>0.1183879886</v>
      </c>
      <c r="U224" s="13">
        <v>0.0134945611</v>
      </c>
      <c r="V224" s="13">
        <v>-0.0298471015</v>
      </c>
      <c r="W224" s="13">
        <v>0</v>
      </c>
      <c r="X224" s="13">
        <v>0</v>
      </c>
      <c r="Y224" s="13">
        <v>0</v>
      </c>
      <c r="Z224" s="13">
        <v>0.006486241</v>
      </c>
    </row>
    <row r="225" s="2" customFormat="1" hidden="1" spans="1:26">
      <c r="A225" s="11" t="s">
        <v>935</v>
      </c>
      <c r="B225" s="11" t="s">
        <v>937</v>
      </c>
      <c r="C225" s="14" t="s">
        <v>860</v>
      </c>
      <c r="D225" s="14" t="s">
        <v>938</v>
      </c>
      <c r="E225" s="14" t="s">
        <v>939</v>
      </c>
      <c r="F225" s="3" t="s">
        <v>943</v>
      </c>
      <c r="G225" s="4">
        <v>46</v>
      </c>
      <c r="H225" s="12">
        <v>8136.472</v>
      </c>
      <c r="I225" s="12">
        <v>1644.02474</v>
      </c>
      <c r="J225" s="13">
        <v>0.2020562155</v>
      </c>
      <c r="K225" s="13">
        <v>0.2020562155</v>
      </c>
      <c r="L225" s="12">
        <v>26.0117391304</v>
      </c>
      <c r="M225" s="13">
        <v>0.1204957878</v>
      </c>
      <c r="N225" s="13">
        <v>0.0545528804</v>
      </c>
      <c r="O225" s="13">
        <v>0.2902535644</v>
      </c>
      <c r="P225" s="13">
        <v>0.0217209621</v>
      </c>
      <c r="Q225" s="13">
        <v>0.0206170155</v>
      </c>
      <c r="R225" s="13">
        <v>0.1457386086</v>
      </c>
      <c r="S225" s="13">
        <v>0</v>
      </c>
      <c r="T225" s="13">
        <v>0.1179567753</v>
      </c>
      <c r="U225" s="13">
        <v>0.0124261316</v>
      </c>
      <c r="V225" s="13">
        <v>0</v>
      </c>
      <c r="W225" s="13">
        <v>0</v>
      </c>
      <c r="X225" s="13">
        <v>0.0013066837</v>
      </c>
      <c r="Y225" s="13">
        <v>0</v>
      </c>
      <c r="Z225" s="13">
        <v>0.0128753746</v>
      </c>
    </row>
    <row r="226" s="2" customFormat="1" spans="1:26">
      <c r="A226" s="11" t="s">
        <v>935</v>
      </c>
      <c r="B226" s="11" t="s">
        <v>937</v>
      </c>
      <c r="C226" s="14" t="s">
        <v>860</v>
      </c>
      <c r="D226" s="14" t="s">
        <v>938</v>
      </c>
      <c r="E226" s="14" t="s">
        <v>939</v>
      </c>
      <c r="F226" s="3" t="s">
        <v>944</v>
      </c>
      <c r="G226" s="4">
        <v>51</v>
      </c>
      <c r="H226" s="12">
        <v>9360.132</v>
      </c>
      <c r="I226" s="12">
        <v>2158.21932</v>
      </c>
      <c r="J226" s="13">
        <v>0.2305757354</v>
      </c>
      <c r="K226" s="13">
        <v>0.2305757354</v>
      </c>
      <c r="L226" s="12">
        <v>26.99</v>
      </c>
      <c r="M226" s="13">
        <v>0.1161283808</v>
      </c>
      <c r="N226" s="13">
        <v>0.0524861604</v>
      </c>
      <c r="O226" s="13">
        <v>0.2797332345</v>
      </c>
      <c r="P226" s="13">
        <v>0.0188813576</v>
      </c>
      <c r="Q226" s="13">
        <v>0.0094928023</v>
      </c>
      <c r="R226" s="13">
        <v>0.1622373084</v>
      </c>
      <c r="S226" s="13">
        <v>0</v>
      </c>
      <c r="T226" s="13">
        <v>0.1182282472</v>
      </c>
      <c r="U226" s="13">
        <v>0.0119757426</v>
      </c>
      <c r="V226" s="13">
        <v>0</v>
      </c>
      <c r="W226" s="13">
        <v>-0.0033061674</v>
      </c>
      <c r="X226" s="13">
        <v>0.0021623842</v>
      </c>
      <c r="Y226" s="13">
        <v>0</v>
      </c>
      <c r="Z226" s="13">
        <v>0.0014048136</v>
      </c>
    </row>
    <row r="227" s="2" customFormat="1" hidden="1" spans="1:26">
      <c r="A227" s="11" t="s">
        <v>935</v>
      </c>
      <c r="B227" s="11" t="s">
        <v>937</v>
      </c>
      <c r="C227" s="14" t="s">
        <v>860</v>
      </c>
      <c r="D227" s="14" t="s">
        <v>938</v>
      </c>
      <c r="E227" s="14" t="s">
        <v>939</v>
      </c>
      <c r="F227" s="3" t="s">
        <v>945</v>
      </c>
      <c r="G227" s="4">
        <v>3</v>
      </c>
      <c r="H227" s="12">
        <v>550.596</v>
      </c>
      <c r="I227" s="12">
        <v>187.020391</v>
      </c>
      <c r="J227" s="13">
        <v>0.3396689968</v>
      </c>
      <c r="K227" s="13">
        <v>0.3396689968</v>
      </c>
      <c r="L227" s="12">
        <v>26.99</v>
      </c>
      <c r="M227" s="13">
        <v>0.1161283808</v>
      </c>
      <c r="N227" s="13">
        <v>0.0524861604</v>
      </c>
      <c r="O227" s="13">
        <v>0.2797332345</v>
      </c>
      <c r="P227" s="13">
        <v>0</v>
      </c>
      <c r="Q227" s="13">
        <v>0</v>
      </c>
      <c r="R227" s="13">
        <v>0.0799630237</v>
      </c>
      <c r="S227" s="13">
        <v>0</v>
      </c>
      <c r="T227" s="13">
        <v>0.1200444609</v>
      </c>
      <c r="U227" s="13">
        <v>0.0119757426</v>
      </c>
      <c r="V227" s="13">
        <v>0</v>
      </c>
      <c r="W227" s="13">
        <v>0</v>
      </c>
      <c r="X227" s="13">
        <v>0</v>
      </c>
      <c r="Y227" s="13">
        <v>0</v>
      </c>
      <c r="Z227" s="13">
        <v>0</v>
      </c>
    </row>
    <row r="228" s="2" customFormat="1" hidden="1" spans="1:26">
      <c r="A228" s="11" t="s">
        <v>935</v>
      </c>
      <c r="B228" s="11" t="s">
        <v>937</v>
      </c>
      <c r="C228" s="14" t="s">
        <v>862</v>
      </c>
      <c r="D228" s="14" t="s">
        <v>938</v>
      </c>
      <c r="E228" s="14" t="s">
        <v>939</v>
      </c>
      <c r="F228" s="3" t="s">
        <v>936</v>
      </c>
      <c r="G228" s="4">
        <v>45</v>
      </c>
      <c r="H228" s="12">
        <v>7021.884</v>
      </c>
      <c r="I228" s="12">
        <v>-42.388801</v>
      </c>
      <c r="J228" s="13">
        <v>-0.0060366706</v>
      </c>
      <c r="K228" s="13">
        <v>-0.0060366706</v>
      </c>
      <c r="L228" s="12">
        <v>22.9473333333</v>
      </c>
      <c r="M228" s="13">
        <v>0.1174973959</v>
      </c>
      <c r="N228" s="13">
        <v>0.0351694875</v>
      </c>
      <c r="O228" s="13">
        <v>0.3260703252</v>
      </c>
      <c r="P228" s="13">
        <v>0</v>
      </c>
      <c r="Q228" s="13">
        <v>0.1823902686</v>
      </c>
      <c r="R228" s="13">
        <v>0.2178121845</v>
      </c>
      <c r="S228" s="13">
        <v>0</v>
      </c>
      <c r="T228" s="13">
        <v>0.1090419608</v>
      </c>
      <c r="U228" s="13">
        <v>0.0121169211</v>
      </c>
      <c r="V228" s="13">
        <v>0</v>
      </c>
      <c r="W228" s="13">
        <v>0</v>
      </c>
      <c r="X228" s="13">
        <v>0</v>
      </c>
      <c r="Y228" s="13">
        <v>0</v>
      </c>
      <c r="Z228" s="13">
        <v>0.0059381265</v>
      </c>
    </row>
    <row r="229" s="2" customFormat="1" hidden="1" spans="1:26">
      <c r="A229" s="11" t="s">
        <v>935</v>
      </c>
      <c r="B229" s="11" t="s">
        <v>937</v>
      </c>
      <c r="C229" s="14" t="s">
        <v>862</v>
      </c>
      <c r="D229" s="14" t="s">
        <v>938</v>
      </c>
      <c r="E229" s="14" t="s">
        <v>939</v>
      </c>
      <c r="F229" s="3" t="s">
        <v>940</v>
      </c>
      <c r="G229" s="4">
        <v>3</v>
      </c>
      <c r="H229" s="12">
        <v>489.396</v>
      </c>
      <c r="I229" s="12">
        <v>-116.093715</v>
      </c>
      <c r="J229" s="13">
        <v>-0.2372183569</v>
      </c>
      <c r="K229" s="13">
        <v>-0.2372183569</v>
      </c>
      <c r="L229" s="12">
        <v>23.99</v>
      </c>
      <c r="M229" s="13">
        <v>0.112390659</v>
      </c>
      <c r="N229" s="13">
        <v>0.0434201628</v>
      </c>
      <c r="O229" s="13">
        <v>0.2938724468</v>
      </c>
      <c r="P229" s="13">
        <v>0</v>
      </c>
      <c r="Q229" s="13">
        <v>0.0008192343</v>
      </c>
      <c r="R229" s="13">
        <v>0.7304601364</v>
      </c>
      <c r="S229" s="13">
        <v>0</v>
      </c>
      <c r="T229" s="13">
        <v>0.0443240238</v>
      </c>
      <c r="U229" s="13">
        <v>0.0115902888</v>
      </c>
      <c r="V229" s="13">
        <v>0</v>
      </c>
      <c r="W229" s="13">
        <v>0</v>
      </c>
      <c r="X229" s="13">
        <v>0</v>
      </c>
      <c r="Y229" s="13">
        <v>0</v>
      </c>
      <c r="Z229" s="13">
        <v>0.0003414045</v>
      </c>
    </row>
    <row r="230" s="2" customFormat="1" hidden="1" spans="1:26">
      <c r="A230" s="11" t="s">
        <v>935</v>
      </c>
      <c r="B230" s="11" t="s">
        <v>937</v>
      </c>
      <c r="C230" s="14" t="s">
        <v>862</v>
      </c>
      <c r="D230" s="14" t="s">
        <v>938</v>
      </c>
      <c r="E230" s="14" t="s">
        <v>939</v>
      </c>
      <c r="F230" s="3" t="s">
        <v>941</v>
      </c>
      <c r="G230" s="4">
        <v>8</v>
      </c>
      <c r="H230" s="12">
        <v>1212.032</v>
      </c>
      <c r="I230" s="12">
        <v>139.80858</v>
      </c>
      <c r="J230" s="13">
        <v>0.1153505683</v>
      </c>
      <c r="K230" s="13">
        <v>0.1153505683</v>
      </c>
      <c r="L230" s="12">
        <v>22.28</v>
      </c>
      <c r="M230" s="13">
        <v>0.1210166926</v>
      </c>
      <c r="N230" s="13">
        <v>0.0467526863</v>
      </c>
      <c r="O230" s="13">
        <v>0.3302289048</v>
      </c>
      <c r="P230" s="13">
        <v>0</v>
      </c>
      <c r="Q230" s="13">
        <v>0.0905264728</v>
      </c>
      <c r="R230" s="13">
        <v>0.1631813796</v>
      </c>
      <c r="S230" s="13">
        <v>0</v>
      </c>
      <c r="T230" s="13">
        <v>0.1151256732</v>
      </c>
      <c r="U230" s="13">
        <v>0.0124798487</v>
      </c>
      <c r="V230" s="13">
        <v>0</v>
      </c>
      <c r="W230" s="13">
        <v>0</v>
      </c>
      <c r="X230" s="13">
        <v>0</v>
      </c>
      <c r="Y230" s="13">
        <v>0</v>
      </c>
      <c r="Z230" s="13">
        <v>0.0053377732</v>
      </c>
    </row>
    <row r="231" s="2" customFormat="1" hidden="1" spans="1:26">
      <c r="A231" s="11" t="s">
        <v>935</v>
      </c>
      <c r="B231" s="11" t="s">
        <v>937</v>
      </c>
      <c r="C231" s="14" t="s">
        <v>862</v>
      </c>
      <c r="D231" s="14" t="s">
        <v>938</v>
      </c>
      <c r="E231" s="14" t="s">
        <v>939</v>
      </c>
      <c r="F231" s="3" t="s">
        <v>942</v>
      </c>
      <c r="G231" s="4">
        <v>14</v>
      </c>
      <c r="H231" s="12">
        <v>2159.816</v>
      </c>
      <c r="I231" s="12">
        <v>10.385926</v>
      </c>
      <c r="J231" s="13">
        <v>0.0048087087</v>
      </c>
      <c r="K231" s="13">
        <v>0.0048087087</v>
      </c>
      <c r="L231" s="12">
        <v>22.6871428571</v>
      </c>
      <c r="M231" s="13">
        <v>0.1188449303</v>
      </c>
      <c r="N231" s="13">
        <v>0.0280221491</v>
      </c>
      <c r="O231" s="13">
        <v>0.3327876078</v>
      </c>
      <c r="P231" s="13">
        <v>0</v>
      </c>
      <c r="Q231" s="13">
        <v>0.1710850294</v>
      </c>
      <c r="R231" s="13">
        <v>0.2111700486</v>
      </c>
      <c r="S231" s="13">
        <v>0</v>
      </c>
      <c r="T231" s="13">
        <v>0.1145393866</v>
      </c>
      <c r="U231" s="13">
        <v>0.0122558856</v>
      </c>
      <c r="V231" s="13">
        <v>0</v>
      </c>
      <c r="W231" s="13">
        <v>0</v>
      </c>
      <c r="X231" s="13">
        <v>0</v>
      </c>
      <c r="Y231" s="13">
        <v>0</v>
      </c>
      <c r="Z231" s="13">
        <v>0.0064862534</v>
      </c>
    </row>
    <row r="232" s="2" customFormat="1" hidden="1" spans="1:26">
      <c r="A232" s="11" t="s">
        <v>935</v>
      </c>
      <c r="B232" s="11" t="s">
        <v>937</v>
      </c>
      <c r="C232" s="14" t="s">
        <v>862</v>
      </c>
      <c r="D232" s="14" t="s">
        <v>938</v>
      </c>
      <c r="E232" s="14" t="s">
        <v>939</v>
      </c>
      <c r="F232" s="3" t="s">
        <v>943</v>
      </c>
      <c r="G232" s="4">
        <v>10</v>
      </c>
      <c r="H232" s="12">
        <v>1468.12</v>
      </c>
      <c r="I232" s="12">
        <v>-71.227196</v>
      </c>
      <c r="J232" s="13">
        <v>-0.0485159224</v>
      </c>
      <c r="K232" s="13">
        <v>-0.0485159224</v>
      </c>
      <c r="L232" s="12">
        <v>21.59</v>
      </c>
      <c r="M232" s="13">
        <v>0.1248842941</v>
      </c>
      <c r="N232" s="13">
        <v>0.0368964321</v>
      </c>
      <c r="O232" s="13">
        <v>0.3496989346</v>
      </c>
      <c r="P232" s="13">
        <v>0</v>
      </c>
      <c r="Q232" s="13">
        <v>0.2803235457</v>
      </c>
      <c r="R232" s="13">
        <v>0.1136821342</v>
      </c>
      <c r="S232" s="13">
        <v>0</v>
      </c>
      <c r="T232" s="13">
        <v>0.1172765169</v>
      </c>
      <c r="U232" s="13">
        <v>0.0128786952</v>
      </c>
      <c r="V232" s="13">
        <v>0</v>
      </c>
      <c r="W232" s="13">
        <v>0</v>
      </c>
      <c r="X232" s="13">
        <v>0</v>
      </c>
      <c r="Y232" s="13">
        <v>0</v>
      </c>
      <c r="Z232" s="13">
        <v>0.0128753691</v>
      </c>
    </row>
    <row r="233" s="2" customFormat="1" spans="1:26">
      <c r="A233" s="11" t="s">
        <v>935</v>
      </c>
      <c r="B233" s="11" t="s">
        <v>937</v>
      </c>
      <c r="C233" s="14" t="s">
        <v>862</v>
      </c>
      <c r="D233" s="14" t="s">
        <v>938</v>
      </c>
      <c r="E233" s="14" t="s">
        <v>939</v>
      </c>
      <c r="F233" s="3" t="s">
        <v>944</v>
      </c>
      <c r="G233" s="4">
        <v>9</v>
      </c>
      <c r="H233" s="12">
        <v>1529.388</v>
      </c>
      <c r="I233" s="12">
        <v>-45.516781</v>
      </c>
      <c r="J233" s="13">
        <v>-0.0297614346</v>
      </c>
      <c r="K233" s="13">
        <v>-0.0297614346</v>
      </c>
      <c r="L233" s="12">
        <v>24.99</v>
      </c>
      <c r="M233" s="13">
        <v>0.1078932337</v>
      </c>
      <c r="N233" s="13">
        <v>0.0319831344</v>
      </c>
      <c r="O233" s="13">
        <v>0.3021208483</v>
      </c>
      <c r="P233" s="13">
        <v>0</v>
      </c>
      <c r="Q233" s="13">
        <v>0.2547035866</v>
      </c>
      <c r="R233" s="13">
        <v>0.2111522444</v>
      </c>
      <c r="S233" s="13">
        <v>0</v>
      </c>
      <c r="T233" s="13">
        <v>0.1093770841</v>
      </c>
      <c r="U233" s="13">
        <v>0.0111264917</v>
      </c>
      <c r="V233" s="13">
        <v>0</v>
      </c>
      <c r="W233" s="13">
        <v>0</v>
      </c>
      <c r="X233" s="13">
        <v>0</v>
      </c>
      <c r="Y233" s="13">
        <v>0</v>
      </c>
      <c r="Z233" s="13">
        <v>0.0014048109</v>
      </c>
    </row>
    <row r="234" s="2" customFormat="1" hidden="1" spans="1:26">
      <c r="A234" s="11" t="s">
        <v>935</v>
      </c>
      <c r="B234" s="11" t="s">
        <v>937</v>
      </c>
      <c r="C234" s="14" t="s">
        <v>862</v>
      </c>
      <c r="D234" s="14" t="s">
        <v>938</v>
      </c>
      <c r="E234" s="14" t="s">
        <v>939</v>
      </c>
      <c r="F234" s="3" t="s">
        <v>945</v>
      </c>
      <c r="G234" s="4">
        <v>1</v>
      </c>
      <c r="H234" s="12">
        <v>163.132</v>
      </c>
      <c r="I234" s="12">
        <v>40.254385</v>
      </c>
      <c r="J234" s="13">
        <v>0.2467595873</v>
      </c>
      <c r="K234" s="13">
        <v>0.2467595873</v>
      </c>
      <c r="L234" s="12">
        <v>23.99</v>
      </c>
      <c r="M234" s="13">
        <v>0.112390659</v>
      </c>
      <c r="N234" s="13">
        <v>0.0333163205</v>
      </c>
      <c r="O234" s="13">
        <v>0.3147144643</v>
      </c>
      <c r="P234" s="13">
        <v>0</v>
      </c>
      <c r="Q234" s="13">
        <v>0</v>
      </c>
      <c r="R234" s="13">
        <v>0.1732670291</v>
      </c>
      <c r="S234" s="13">
        <v>0</v>
      </c>
      <c r="T234" s="13">
        <v>0.1079616506</v>
      </c>
      <c r="U234" s="13">
        <v>0.0115902888</v>
      </c>
      <c r="V234" s="13">
        <v>0</v>
      </c>
      <c r="W234" s="13">
        <v>0</v>
      </c>
      <c r="X234" s="13">
        <v>0</v>
      </c>
      <c r="Y234" s="13">
        <v>0</v>
      </c>
      <c r="Z234" s="13">
        <v>0</v>
      </c>
    </row>
    <row r="235" s="2" customFormat="1" hidden="1" spans="1:26">
      <c r="A235" s="11" t="s">
        <v>935</v>
      </c>
      <c r="B235" s="11" t="s">
        <v>937</v>
      </c>
      <c r="C235" s="14" t="s">
        <v>864</v>
      </c>
      <c r="D235" s="14" t="s">
        <v>938</v>
      </c>
      <c r="E235" s="14" t="s">
        <v>939</v>
      </c>
      <c r="F235" s="3" t="s">
        <v>936</v>
      </c>
      <c r="G235" s="4">
        <v>203</v>
      </c>
      <c r="H235" s="12">
        <v>32598.996</v>
      </c>
      <c r="I235" s="12">
        <v>3046.743332</v>
      </c>
      <c r="J235" s="13">
        <v>0.0934612627</v>
      </c>
      <c r="K235" s="13">
        <v>0.0934612627</v>
      </c>
      <c r="L235" s="12">
        <v>23.6156157635</v>
      </c>
      <c r="M235" s="13">
        <v>0.1565779002</v>
      </c>
      <c r="N235" s="13">
        <v>0.0384385897</v>
      </c>
      <c r="O235" s="13">
        <v>0.322913994</v>
      </c>
      <c r="P235" s="13">
        <v>0.0500420319</v>
      </c>
      <c r="Q235" s="13">
        <v>0.0209374825</v>
      </c>
      <c r="R235" s="13">
        <v>0.1924741797</v>
      </c>
      <c r="S235" s="13">
        <v>0</v>
      </c>
      <c r="T235" s="13">
        <v>0.106223026</v>
      </c>
      <c r="U235" s="13">
        <v>0.0161470986</v>
      </c>
      <c r="V235" s="13">
        <v>0</v>
      </c>
      <c r="W235" s="13">
        <v>-0.0028745852</v>
      </c>
      <c r="X235" s="13">
        <v>0.0004735115</v>
      </c>
      <c r="Y235" s="13">
        <v>0</v>
      </c>
      <c r="Z235" s="13">
        <v>0.0051855079</v>
      </c>
    </row>
    <row r="236" s="2" customFormat="1" hidden="1" spans="1:26">
      <c r="A236" s="11" t="s">
        <v>935</v>
      </c>
      <c r="B236" s="11" t="s">
        <v>937</v>
      </c>
      <c r="C236" s="14" t="s">
        <v>864</v>
      </c>
      <c r="D236" s="14" t="s">
        <v>938</v>
      </c>
      <c r="E236" s="14" t="s">
        <v>939</v>
      </c>
      <c r="F236" s="3" t="s">
        <v>941</v>
      </c>
      <c r="G236" s="4">
        <v>12</v>
      </c>
      <c r="H236" s="12">
        <v>1794.384</v>
      </c>
      <c r="I236" s="12">
        <v>-93.568838</v>
      </c>
      <c r="J236" s="13">
        <v>-0.0521453813</v>
      </c>
      <c r="K236" s="13">
        <v>-0.0521453813</v>
      </c>
      <c r="L236" s="12">
        <v>21.99</v>
      </c>
      <c r="M236" s="13">
        <v>0.1681529572</v>
      </c>
      <c r="N236" s="13">
        <v>0.0498761602</v>
      </c>
      <c r="O236" s="13">
        <v>0.343754737</v>
      </c>
      <c r="P236" s="13">
        <v>0</v>
      </c>
      <c r="Q236" s="13">
        <v>0.0017910904</v>
      </c>
      <c r="R236" s="13">
        <v>0.3675896502</v>
      </c>
      <c r="S236" s="13">
        <v>0</v>
      </c>
      <c r="T236" s="13">
        <v>0.0983022586</v>
      </c>
      <c r="U236" s="13">
        <v>0.0173407765</v>
      </c>
      <c r="V236" s="13">
        <v>0</v>
      </c>
      <c r="W236" s="13">
        <v>0</v>
      </c>
      <c r="X236" s="13">
        <v>0</v>
      </c>
      <c r="Y236" s="13">
        <v>0</v>
      </c>
      <c r="Z236" s="13">
        <v>0.005337751</v>
      </c>
    </row>
    <row r="237" s="2" customFormat="1" hidden="1" spans="1:26">
      <c r="A237" s="11" t="s">
        <v>935</v>
      </c>
      <c r="B237" s="11" t="s">
        <v>937</v>
      </c>
      <c r="C237" s="14" t="s">
        <v>864</v>
      </c>
      <c r="D237" s="14" t="s">
        <v>938</v>
      </c>
      <c r="E237" s="14" t="s">
        <v>939</v>
      </c>
      <c r="F237" s="3" t="s">
        <v>942</v>
      </c>
      <c r="G237" s="4">
        <v>66</v>
      </c>
      <c r="H237" s="12">
        <v>10249.912</v>
      </c>
      <c r="I237" s="12">
        <v>613.574294</v>
      </c>
      <c r="J237" s="13">
        <v>0.0598614206</v>
      </c>
      <c r="K237" s="13">
        <v>0.0598614206</v>
      </c>
      <c r="L237" s="12">
        <v>22.8384848484</v>
      </c>
      <c r="M237" s="13">
        <v>0.1619058161</v>
      </c>
      <c r="N237" s="13">
        <v>0.0392265514</v>
      </c>
      <c r="O237" s="13">
        <v>0.3340852097</v>
      </c>
      <c r="P237" s="13">
        <v>0.0132617723</v>
      </c>
      <c r="Q237" s="13">
        <v>0.0188132758</v>
      </c>
      <c r="R237" s="13">
        <v>0.2436220565</v>
      </c>
      <c r="S237" s="13">
        <v>0</v>
      </c>
      <c r="T237" s="13">
        <v>0.1060411055</v>
      </c>
      <c r="U237" s="13">
        <v>0.01669654</v>
      </c>
      <c r="V237" s="13">
        <v>0</v>
      </c>
      <c r="W237" s="13">
        <v>0</v>
      </c>
      <c r="X237" s="13">
        <v>0</v>
      </c>
      <c r="Y237" s="13">
        <v>0</v>
      </c>
      <c r="Z237" s="13">
        <v>0.0064862516</v>
      </c>
    </row>
    <row r="238" s="2" customFormat="1" hidden="1" spans="1:26">
      <c r="A238" s="11" t="s">
        <v>935</v>
      </c>
      <c r="B238" s="11" t="s">
        <v>937</v>
      </c>
      <c r="C238" s="14" t="s">
        <v>864</v>
      </c>
      <c r="D238" s="14" t="s">
        <v>938</v>
      </c>
      <c r="E238" s="14" t="s">
        <v>939</v>
      </c>
      <c r="F238" s="3" t="s">
        <v>943</v>
      </c>
      <c r="G238" s="4">
        <v>34</v>
      </c>
      <c r="H238" s="12">
        <v>5655.288</v>
      </c>
      <c r="I238" s="12">
        <v>332.138779</v>
      </c>
      <c r="J238" s="13">
        <v>0.0587306568</v>
      </c>
      <c r="K238" s="13">
        <v>0.0587306568</v>
      </c>
      <c r="L238" s="12">
        <v>24.4605882352</v>
      </c>
      <c r="M238" s="13">
        <v>0.1511690354</v>
      </c>
      <c r="N238" s="13">
        <v>0.0366252434</v>
      </c>
      <c r="O238" s="13">
        <v>0.3119303561</v>
      </c>
      <c r="P238" s="13">
        <v>0.0913474256</v>
      </c>
      <c r="Q238" s="13">
        <v>0.0484436893</v>
      </c>
      <c r="R238" s="13">
        <v>0.1689837428</v>
      </c>
      <c r="S238" s="13">
        <v>0</v>
      </c>
      <c r="T238" s="13">
        <v>0.1070990549</v>
      </c>
      <c r="U238" s="13">
        <v>0.0155893093</v>
      </c>
      <c r="V238" s="13">
        <v>0</v>
      </c>
      <c r="W238" s="13">
        <v>-0.0055233611</v>
      </c>
      <c r="X238" s="13">
        <v>0.0027294809</v>
      </c>
      <c r="Y238" s="13">
        <v>0</v>
      </c>
      <c r="Z238" s="13">
        <v>0.0128753662</v>
      </c>
    </row>
    <row r="239" s="2" customFormat="1" spans="1:26">
      <c r="A239" s="11" t="s">
        <v>935</v>
      </c>
      <c r="B239" s="11" t="s">
        <v>937</v>
      </c>
      <c r="C239" s="14" t="s">
        <v>864</v>
      </c>
      <c r="D239" s="14" t="s">
        <v>938</v>
      </c>
      <c r="E239" s="14" t="s">
        <v>939</v>
      </c>
      <c r="F239" s="3" t="s">
        <v>944</v>
      </c>
      <c r="G239" s="4">
        <v>88</v>
      </c>
      <c r="H239" s="12">
        <v>14355.616</v>
      </c>
      <c r="I239" s="12">
        <v>2053.632266</v>
      </c>
      <c r="J239" s="13">
        <v>0.1430542768</v>
      </c>
      <c r="K239" s="13">
        <v>0.1430542768</v>
      </c>
      <c r="L239" s="12">
        <v>23.99</v>
      </c>
      <c r="M239" s="13">
        <v>0.1541343697</v>
      </c>
      <c r="N239" s="13">
        <v>0.0373436848</v>
      </c>
      <c r="O239" s="13">
        <v>0.3180491871</v>
      </c>
      <c r="P239" s="13">
        <v>0.0681818181</v>
      </c>
      <c r="Q239" s="13">
        <v>0.014804629</v>
      </c>
      <c r="R239" s="13">
        <v>0.1450095965</v>
      </c>
      <c r="S239" s="13">
        <v>0</v>
      </c>
      <c r="T239" s="13">
        <v>0.1064742885</v>
      </c>
      <c r="U239" s="13">
        <v>0.0158951094</v>
      </c>
      <c r="V239" s="13">
        <v>0</v>
      </c>
      <c r="W239" s="13">
        <v>-0.0043517739</v>
      </c>
      <c r="X239" s="13">
        <v>0</v>
      </c>
      <c r="Y239" s="13">
        <v>0</v>
      </c>
      <c r="Z239" s="13">
        <v>0.0014048135</v>
      </c>
    </row>
    <row r="240" s="2" customFormat="1" hidden="1" spans="1:26">
      <c r="A240" s="11" t="s">
        <v>935</v>
      </c>
      <c r="B240" s="11" t="s">
        <v>937</v>
      </c>
      <c r="C240" s="14" t="s">
        <v>864</v>
      </c>
      <c r="D240" s="14" t="s">
        <v>938</v>
      </c>
      <c r="E240" s="14" t="s">
        <v>939</v>
      </c>
      <c r="F240" s="3" t="s">
        <v>945</v>
      </c>
      <c r="G240" s="4">
        <v>3</v>
      </c>
      <c r="H240" s="12">
        <v>543.796</v>
      </c>
      <c r="I240" s="12">
        <v>140.966831</v>
      </c>
      <c r="J240" s="13">
        <v>0.2592274143</v>
      </c>
      <c r="K240" s="13">
        <v>0.2592274143</v>
      </c>
      <c r="L240" s="12">
        <v>26.6566666666</v>
      </c>
      <c r="M240" s="13">
        <v>0.1387151505</v>
      </c>
      <c r="N240" s="13">
        <v>0.0336079154</v>
      </c>
      <c r="O240" s="13">
        <v>0.2862323371</v>
      </c>
      <c r="P240" s="13">
        <v>0</v>
      </c>
      <c r="Q240" s="13">
        <v>0</v>
      </c>
      <c r="R240" s="13">
        <v>0.1478671634</v>
      </c>
      <c r="S240" s="13">
        <v>0</v>
      </c>
      <c r="T240" s="13">
        <v>0.1200450168</v>
      </c>
      <c r="U240" s="13">
        <v>0.0143050022</v>
      </c>
      <c r="V240" s="13">
        <v>0</v>
      </c>
      <c r="W240" s="13">
        <v>0</v>
      </c>
      <c r="X240" s="13">
        <v>0</v>
      </c>
      <c r="Y240" s="13">
        <v>0</v>
      </c>
      <c r="Z240" s="13">
        <v>0</v>
      </c>
    </row>
    <row r="241" s="2" customFormat="1" hidden="1" spans="1:26">
      <c r="A241" s="11" t="s">
        <v>935</v>
      </c>
      <c r="B241" s="11" t="s">
        <v>937</v>
      </c>
      <c r="C241" s="14" t="s">
        <v>866</v>
      </c>
      <c r="D241" s="14" t="s">
        <v>938</v>
      </c>
      <c r="E241" s="14" t="s">
        <v>939</v>
      </c>
      <c r="F241" s="3" t="s">
        <v>936</v>
      </c>
      <c r="G241" s="4">
        <v>80</v>
      </c>
      <c r="H241" s="12">
        <v>12657.384</v>
      </c>
      <c r="I241" s="12">
        <v>1417.881792</v>
      </c>
      <c r="J241" s="13">
        <v>0.1120201292</v>
      </c>
      <c r="K241" s="13">
        <v>0.1120201292</v>
      </c>
      <c r="L241" s="12">
        <v>23.26725</v>
      </c>
      <c r="M241" s="13">
        <v>0.0895542206</v>
      </c>
      <c r="N241" s="13">
        <v>0.0605825062</v>
      </c>
      <c r="O241" s="13">
        <v>0.2704230194</v>
      </c>
      <c r="P241" s="13">
        <v>0.0273882818</v>
      </c>
      <c r="Q241" s="13">
        <v>0.0283289411</v>
      </c>
      <c r="R241" s="13">
        <v>0.305668241</v>
      </c>
      <c r="S241" s="13">
        <v>0</v>
      </c>
      <c r="T241" s="13">
        <v>0.1002320858</v>
      </c>
      <c r="U241" s="13">
        <v>0.0092352795</v>
      </c>
      <c r="V241" s="13">
        <v>-0.007666355</v>
      </c>
      <c r="W241" s="13">
        <v>-0.00203778</v>
      </c>
      <c r="X241" s="13">
        <v>0</v>
      </c>
      <c r="Y241" s="13">
        <v>0</v>
      </c>
      <c r="Z241" s="13">
        <v>0.0062714298</v>
      </c>
    </row>
    <row r="242" s="2" customFormat="1" hidden="1" spans="1:26">
      <c r="A242" s="11" t="s">
        <v>935</v>
      </c>
      <c r="B242" s="11" t="s">
        <v>937</v>
      </c>
      <c r="C242" s="14" t="s">
        <v>866</v>
      </c>
      <c r="D242" s="14" t="s">
        <v>938</v>
      </c>
      <c r="E242" s="14" t="s">
        <v>939</v>
      </c>
      <c r="F242" s="3" t="s">
        <v>942</v>
      </c>
      <c r="G242" s="4">
        <v>22</v>
      </c>
      <c r="H242" s="12">
        <v>3888.104</v>
      </c>
      <c r="I242" s="12">
        <v>244.374282</v>
      </c>
      <c r="J242" s="13">
        <v>0.0628517863</v>
      </c>
      <c r="K242" s="13">
        <v>0.0628517863</v>
      </c>
      <c r="L242" s="12">
        <v>25.99</v>
      </c>
      <c r="M242" s="13">
        <v>0.0801723909</v>
      </c>
      <c r="N242" s="13">
        <v>0.0238233596</v>
      </c>
      <c r="O242" s="13">
        <v>0.2402497464</v>
      </c>
      <c r="P242" s="13">
        <v>0</v>
      </c>
      <c r="Q242" s="13">
        <v>0.0003234229</v>
      </c>
      <c r="R242" s="13">
        <v>0.5059619518</v>
      </c>
      <c r="S242" s="13">
        <v>0</v>
      </c>
      <c r="T242" s="13">
        <v>0.071863304</v>
      </c>
      <c r="U242" s="13">
        <v>0.0082677783</v>
      </c>
      <c r="V242" s="13">
        <v>0</v>
      </c>
      <c r="W242" s="13">
        <v>0</v>
      </c>
      <c r="X242" s="13">
        <v>0</v>
      </c>
      <c r="Y242" s="13">
        <v>0</v>
      </c>
      <c r="Z242" s="13">
        <v>0.0064862593</v>
      </c>
    </row>
    <row r="243" s="2" customFormat="1" hidden="1" spans="1:26">
      <c r="A243" s="11" t="s">
        <v>935</v>
      </c>
      <c r="B243" s="11" t="s">
        <v>937</v>
      </c>
      <c r="C243" s="14" t="s">
        <v>866</v>
      </c>
      <c r="D243" s="14" t="s">
        <v>938</v>
      </c>
      <c r="E243" s="14" t="s">
        <v>939</v>
      </c>
      <c r="F243" s="3" t="s">
        <v>943</v>
      </c>
      <c r="G243" s="4">
        <v>24</v>
      </c>
      <c r="H243" s="12">
        <v>3689.34</v>
      </c>
      <c r="I243" s="12">
        <v>312.262821</v>
      </c>
      <c r="J243" s="13">
        <v>0.0846392094</v>
      </c>
      <c r="K243" s="13">
        <v>0.0846392094</v>
      </c>
      <c r="L243" s="12">
        <v>22.60625</v>
      </c>
      <c r="M243" s="13">
        <v>0.092172759</v>
      </c>
      <c r="N243" s="13">
        <v>0.0756163668</v>
      </c>
      <c r="O243" s="13">
        <v>0.2791447792</v>
      </c>
      <c r="P243" s="13">
        <v>0.047903419</v>
      </c>
      <c r="Q243" s="13">
        <v>0.0517435939</v>
      </c>
      <c r="R243" s="13">
        <v>0.2395887304</v>
      </c>
      <c r="S243" s="13">
        <v>0</v>
      </c>
      <c r="T243" s="13">
        <v>0.1068104322</v>
      </c>
      <c r="U243" s="13">
        <v>0.0095053163</v>
      </c>
      <c r="V243" s="13">
        <v>0</v>
      </c>
      <c r="W243" s="13">
        <v>0</v>
      </c>
      <c r="X243" s="13">
        <v>0</v>
      </c>
      <c r="Y243" s="13">
        <v>0</v>
      </c>
      <c r="Z243" s="13">
        <v>0.0128753931</v>
      </c>
    </row>
    <row r="244" s="2" customFormat="1" spans="1:26">
      <c r="A244" s="11" t="s">
        <v>935</v>
      </c>
      <c r="B244" s="11" t="s">
        <v>937</v>
      </c>
      <c r="C244" s="14" t="s">
        <v>866</v>
      </c>
      <c r="D244" s="14" t="s">
        <v>938</v>
      </c>
      <c r="E244" s="14" t="s">
        <v>939</v>
      </c>
      <c r="F244" s="3" t="s">
        <v>944</v>
      </c>
      <c r="G244" s="4">
        <v>32</v>
      </c>
      <c r="H244" s="12">
        <v>4740.076</v>
      </c>
      <c r="I244" s="12">
        <v>795.679061</v>
      </c>
      <c r="J244" s="13">
        <v>0.1678620893</v>
      </c>
      <c r="K244" s="13">
        <v>0.1678620893</v>
      </c>
      <c r="L244" s="12">
        <v>21.7834375</v>
      </c>
      <c r="M244" s="13">
        <v>0.0956543447</v>
      </c>
      <c r="N244" s="13">
        <v>0.078472578</v>
      </c>
      <c r="O244" s="13">
        <v>0.2896696171</v>
      </c>
      <c r="P244" s="13">
        <v>0.0358500581</v>
      </c>
      <c r="Q244" s="13">
        <v>0.0351076805</v>
      </c>
      <c r="R244" s="13">
        <v>0.1950663338</v>
      </c>
      <c r="S244" s="13">
        <v>0</v>
      </c>
      <c r="T244" s="13">
        <v>0.1169609938</v>
      </c>
      <c r="U244" s="13">
        <v>0.0098643549</v>
      </c>
      <c r="V244" s="13">
        <v>-0.0204714017</v>
      </c>
      <c r="W244" s="13">
        <v>-0.0054414663</v>
      </c>
      <c r="X244" s="13">
        <v>0</v>
      </c>
      <c r="Y244" s="13">
        <v>0</v>
      </c>
      <c r="Z244" s="13">
        <v>0.0014048175</v>
      </c>
    </row>
    <row r="245" s="2" customFormat="1" hidden="1" spans="1:26">
      <c r="A245" s="11" t="s">
        <v>935</v>
      </c>
      <c r="B245" s="11" t="s">
        <v>937</v>
      </c>
      <c r="C245" s="14" t="s">
        <v>866</v>
      </c>
      <c r="D245" s="14" t="s">
        <v>938</v>
      </c>
      <c r="E245" s="14" t="s">
        <v>939</v>
      </c>
      <c r="F245" s="3" t="s">
        <v>945</v>
      </c>
      <c r="G245" s="4">
        <v>2</v>
      </c>
      <c r="H245" s="12">
        <v>339.864</v>
      </c>
      <c r="I245" s="12">
        <v>65.565628</v>
      </c>
      <c r="J245" s="13">
        <v>0.1929172492</v>
      </c>
      <c r="K245" s="13">
        <v>0.1929172492</v>
      </c>
      <c r="L245" s="12">
        <v>24.99</v>
      </c>
      <c r="M245" s="13">
        <v>0.0833805698</v>
      </c>
      <c r="N245" s="13">
        <v>0.0684034613</v>
      </c>
      <c r="O245" s="13">
        <v>0.2525010004</v>
      </c>
      <c r="P245" s="13">
        <v>0</v>
      </c>
      <c r="Q245" s="13">
        <v>0</v>
      </c>
      <c r="R245" s="13">
        <v>0.274151078</v>
      </c>
      <c r="S245" s="13">
        <v>0</v>
      </c>
      <c r="T245" s="13">
        <v>0.1200480192</v>
      </c>
      <c r="U245" s="13">
        <v>0.0085986218</v>
      </c>
      <c r="V245" s="13">
        <v>0</v>
      </c>
      <c r="W245" s="13">
        <v>0</v>
      </c>
      <c r="X245" s="13">
        <v>0</v>
      </c>
      <c r="Y245" s="13">
        <v>0</v>
      </c>
      <c r="Z245" s="13">
        <v>0</v>
      </c>
    </row>
    <row r="246" s="2" customFormat="1" hidden="1" spans="1:26">
      <c r="A246" s="11" t="s">
        <v>935</v>
      </c>
      <c r="B246" s="11" t="s">
        <v>937</v>
      </c>
      <c r="C246" s="14" t="s">
        <v>868</v>
      </c>
      <c r="D246" s="14" t="s">
        <v>938</v>
      </c>
      <c r="E246" s="14" t="s">
        <v>939</v>
      </c>
      <c r="F246" s="3" t="s">
        <v>936</v>
      </c>
      <c r="G246" s="4">
        <v>148</v>
      </c>
      <c r="H246" s="12">
        <v>24022.36</v>
      </c>
      <c r="I246" s="12">
        <v>6609.527969</v>
      </c>
      <c r="J246" s="13">
        <v>0.2751406593</v>
      </c>
      <c r="K246" s="13">
        <v>0.2751406593</v>
      </c>
      <c r="L246" s="12">
        <v>23.8695945945</v>
      </c>
      <c r="M246" s="13">
        <v>0.1060046691</v>
      </c>
      <c r="N246" s="13">
        <v>0.027898207</v>
      </c>
      <c r="O246" s="13">
        <v>0.2715939649</v>
      </c>
      <c r="P246" s="13">
        <v>0.0203725196</v>
      </c>
      <c r="Q246" s="13">
        <v>0.0059093624</v>
      </c>
      <c r="R246" s="13">
        <v>0.1675032506</v>
      </c>
      <c r="S246" s="13">
        <v>0</v>
      </c>
      <c r="T246" s="13">
        <v>0.1117870184</v>
      </c>
      <c r="U246" s="13">
        <v>0.0109317296</v>
      </c>
      <c r="V246" s="13">
        <v>0.0001783338</v>
      </c>
      <c r="W246" s="13">
        <v>-0.0017530814</v>
      </c>
      <c r="X246" s="13">
        <v>0</v>
      </c>
      <c r="Y246" s="13">
        <v>0</v>
      </c>
      <c r="Z246" s="13">
        <v>0.0044333662</v>
      </c>
    </row>
    <row r="247" s="2" customFormat="1" hidden="1" spans="1:26">
      <c r="A247" s="11" t="s">
        <v>935</v>
      </c>
      <c r="B247" s="11" t="s">
        <v>937</v>
      </c>
      <c r="C247" s="14" t="s">
        <v>868</v>
      </c>
      <c r="D247" s="14" t="s">
        <v>938</v>
      </c>
      <c r="E247" s="14" t="s">
        <v>939</v>
      </c>
      <c r="F247" s="3" t="s">
        <v>940</v>
      </c>
      <c r="G247" s="4">
        <v>11</v>
      </c>
      <c r="H247" s="12">
        <v>1821.652</v>
      </c>
      <c r="I247" s="12">
        <v>170.53907</v>
      </c>
      <c r="J247" s="13">
        <v>0.0936178095</v>
      </c>
      <c r="K247" s="13">
        <v>0.0936178095</v>
      </c>
      <c r="L247" s="12">
        <v>24.3536363636</v>
      </c>
      <c r="M247" s="13">
        <v>0.1046045561</v>
      </c>
      <c r="N247" s="13">
        <v>0.0347598833</v>
      </c>
      <c r="O247" s="13">
        <v>0.2570458023</v>
      </c>
      <c r="P247" s="13">
        <v>0</v>
      </c>
      <c r="Q247" s="13">
        <v>0.0008192239</v>
      </c>
      <c r="R247" s="13">
        <v>0.4048887486</v>
      </c>
      <c r="S247" s="13">
        <v>0</v>
      </c>
      <c r="T247" s="13">
        <v>0.093135242</v>
      </c>
      <c r="U247" s="13">
        <v>0.010787343</v>
      </c>
      <c r="V247" s="13">
        <v>0</v>
      </c>
      <c r="W247" s="13">
        <v>0</v>
      </c>
      <c r="X247" s="13">
        <v>0</v>
      </c>
      <c r="Y247" s="13">
        <v>0</v>
      </c>
      <c r="Z247" s="13">
        <v>0.0003413906</v>
      </c>
    </row>
    <row r="248" s="2" customFormat="1" hidden="1" spans="1:26">
      <c r="A248" s="11" t="s">
        <v>935</v>
      </c>
      <c r="B248" s="11" t="s">
        <v>937</v>
      </c>
      <c r="C248" s="14" t="s">
        <v>868</v>
      </c>
      <c r="D248" s="14" t="s">
        <v>938</v>
      </c>
      <c r="E248" s="14" t="s">
        <v>939</v>
      </c>
      <c r="F248" s="3" t="s">
        <v>941</v>
      </c>
      <c r="G248" s="4">
        <v>46</v>
      </c>
      <c r="H248" s="12">
        <v>7504.072</v>
      </c>
      <c r="I248" s="12">
        <v>1918.839428</v>
      </c>
      <c r="J248" s="13">
        <v>0.2557064255</v>
      </c>
      <c r="K248" s="13">
        <v>0.2557064255</v>
      </c>
      <c r="L248" s="12">
        <v>23.99</v>
      </c>
      <c r="M248" s="13">
        <v>0.1061901343</v>
      </c>
      <c r="N248" s="13">
        <v>0.025482744</v>
      </c>
      <c r="O248" s="13">
        <v>0.2663247367</v>
      </c>
      <c r="P248" s="13">
        <v>0.0434782608</v>
      </c>
      <c r="Q248" s="13">
        <v>0.0058840061</v>
      </c>
      <c r="R248" s="13">
        <v>0.1731455548</v>
      </c>
      <c r="S248" s="13">
        <v>0</v>
      </c>
      <c r="T248" s="13">
        <v>0.1074995016</v>
      </c>
      <c r="U248" s="13">
        <v>0.0109508557</v>
      </c>
      <c r="V248" s="13">
        <v>0</v>
      </c>
      <c r="W248" s="13">
        <v>0</v>
      </c>
      <c r="X248" s="13">
        <v>0</v>
      </c>
      <c r="Y248" s="13">
        <v>0</v>
      </c>
      <c r="Z248" s="13">
        <v>0.0053377799</v>
      </c>
    </row>
    <row r="249" s="2" customFormat="1" hidden="1" spans="1:26">
      <c r="A249" s="11" t="s">
        <v>935</v>
      </c>
      <c r="B249" s="11" t="s">
        <v>937</v>
      </c>
      <c r="C249" s="14" t="s">
        <v>868</v>
      </c>
      <c r="D249" s="14" t="s">
        <v>938</v>
      </c>
      <c r="E249" s="14" t="s">
        <v>939</v>
      </c>
      <c r="F249" s="3" t="s">
        <v>942</v>
      </c>
      <c r="G249" s="4">
        <v>52</v>
      </c>
      <c r="H249" s="12">
        <v>8334.488</v>
      </c>
      <c r="I249" s="12">
        <v>2678.085053</v>
      </c>
      <c r="J249" s="13">
        <v>0.3213256834</v>
      </c>
      <c r="K249" s="13">
        <v>0.3213256834</v>
      </c>
      <c r="L249" s="12">
        <v>23.5703846153</v>
      </c>
      <c r="M249" s="13">
        <v>0.1060021274</v>
      </c>
      <c r="N249" s="13">
        <v>0.0228462704</v>
      </c>
      <c r="O249" s="13">
        <v>0.2696343194</v>
      </c>
      <c r="P249" s="13">
        <v>0.0195731279</v>
      </c>
      <c r="Q249" s="13">
        <v>0.008418327</v>
      </c>
      <c r="R249" s="13">
        <v>0.1212489538</v>
      </c>
      <c r="S249" s="13">
        <v>0</v>
      </c>
      <c r="T249" s="13">
        <v>0.1155459099</v>
      </c>
      <c r="U249" s="13">
        <v>0.0109314676</v>
      </c>
      <c r="V249" s="13">
        <v>0.0005140087</v>
      </c>
      <c r="W249" s="13">
        <v>-0.0025264391</v>
      </c>
      <c r="X249" s="13">
        <v>0</v>
      </c>
      <c r="Y249" s="13">
        <v>0</v>
      </c>
      <c r="Z249" s="13">
        <v>0.006486243</v>
      </c>
    </row>
    <row r="250" s="2" customFormat="1" hidden="1" spans="1:26">
      <c r="A250" s="11" t="s">
        <v>935</v>
      </c>
      <c r="B250" s="11" t="s">
        <v>937</v>
      </c>
      <c r="C250" s="14" t="s">
        <v>868</v>
      </c>
      <c r="D250" s="14" t="s">
        <v>938</v>
      </c>
      <c r="E250" s="14" t="s">
        <v>939</v>
      </c>
      <c r="F250" s="3" t="s">
        <v>943</v>
      </c>
      <c r="G250" s="4">
        <v>2</v>
      </c>
      <c r="H250" s="12">
        <v>326.264</v>
      </c>
      <c r="I250" s="12">
        <v>29.992927</v>
      </c>
      <c r="J250" s="13">
        <v>0.0919283984</v>
      </c>
      <c r="K250" s="13">
        <v>0.0919283984</v>
      </c>
      <c r="L250" s="12">
        <v>23.99</v>
      </c>
      <c r="M250" s="13">
        <v>0.1061901343</v>
      </c>
      <c r="N250" s="13">
        <v>0.022886791</v>
      </c>
      <c r="O250" s="13">
        <v>0.2701125468</v>
      </c>
      <c r="P250" s="13">
        <v>0</v>
      </c>
      <c r="Q250" s="13">
        <v>0.0706722991</v>
      </c>
      <c r="R250" s="13">
        <v>0.3588718982</v>
      </c>
      <c r="S250" s="13">
        <v>0</v>
      </c>
      <c r="T250" s="13">
        <v>0.1200500208</v>
      </c>
      <c r="U250" s="13">
        <v>0.0109508557</v>
      </c>
      <c r="V250" s="13">
        <v>0</v>
      </c>
      <c r="W250" s="13">
        <v>-0.0645384627</v>
      </c>
      <c r="X250" s="13">
        <v>0</v>
      </c>
      <c r="Y250" s="13">
        <v>0</v>
      </c>
      <c r="Z250" s="13">
        <v>0.0128755179</v>
      </c>
    </row>
    <row r="251" s="2" customFormat="1" spans="1:26">
      <c r="A251" s="11" t="s">
        <v>935</v>
      </c>
      <c r="B251" s="11" t="s">
        <v>937</v>
      </c>
      <c r="C251" s="14" t="s">
        <v>868</v>
      </c>
      <c r="D251" s="14" t="s">
        <v>938</v>
      </c>
      <c r="E251" s="14" t="s">
        <v>939</v>
      </c>
      <c r="F251" s="3" t="s">
        <v>944</v>
      </c>
      <c r="G251" s="4">
        <v>33</v>
      </c>
      <c r="H251" s="12">
        <v>5383.356</v>
      </c>
      <c r="I251" s="12">
        <v>1634.689639</v>
      </c>
      <c r="J251" s="13">
        <v>0.3036562395</v>
      </c>
      <c r="K251" s="13">
        <v>0.3036562395</v>
      </c>
      <c r="L251" s="12">
        <v>23.99</v>
      </c>
      <c r="M251" s="13">
        <v>0.1061901343</v>
      </c>
      <c r="N251" s="13">
        <v>0.0360770541</v>
      </c>
      <c r="O251" s="13">
        <v>0.2826177573</v>
      </c>
      <c r="P251" s="13">
        <v>0</v>
      </c>
      <c r="Q251" s="13">
        <v>0.0005740307</v>
      </c>
      <c r="R251" s="13">
        <v>0.1403106654</v>
      </c>
      <c r="S251" s="13">
        <v>0</v>
      </c>
      <c r="T251" s="13">
        <v>0.1182184496</v>
      </c>
      <c r="U251" s="13">
        <v>0.0109508557</v>
      </c>
      <c r="V251" s="13">
        <v>0</v>
      </c>
      <c r="W251" s="13">
        <v>0</v>
      </c>
      <c r="X251" s="13">
        <v>0</v>
      </c>
      <c r="Y251" s="13">
        <v>0</v>
      </c>
      <c r="Z251" s="13">
        <v>0.0014048129</v>
      </c>
    </row>
    <row r="252" s="2" customFormat="1" hidden="1" spans="1:26">
      <c r="A252" s="11" t="s">
        <v>935</v>
      </c>
      <c r="B252" s="11" t="s">
        <v>937</v>
      </c>
      <c r="C252" s="14" t="s">
        <v>868</v>
      </c>
      <c r="D252" s="14" t="s">
        <v>938</v>
      </c>
      <c r="E252" s="14" t="s">
        <v>939</v>
      </c>
      <c r="F252" s="3" t="s">
        <v>945</v>
      </c>
      <c r="G252" s="4">
        <v>4</v>
      </c>
      <c r="H252" s="12">
        <v>652.528</v>
      </c>
      <c r="I252" s="12">
        <v>177.381852</v>
      </c>
      <c r="J252" s="13">
        <v>0.2718379165</v>
      </c>
      <c r="K252" s="13">
        <v>0.2718379165</v>
      </c>
      <c r="L252" s="12">
        <v>23.99</v>
      </c>
      <c r="M252" s="13">
        <v>0.1061901343</v>
      </c>
      <c r="N252" s="13">
        <v>0.0360770541</v>
      </c>
      <c r="O252" s="13">
        <v>0.3076281784</v>
      </c>
      <c r="P252" s="13">
        <v>0</v>
      </c>
      <c r="Q252" s="13">
        <v>0</v>
      </c>
      <c r="R252" s="13">
        <v>0.15935421</v>
      </c>
      <c r="S252" s="13">
        <v>0</v>
      </c>
      <c r="T252" s="13">
        <v>0.1079616506</v>
      </c>
      <c r="U252" s="13">
        <v>0.0109508557</v>
      </c>
      <c r="V252" s="13">
        <v>0</v>
      </c>
      <c r="W252" s="13">
        <v>0</v>
      </c>
      <c r="X252" s="13">
        <v>0</v>
      </c>
      <c r="Y252" s="13">
        <v>0</v>
      </c>
      <c r="Z252" s="13">
        <v>0</v>
      </c>
    </row>
    <row r="253" s="2" customFormat="1" hidden="1" spans="1:26">
      <c r="A253" s="11" t="s">
        <v>935</v>
      </c>
      <c r="B253" s="11" t="s">
        <v>937</v>
      </c>
      <c r="C253" s="14" t="s">
        <v>870</v>
      </c>
      <c r="D253" s="14" t="s">
        <v>938</v>
      </c>
      <c r="E253" s="14" t="s">
        <v>939</v>
      </c>
      <c r="F253" s="3" t="s">
        <v>936</v>
      </c>
      <c r="G253" s="4">
        <v>108</v>
      </c>
      <c r="H253" s="12">
        <v>15797.08</v>
      </c>
      <c r="I253" s="12">
        <v>1575.756235</v>
      </c>
      <c r="J253" s="13">
        <v>0.099749842</v>
      </c>
      <c r="K253" s="13">
        <v>0.099749842</v>
      </c>
      <c r="L253" s="12">
        <v>21.5101851851</v>
      </c>
      <c r="M253" s="13">
        <v>0.1054672871</v>
      </c>
      <c r="N253" s="13">
        <v>0.0269307006</v>
      </c>
      <c r="O253" s="13">
        <v>0.3357969953</v>
      </c>
      <c r="P253" s="13">
        <v>0.0559338814</v>
      </c>
      <c r="Q253" s="13">
        <v>0.0508214769</v>
      </c>
      <c r="R253" s="13">
        <v>0.1990518035</v>
      </c>
      <c r="S253" s="13">
        <v>0</v>
      </c>
      <c r="T253" s="13">
        <v>0.1068658258</v>
      </c>
      <c r="U253" s="13">
        <v>0.0108763116</v>
      </c>
      <c r="V253" s="13">
        <v>0.0001764883</v>
      </c>
      <c r="W253" s="13">
        <v>-0.0024818194</v>
      </c>
      <c r="X253" s="13">
        <v>0.0029314276</v>
      </c>
      <c r="Y253" s="13">
        <v>0</v>
      </c>
      <c r="Z253" s="13">
        <v>0.0078797786</v>
      </c>
    </row>
    <row r="254" s="2" customFormat="1" hidden="1" spans="1:26">
      <c r="A254" s="11" t="s">
        <v>935</v>
      </c>
      <c r="B254" s="11" t="s">
        <v>937</v>
      </c>
      <c r="C254" s="14" t="s">
        <v>870</v>
      </c>
      <c r="D254" s="14" t="s">
        <v>938</v>
      </c>
      <c r="E254" s="14" t="s">
        <v>939</v>
      </c>
      <c r="F254" s="3" t="s">
        <v>940</v>
      </c>
      <c r="G254" s="4">
        <v>1</v>
      </c>
      <c r="H254" s="12">
        <v>176.732</v>
      </c>
      <c r="I254" s="12">
        <v>-137.146849</v>
      </c>
      <c r="J254" s="13">
        <v>-0.7760159393</v>
      </c>
      <c r="K254" s="13">
        <v>-0.7760159393</v>
      </c>
      <c r="L254" s="12">
        <v>25.99</v>
      </c>
      <c r="M254" s="13">
        <v>0.0881039992</v>
      </c>
      <c r="N254" s="13">
        <v>0.0325713566</v>
      </c>
      <c r="O254" s="13">
        <v>0.2566371681</v>
      </c>
      <c r="P254" s="13">
        <v>0</v>
      </c>
      <c r="Q254" s="13">
        <v>0.0008191951</v>
      </c>
      <c r="R254" s="13">
        <v>1.3769141864</v>
      </c>
      <c r="S254" s="13">
        <v>0</v>
      </c>
      <c r="T254" s="13">
        <v>0.0115429011</v>
      </c>
      <c r="U254" s="13">
        <v>0.009085723</v>
      </c>
      <c r="V254" s="13">
        <v>0</v>
      </c>
      <c r="W254" s="13">
        <v>0</v>
      </c>
      <c r="X254" s="13">
        <v>0</v>
      </c>
      <c r="Y254" s="13">
        <v>0</v>
      </c>
      <c r="Z254" s="13">
        <v>0.0003414095</v>
      </c>
    </row>
    <row r="255" s="2" customFormat="1" hidden="1" spans="1:26">
      <c r="A255" s="11" t="s">
        <v>935</v>
      </c>
      <c r="B255" s="11" t="s">
        <v>937</v>
      </c>
      <c r="C255" s="14" t="s">
        <v>870</v>
      </c>
      <c r="D255" s="14" t="s">
        <v>938</v>
      </c>
      <c r="E255" s="14" t="s">
        <v>939</v>
      </c>
      <c r="F255" s="3" t="s">
        <v>941</v>
      </c>
      <c r="G255" s="4">
        <v>9</v>
      </c>
      <c r="H255" s="12">
        <v>1344.156</v>
      </c>
      <c r="I255" s="12">
        <v>9.926056</v>
      </c>
      <c r="J255" s="13">
        <v>0.0073846011</v>
      </c>
      <c r="K255" s="13">
        <v>0.0073846011</v>
      </c>
      <c r="L255" s="12">
        <v>21.9633333333</v>
      </c>
      <c r="M255" s="13">
        <v>0.1042566219</v>
      </c>
      <c r="N255" s="13">
        <v>0.0248954496</v>
      </c>
      <c r="O255" s="13">
        <v>0.3296908989</v>
      </c>
      <c r="P255" s="13">
        <v>0</v>
      </c>
      <c r="Q255" s="13">
        <v>0.0537018411</v>
      </c>
      <c r="R255" s="13">
        <v>0.3614367104</v>
      </c>
      <c r="S255" s="13">
        <v>0</v>
      </c>
      <c r="T255" s="13">
        <v>0.1025446451</v>
      </c>
      <c r="U255" s="13">
        <v>0.0107514618</v>
      </c>
      <c r="V255" s="13">
        <v>0</v>
      </c>
      <c r="W255" s="13">
        <v>0</v>
      </c>
      <c r="X255" s="13">
        <v>0</v>
      </c>
      <c r="Y255" s="13">
        <v>0</v>
      </c>
      <c r="Z255" s="13">
        <v>0.0053377695</v>
      </c>
    </row>
    <row r="256" s="2" customFormat="1" hidden="1" spans="1:26">
      <c r="A256" s="11" t="s">
        <v>935</v>
      </c>
      <c r="B256" s="11" t="s">
        <v>937</v>
      </c>
      <c r="C256" s="14" t="s">
        <v>870</v>
      </c>
      <c r="D256" s="14" t="s">
        <v>938</v>
      </c>
      <c r="E256" s="14" t="s">
        <v>939</v>
      </c>
      <c r="F256" s="3" t="s">
        <v>942</v>
      </c>
      <c r="G256" s="4">
        <v>20</v>
      </c>
      <c r="H256" s="12">
        <v>2721.428</v>
      </c>
      <c r="I256" s="12">
        <v>109.052516</v>
      </c>
      <c r="J256" s="13">
        <v>0.040071799</v>
      </c>
      <c r="K256" s="13">
        <v>0.040071799</v>
      </c>
      <c r="L256" s="12">
        <v>20.0105</v>
      </c>
      <c r="M256" s="13">
        <v>0.1087095172</v>
      </c>
      <c r="N256" s="13">
        <v>0.0261004281</v>
      </c>
      <c r="O256" s="13">
        <v>0.3503660578</v>
      </c>
      <c r="P256" s="13">
        <v>0.0499487768</v>
      </c>
      <c r="Q256" s="13">
        <v>0.0981073362</v>
      </c>
      <c r="R256" s="13">
        <v>0.1958335659</v>
      </c>
      <c r="S256" s="13">
        <v>0</v>
      </c>
      <c r="T256" s="13">
        <v>0.1121411259</v>
      </c>
      <c r="U256" s="13">
        <v>0.0112106666</v>
      </c>
      <c r="V256" s="13">
        <v>0.0010244621</v>
      </c>
      <c r="W256" s="13">
        <v>0</v>
      </c>
      <c r="X256" s="13">
        <v>0</v>
      </c>
      <c r="Y256" s="13">
        <v>0</v>
      </c>
      <c r="Z256" s="13">
        <v>0.0064862638</v>
      </c>
    </row>
    <row r="257" s="2" customFormat="1" hidden="1" spans="1:26">
      <c r="A257" s="11" t="s">
        <v>935</v>
      </c>
      <c r="B257" s="11" t="s">
        <v>937</v>
      </c>
      <c r="C257" s="14" t="s">
        <v>870</v>
      </c>
      <c r="D257" s="14" t="s">
        <v>938</v>
      </c>
      <c r="E257" s="14" t="s">
        <v>939</v>
      </c>
      <c r="F257" s="3" t="s">
        <v>943</v>
      </c>
      <c r="G257" s="4">
        <v>50</v>
      </c>
      <c r="H257" s="12">
        <v>7327.068</v>
      </c>
      <c r="I257" s="12">
        <v>1000.360756</v>
      </c>
      <c r="J257" s="13">
        <v>0.1365294761</v>
      </c>
      <c r="K257" s="13">
        <v>0.1365294761</v>
      </c>
      <c r="L257" s="12">
        <v>21.5502</v>
      </c>
      <c r="M257" s="13">
        <v>0.1062552988</v>
      </c>
      <c r="N257" s="13">
        <v>0.0275141025</v>
      </c>
      <c r="O257" s="13">
        <v>0.3356070941</v>
      </c>
      <c r="P257" s="13">
        <v>0.0612244897</v>
      </c>
      <c r="Q257" s="13">
        <v>0.0352683901</v>
      </c>
      <c r="R257" s="13">
        <v>0.1733626358</v>
      </c>
      <c r="S257" s="13">
        <v>0</v>
      </c>
      <c r="T257" s="13">
        <v>0.1043052964</v>
      </c>
      <c r="U257" s="13">
        <v>0.0109575753</v>
      </c>
      <c r="V257" s="13">
        <v>0</v>
      </c>
      <c r="W257" s="13">
        <v>-0.005350776</v>
      </c>
      <c r="X257" s="13">
        <v>0.00145103</v>
      </c>
      <c r="Y257" s="13">
        <v>0</v>
      </c>
      <c r="Z257" s="13">
        <v>0.0128753865</v>
      </c>
    </row>
    <row r="258" s="2" customFormat="1" spans="1:26">
      <c r="A258" s="11" t="s">
        <v>935</v>
      </c>
      <c r="B258" s="11" t="s">
        <v>937</v>
      </c>
      <c r="C258" s="14" t="s">
        <v>870</v>
      </c>
      <c r="D258" s="14" t="s">
        <v>938</v>
      </c>
      <c r="E258" s="14" t="s">
        <v>939</v>
      </c>
      <c r="F258" s="3" t="s">
        <v>944</v>
      </c>
      <c r="G258" s="4">
        <v>25</v>
      </c>
      <c r="H258" s="12">
        <v>3738.3</v>
      </c>
      <c r="I258" s="12">
        <v>386.806907</v>
      </c>
      <c r="J258" s="13">
        <v>0.1034713391</v>
      </c>
      <c r="K258" s="13">
        <v>0.1034713391</v>
      </c>
      <c r="L258" s="12">
        <v>21.99</v>
      </c>
      <c r="M258" s="13">
        <v>0.1041301928</v>
      </c>
      <c r="N258" s="13">
        <v>0.0271271433</v>
      </c>
      <c r="O258" s="13">
        <v>0.3351887221</v>
      </c>
      <c r="P258" s="13">
        <v>0.08</v>
      </c>
      <c r="Q258" s="13">
        <v>0.0548635909</v>
      </c>
      <c r="R258" s="13">
        <v>0.1615040863</v>
      </c>
      <c r="S258" s="13">
        <v>0</v>
      </c>
      <c r="T258" s="13">
        <v>0.1123783537</v>
      </c>
      <c r="U258" s="13">
        <v>0.0107384238</v>
      </c>
      <c r="V258" s="13">
        <v>0</v>
      </c>
      <c r="W258" s="13">
        <v>0</v>
      </c>
      <c r="X258" s="13">
        <v>0.0091933303</v>
      </c>
      <c r="Y258" s="13">
        <v>0</v>
      </c>
      <c r="Z258" s="13">
        <v>0.0014048171</v>
      </c>
    </row>
    <row r="259" s="2" customFormat="1" hidden="1" spans="1:26">
      <c r="A259" s="11" t="s">
        <v>935</v>
      </c>
      <c r="B259" s="11" t="s">
        <v>937</v>
      </c>
      <c r="C259" s="14" t="s">
        <v>870</v>
      </c>
      <c r="D259" s="14" t="s">
        <v>938</v>
      </c>
      <c r="E259" s="14" t="s">
        <v>939</v>
      </c>
      <c r="F259" s="3" t="s">
        <v>945</v>
      </c>
      <c r="G259" s="4">
        <v>3</v>
      </c>
      <c r="H259" s="12">
        <v>489.396</v>
      </c>
      <c r="I259" s="12">
        <v>206.756849</v>
      </c>
      <c r="J259" s="13">
        <v>0.4224735163</v>
      </c>
      <c r="K259" s="13">
        <v>0.4224735163</v>
      </c>
      <c r="L259" s="12">
        <v>23.99</v>
      </c>
      <c r="M259" s="13">
        <v>0.0954490596</v>
      </c>
      <c r="N259" s="13">
        <v>0.0248656057</v>
      </c>
      <c r="O259" s="13">
        <v>0.3076281784</v>
      </c>
      <c r="P259" s="13">
        <v>0</v>
      </c>
      <c r="Q259" s="13">
        <v>0</v>
      </c>
      <c r="R259" s="13">
        <v>0.0170161729</v>
      </c>
      <c r="S259" s="13">
        <v>0</v>
      </c>
      <c r="T259" s="13">
        <v>0.1200500208</v>
      </c>
      <c r="U259" s="13">
        <v>0.0098431822</v>
      </c>
      <c r="V259" s="13">
        <v>0</v>
      </c>
      <c r="W259" s="13">
        <v>0</v>
      </c>
      <c r="X259" s="13">
        <v>0.0026742637</v>
      </c>
      <c r="Y259" s="13">
        <v>0</v>
      </c>
      <c r="Z259" s="13">
        <v>0</v>
      </c>
    </row>
    <row r="260" s="2" customFormat="1" hidden="1" spans="1:26">
      <c r="A260" s="11" t="s">
        <v>935</v>
      </c>
      <c r="B260" s="11" t="s">
        <v>937</v>
      </c>
      <c r="C260" s="14" t="s">
        <v>872</v>
      </c>
      <c r="D260" s="14" t="s">
        <v>938</v>
      </c>
      <c r="E260" s="14" t="s">
        <v>939</v>
      </c>
      <c r="F260" s="3" t="s">
        <v>936</v>
      </c>
      <c r="G260" s="4">
        <v>45</v>
      </c>
      <c r="H260" s="12">
        <v>6470.54</v>
      </c>
      <c r="I260" s="12">
        <v>230.879066</v>
      </c>
      <c r="J260" s="13">
        <v>0.0356815761</v>
      </c>
      <c r="K260" s="13">
        <v>0.0356815761</v>
      </c>
      <c r="L260" s="12">
        <v>21.1455555555</v>
      </c>
      <c r="M260" s="13">
        <v>0.1190343935</v>
      </c>
      <c r="N260" s="13">
        <v>0.0267855543</v>
      </c>
      <c r="O260" s="13">
        <v>0.3237664862</v>
      </c>
      <c r="P260" s="13">
        <v>0.0441174925</v>
      </c>
      <c r="Q260" s="13">
        <v>0.0533182853</v>
      </c>
      <c r="R260" s="13">
        <v>0.2749793963</v>
      </c>
      <c r="S260" s="13">
        <v>0</v>
      </c>
      <c r="T260" s="13">
        <v>0.1026640744</v>
      </c>
      <c r="U260" s="13">
        <v>0.0122754205</v>
      </c>
      <c r="V260" s="13">
        <v>0.004111187</v>
      </c>
      <c r="W260" s="13">
        <v>-0.0032271584</v>
      </c>
      <c r="X260" s="13">
        <v>0</v>
      </c>
      <c r="Y260" s="13">
        <v>0</v>
      </c>
      <c r="Z260" s="13">
        <v>0.0064932917</v>
      </c>
    </row>
    <row r="261" s="2" customFormat="1" hidden="1" spans="1:26">
      <c r="A261" s="11" t="s">
        <v>935</v>
      </c>
      <c r="B261" s="11" t="s">
        <v>937</v>
      </c>
      <c r="C261" s="14" t="s">
        <v>872</v>
      </c>
      <c r="D261" s="14" t="s">
        <v>938</v>
      </c>
      <c r="E261" s="14" t="s">
        <v>939</v>
      </c>
      <c r="F261" s="3" t="s">
        <v>940</v>
      </c>
      <c r="G261" s="4">
        <v>2</v>
      </c>
      <c r="H261" s="12">
        <v>326.264</v>
      </c>
      <c r="I261" s="12">
        <v>-139.07051</v>
      </c>
      <c r="J261" s="13">
        <v>-0.4262514712</v>
      </c>
      <c r="K261" s="13">
        <v>-0.4262514712</v>
      </c>
      <c r="L261" s="12">
        <v>23.99</v>
      </c>
      <c r="M261" s="13">
        <v>0.1049207329</v>
      </c>
      <c r="N261" s="13">
        <v>0.0289386631</v>
      </c>
      <c r="O261" s="13">
        <v>0.2467694872</v>
      </c>
      <c r="P261" s="13">
        <v>0</v>
      </c>
      <c r="Q261" s="13">
        <v>0.0008192537</v>
      </c>
      <c r="R261" s="13">
        <v>1.0211368278</v>
      </c>
      <c r="S261" s="13">
        <v>0</v>
      </c>
      <c r="T261" s="13">
        <v>0.0125052105</v>
      </c>
      <c r="U261" s="13">
        <v>0.0108199494</v>
      </c>
      <c r="V261" s="13">
        <v>0</v>
      </c>
      <c r="W261" s="13">
        <v>0</v>
      </c>
      <c r="X261" s="13">
        <v>0</v>
      </c>
      <c r="Y261" s="13">
        <v>0</v>
      </c>
      <c r="Z261" s="13">
        <v>0.0003413462</v>
      </c>
    </row>
    <row r="262" s="2" customFormat="1" hidden="1" spans="1:26">
      <c r="A262" s="11" t="s">
        <v>935</v>
      </c>
      <c r="B262" s="11" t="s">
        <v>937</v>
      </c>
      <c r="C262" s="14" t="s">
        <v>872</v>
      </c>
      <c r="D262" s="14" t="s">
        <v>938</v>
      </c>
      <c r="E262" s="14" t="s">
        <v>939</v>
      </c>
      <c r="F262" s="3" t="s">
        <v>941</v>
      </c>
      <c r="G262" s="4">
        <v>5</v>
      </c>
      <c r="H262" s="12">
        <v>761.26</v>
      </c>
      <c r="I262" s="12">
        <v>257.815516</v>
      </c>
      <c r="J262" s="13">
        <v>0.3386694637</v>
      </c>
      <c r="K262" s="13">
        <v>0.3386694637</v>
      </c>
      <c r="L262" s="12">
        <v>22.39</v>
      </c>
      <c r="M262" s="13">
        <v>0.1124184181</v>
      </c>
      <c r="N262" s="13">
        <v>0.0273037529</v>
      </c>
      <c r="O262" s="13">
        <v>0.3040643144</v>
      </c>
      <c r="P262" s="13">
        <v>0</v>
      </c>
      <c r="Q262" s="13">
        <v>0.0370363016</v>
      </c>
      <c r="R262" s="13">
        <v>0.3862476696</v>
      </c>
      <c r="S262" s="13">
        <v>0</v>
      </c>
      <c r="T262" s="13">
        <v>0.0918267083</v>
      </c>
      <c r="U262" s="13">
        <v>0.0115931482</v>
      </c>
      <c r="V262" s="13">
        <v>-0.3144975435</v>
      </c>
      <c r="W262" s="13">
        <v>0</v>
      </c>
      <c r="X262" s="13">
        <v>0</v>
      </c>
      <c r="Y262" s="13">
        <v>0</v>
      </c>
      <c r="Z262" s="13">
        <v>0.0053377663</v>
      </c>
    </row>
    <row r="263" s="2" customFormat="1" hidden="1" spans="1:26">
      <c r="A263" s="11" t="s">
        <v>935</v>
      </c>
      <c r="B263" s="11" t="s">
        <v>937</v>
      </c>
      <c r="C263" s="14" t="s">
        <v>872</v>
      </c>
      <c r="D263" s="14" t="s">
        <v>938</v>
      </c>
      <c r="E263" s="14" t="s">
        <v>939</v>
      </c>
      <c r="F263" s="3" t="s">
        <v>942</v>
      </c>
      <c r="G263" s="4">
        <v>16</v>
      </c>
      <c r="H263" s="12">
        <v>2174.912</v>
      </c>
      <c r="I263" s="12">
        <v>365.411446</v>
      </c>
      <c r="J263" s="13">
        <v>0.1680120602</v>
      </c>
      <c r="K263" s="13">
        <v>0.1680120602</v>
      </c>
      <c r="L263" s="12">
        <v>19.99</v>
      </c>
      <c r="M263" s="13">
        <v>0.1259153768</v>
      </c>
      <c r="N263" s="13">
        <v>0.027701564</v>
      </c>
      <c r="O263" s="13">
        <v>0.3451725862</v>
      </c>
      <c r="P263" s="13">
        <v>0</v>
      </c>
      <c r="Q263" s="13">
        <v>0.05077866</v>
      </c>
      <c r="R263" s="13">
        <v>0.149454205</v>
      </c>
      <c r="S263" s="13">
        <v>0</v>
      </c>
      <c r="T263" s="13">
        <v>0.1134942471</v>
      </c>
      <c r="U263" s="13">
        <v>0.0129850219</v>
      </c>
      <c r="V263" s="13">
        <v>0</v>
      </c>
      <c r="W263" s="13">
        <v>0</v>
      </c>
      <c r="X263" s="13">
        <v>0</v>
      </c>
      <c r="Y263" s="13">
        <v>0</v>
      </c>
      <c r="Z263" s="13">
        <v>0.0064862785</v>
      </c>
    </row>
    <row r="264" s="2" customFormat="1" hidden="1" spans="1:26">
      <c r="A264" s="11" t="s">
        <v>935</v>
      </c>
      <c r="B264" s="11" t="s">
        <v>937</v>
      </c>
      <c r="C264" s="14" t="s">
        <v>872</v>
      </c>
      <c r="D264" s="14" t="s">
        <v>938</v>
      </c>
      <c r="E264" s="14" t="s">
        <v>939</v>
      </c>
      <c r="F264" s="3" t="s">
        <v>943</v>
      </c>
      <c r="G264" s="4">
        <v>12</v>
      </c>
      <c r="H264" s="12">
        <v>1712.784</v>
      </c>
      <c r="I264" s="12">
        <v>-3.559605</v>
      </c>
      <c r="J264" s="13">
        <v>-0.0020782568</v>
      </c>
      <c r="K264" s="13">
        <v>-0.0020782568</v>
      </c>
      <c r="L264" s="12">
        <v>20.99</v>
      </c>
      <c r="M264" s="13">
        <v>0.1199165498</v>
      </c>
      <c r="N264" s="13">
        <v>0.0263818134</v>
      </c>
      <c r="O264" s="13">
        <v>0.3287279656</v>
      </c>
      <c r="P264" s="13">
        <v>0.0793631888</v>
      </c>
      <c r="Q264" s="13">
        <v>0.0667500251</v>
      </c>
      <c r="R264" s="13">
        <v>0.2515997726</v>
      </c>
      <c r="S264" s="13">
        <v>0</v>
      </c>
      <c r="T264" s="13">
        <v>0.1040971891</v>
      </c>
      <c r="U264" s="13">
        <v>0.0123663929</v>
      </c>
      <c r="V264" s="13">
        <v>0</v>
      </c>
      <c r="W264" s="13">
        <v>0</v>
      </c>
      <c r="X264" s="13">
        <v>0</v>
      </c>
      <c r="Y264" s="13">
        <v>0</v>
      </c>
      <c r="Z264" s="13">
        <v>0.012875359</v>
      </c>
    </row>
    <row r="265" s="2" customFormat="1" spans="1:26">
      <c r="A265" s="11" t="s">
        <v>935</v>
      </c>
      <c r="B265" s="11" t="s">
        <v>937</v>
      </c>
      <c r="C265" s="14" t="s">
        <v>872</v>
      </c>
      <c r="D265" s="14" t="s">
        <v>938</v>
      </c>
      <c r="E265" s="14" t="s">
        <v>939</v>
      </c>
      <c r="F265" s="3" t="s">
        <v>944</v>
      </c>
      <c r="G265" s="4">
        <v>8</v>
      </c>
      <c r="H265" s="12">
        <v>1196.256</v>
      </c>
      <c r="I265" s="12">
        <v>-373.744705</v>
      </c>
      <c r="J265" s="13">
        <v>-0.3124286983</v>
      </c>
      <c r="K265" s="13">
        <v>-0.3124286983</v>
      </c>
      <c r="L265" s="12">
        <v>21.99</v>
      </c>
      <c r="M265" s="13">
        <v>0.1144633188</v>
      </c>
      <c r="N265" s="13">
        <v>0.0251820948</v>
      </c>
      <c r="O265" s="13">
        <v>0.3137789904</v>
      </c>
      <c r="P265" s="13">
        <v>0.125</v>
      </c>
      <c r="Q265" s="13">
        <v>0.0767135613</v>
      </c>
      <c r="R265" s="13">
        <v>0.3311032822</v>
      </c>
      <c r="S265" s="13">
        <v>0</v>
      </c>
      <c r="T265" s="13">
        <v>0.108060482</v>
      </c>
      <c r="U265" s="13">
        <v>0.0118040285</v>
      </c>
      <c r="V265" s="13">
        <v>0.2223738062</v>
      </c>
      <c r="W265" s="13">
        <v>-0.0174556767</v>
      </c>
      <c r="X265" s="13">
        <v>0</v>
      </c>
      <c r="Y265" s="13">
        <v>0</v>
      </c>
      <c r="Z265" s="13">
        <v>0.0014048105</v>
      </c>
    </row>
    <row r="266" s="2" customFormat="1" hidden="1" spans="1:26">
      <c r="A266" s="11" t="s">
        <v>935</v>
      </c>
      <c r="B266" s="11" t="s">
        <v>937</v>
      </c>
      <c r="C266" s="14" t="s">
        <v>872</v>
      </c>
      <c r="D266" s="14" t="s">
        <v>938</v>
      </c>
      <c r="E266" s="14" t="s">
        <v>939</v>
      </c>
      <c r="F266" s="3" t="s">
        <v>945</v>
      </c>
      <c r="G266" s="4">
        <v>2</v>
      </c>
      <c r="H266" s="12">
        <v>299.064</v>
      </c>
      <c r="I266" s="12">
        <v>124.026924</v>
      </c>
      <c r="J266" s="13">
        <v>0.414716997</v>
      </c>
      <c r="K266" s="13">
        <v>0.414716997</v>
      </c>
      <c r="L266" s="12">
        <v>21.99</v>
      </c>
      <c r="M266" s="13">
        <v>0.1144633188</v>
      </c>
      <c r="N266" s="13">
        <v>0.0251820948</v>
      </c>
      <c r="O266" s="13">
        <v>0.3137789904</v>
      </c>
      <c r="P266" s="13">
        <v>0</v>
      </c>
      <c r="Q266" s="13">
        <v>0</v>
      </c>
      <c r="R266" s="13">
        <v>0</v>
      </c>
      <c r="S266" s="13">
        <v>0</v>
      </c>
      <c r="T266" s="13">
        <v>0.1200545702</v>
      </c>
      <c r="U266" s="13">
        <v>0.0118040285</v>
      </c>
      <c r="V266" s="13">
        <v>0</v>
      </c>
      <c r="W266" s="13">
        <v>0</v>
      </c>
      <c r="X266" s="13">
        <v>0</v>
      </c>
      <c r="Y266" s="13">
        <v>0</v>
      </c>
      <c r="Z266" s="13">
        <v>0</v>
      </c>
    </row>
    <row r="267" s="2" customFormat="1" hidden="1" spans="1:26">
      <c r="A267" s="11" t="s">
        <v>935</v>
      </c>
      <c r="B267" s="11" t="s">
        <v>937</v>
      </c>
      <c r="C267" s="14" t="s">
        <v>874</v>
      </c>
      <c r="D267" s="14" t="s">
        <v>938</v>
      </c>
      <c r="E267" s="14" t="s">
        <v>939</v>
      </c>
      <c r="F267" s="3" t="s">
        <v>936</v>
      </c>
      <c r="G267" s="4">
        <v>294</v>
      </c>
      <c r="H267" s="12">
        <v>50912.008</v>
      </c>
      <c r="I267" s="12">
        <v>11106.886168</v>
      </c>
      <c r="J267" s="13">
        <v>0.2181584778</v>
      </c>
      <c r="K267" s="13">
        <v>0.2181584778</v>
      </c>
      <c r="L267" s="12">
        <v>25.4661904761</v>
      </c>
      <c r="M267" s="13">
        <v>0.1163161455</v>
      </c>
      <c r="N267" s="13">
        <v>0.0321095997</v>
      </c>
      <c r="O267" s="13">
        <v>0.2897639393</v>
      </c>
      <c r="P267" s="13">
        <v>0.0136181625</v>
      </c>
      <c r="Q267" s="13">
        <v>0.0158695835</v>
      </c>
      <c r="R267" s="13">
        <v>0.1799310989</v>
      </c>
      <c r="S267" s="13">
        <v>0</v>
      </c>
      <c r="T267" s="13">
        <v>0.1156515374</v>
      </c>
      <c r="U267" s="13">
        <v>0.0119951022</v>
      </c>
      <c r="V267" s="13">
        <v>-0.0020242925</v>
      </c>
      <c r="W267" s="13">
        <v>0</v>
      </c>
      <c r="X267" s="13">
        <v>0.0009095692</v>
      </c>
      <c r="Y267" s="13">
        <v>0</v>
      </c>
      <c r="Z267" s="13">
        <v>0.007701076</v>
      </c>
    </row>
    <row r="268" s="2" customFormat="1" hidden="1" spans="1:26">
      <c r="A268" s="11" t="s">
        <v>935</v>
      </c>
      <c r="B268" s="11" t="s">
        <v>937</v>
      </c>
      <c r="C268" s="14" t="s">
        <v>874</v>
      </c>
      <c r="D268" s="14" t="s">
        <v>938</v>
      </c>
      <c r="E268" s="14" t="s">
        <v>939</v>
      </c>
      <c r="F268" s="3" t="s">
        <v>941</v>
      </c>
      <c r="G268" s="4">
        <v>9</v>
      </c>
      <c r="H268" s="12">
        <v>1454.588</v>
      </c>
      <c r="I268" s="12">
        <v>-19.175089</v>
      </c>
      <c r="J268" s="13">
        <v>-0.013182488</v>
      </c>
      <c r="K268" s="13">
        <v>-0.013182488</v>
      </c>
      <c r="L268" s="12">
        <v>23.7677777777</v>
      </c>
      <c r="M268" s="13">
        <v>0.1246279372</v>
      </c>
      <c r="N268" s="13">
        <v>0.0408014214</v>
      </c>
      <c r="O268" s="13">
        <v>0.3093824505</v>
      </c>
      <c r="P268" s="13">
        <v>0</v>
      </c>
      <c r="Q268" s="13">
        <v>0.0017910755</v>
      </c>
      <c r="R268" s="13">
        <v>0.4278842249</v>
      </c>
      <c r="S268" s="13">
        <v>0</v>
      </c>
      <c r="T268" s="13">
        <v>0.0905053527</v>
      </c>
      <c r="U268" s="13">
        <v>0.0128522557</v>
      </c>
      <c r="V268" s="13">
        <v>0</v>
      </c>
      <c r="W268" s="13">
        <v>0</v>
      </c>
      <c r="X268" s="13">
        <v>0</v>
      </c>
      <c r="Y268" s="13">
        <v>0</v>
      </c>
      <c r="Z268" s="13">
        <v>0.0053377698</v>
      </c>
    </row>
    <row r="269" s="2" customFormat="1" hidden="1" spans="1:26">
      <c r="A269" s="11" t="s">
        <v>935</v>
      </c>
      <c r="B269" s="11" t="s">
        <v>937</v>
      </c>
      <c r="C269" s="14" t="s">
        <v>874</v>
      </c>
      <c r="D269" s="14" t="s">
        <v>938</v>
      </c>
      <c r="E269" s="14" t="s">
        <v>939</v>
      </c>
      <c r="F269" s="3" t="s">
        <v>942</v>
      </c>
      <c r="G269" s="4">
        <v>112</v>
      </c>
      <c r="H269" s="12">
        <v>18012.384</v>
      </c>
      <c r="I269" s="12">
        <v>3080.905214</v>
      </c>
      <c r="J269" s="13">
        <v>0.1710437226</v>
      </c>
      <c r="K269" s="13">
        <v>0.1710437226</v>
      </c>
      <c r="L269" s="12">
        <v>23.6507142857</v>
      </c>
      <c r="M269" s="13">
        <v>0.1252448057</v>
      </c>
      <c r="N269" s="13">
        <v>0.0149464581</v>
      </c>
      <c r="O269" s="13">
        <v>0.3120413155</v>
      </c>
      <c r="P269" s="13">
        <v>0.0181133158</v>
      </c>
      <c r="Q269" s="13">
        <v>0.014668086</v>
      </c>
      <c r="R269" s="13">
        <v>0.2125683284</v>
      </c>
      <c r="S269" s="13">
        <v>0</v>
      </c>
      <c r="T269" s="13">
        <v>0.1119718522</v>
      </c>
      <c r="U269" s="13">
        <v>0.0129158703</v>
      </c>
      <c r="V269" s="13">
        <v>0</v>
      </c>
      <c r="W269" s="13">
        <v>0</v>
      </c>
      <c r="X269" s="13">
        <v>0</v>
      </c>
      <c r="Y269" s="13">
        <v>0</v>
      </c>
      <c r="Z269" s="13">
        <v>0.0064862449</v>
      </c>
    </row>
    <row r="270" s="2" customFormat="1" hidden="1" spans="1:26">
      <c r="A270" s="11" t="s">
        <v>935</v>
      </c>
      <c r="B270" s="11" t="s">
        <v>937</v>
      </c>
      <c r="C270" s="14" t="s">
        <v>874</v>
      </c>
      <c r="D270" s="14" t="s">
        <v>938</v>
      </c>
      <c r="E270" s="14" t="s">
        <v>939</v>
      </c>
      <c r="F270" s="3" t="s">
        <v>943</v>
      </c>
      <c r="G270" s="4">
        <v>110</v>
      </c>
      <c r="H270" s="12">
        <v>19467.72</v>
      </c>
      <c r="I270" s="12">
        <v>4407.699385</v>
      </c>
      <c r="J270" s="13">
        <v>0.2264106626</v>
      </c>
      <c r="K270" s="13">
        <v>0.2264106626</v>
      </c>
      <c r="L270" s="12">
        <v>26.0263636363</v>
      </c>
      <c r="M270" s="13">
        <v>0.1138126385</v>
      </c>
      <c r="N270" s="13">
        <v>0.0426617867</v>
      </c>
      <c r="O270" s="13">
        <v>0.2835586293</v>
      </c>
      <c r="P270" s="13">
        <v>0.0090782074</v>
      </c>
      <c r="Q270" s="13">
        <v>0.0188572654</v>
      </c>
      <c r="R270" s="13">
        <v>0.1576028607</v>
      </c>
      <c r="S270" s="13">
        <v>0</v>
      </c>
      <c r="T270" s="13">
        <v>0.1191728666</v>
      </c>
      <c r="U270" s="13">
        <v>0.0117369281</v>
      </c>
      <c r="V270" s="13">
        <v>0.0026469663</v>
      </c>
      <c r="W270" s="13">
        <v>0</v>
      </c>
      <c r="X270" s="13">
        <v>0.0015858046</v>
      </c>
      <c r="Y270" s="13">
        <v>0</v>
      </c>
      <c r="Z270" s="13">
        <v>0.0128753833</v>
      </c>
    </row>
    <row r="271" s="2" customFormat="1" spans="1:26">
      <c r="A271" s="11" t="s">
        <v>935</v>
      </c>
      <c r="B271" s="11" t="s">
        <v>937</v>
      </c>
      <c r="C271" s="14" t="s">
        <v>874</v>
      </c>
      <c r="D271" s="14" t="s">
        <v>938</v>
      </c>
      <c r="E271" s="14" t="s">
        <v>939</v>
      </c>
      <c r="F271" s="3" t="s">
        <v>944</v>
      </c>
      <c r="G271" s="4">
        <v>63</v>
      </c>
      <c r="H271" s="12">
        <v>11977.316</v>
      </c>
      <c r="I271" s="12">
        <v>3637.456658</v>
      </c>
      <c r="J271" s="13">
        <v>0.3036954738</v>
      </c>
      <c r="K271" s="13">
        <v>0.3036954738</v>
      </c>
      <c r="L271" s="12">
        <v>27.9582539682</v>
      </c>
      <c r="M271" s="13">
        <v>0.105948287</v>
      </c>
      <c r="N271" s="13">
        <v>0.0397138955</v>
      </c>
      <c r="O271" s="13">
        <v>0.2639649818</v>
      </c>
      <c r="P271" s="13">
        <v>0.0158910393</v>
      </c>
      <c r="Q271" s="13">
        <v>0.0145301273</v>
      </c>
      <c r="R271" s="13">
        <v>0.1370279924</v>
      </c>
      <c r="S271" s="13">
        <v>0</v>
      </c>
      <c r="T271" s="13">
        <v>0.1185157008</v>
      </c>
      <c r="U271" s="13">
        <v>0.0109259168</v>
      </c>
      <c r="V271" s="13">
        <v>-0.0129069985</v>
      </c>
      <c r="W271" s="13">
        <v>0</v>
      </c>
      <c r="X271" s="13">
        <v>0.0012887694</v>
      </c>
      <c r="Y271" s="13">
        <v>0</v>
      </c>
      <c r="Z271" s="13">
        <v>0.0014048138</v>
      </c>
    </row>
    <row r="272" s="2" customFormat="1" hidden="1" spans="1:26">
      <c r="A272" s="11" t="s">
        <v>935</v>
      </c>
      <c r="B272" s="11" t="s">
        <v>937</v>
      </c>
      <c r="C272" s="14" t="s">
        <v>876</v>
      </c>
      <c r="D272" s="14" t="s">
        <v>938</v>
      </c>
      <c r="E272" s="14" t="s">
        <v>939</v>
      </c>
      <c r="F272" s="3" t="s">
        <v>936</v>
      </c>
      <c r="G272" s="4">
        <v>118</v>
      </c>
      <c r="H272" s="12">
        <v>21799.576</v>
      </c>
      <c r="I272" s="12">
        <v>3585.373213</v>
      </c>
      <c r="J272" s="13">
        <v>0.16446986</v>
      </c>
      <c r="K272" s="13">
        <v>0.16446986</v>
      </c>
      <c r="L272" s="12">
        <v>27.1679661016</v>
      </c>
      <c r="M272" s="13">
        <v>0.1930985821</v>
      </c>
      <c r="N272" s="13">
        <v>0.0418981463</v>
      </c>
      <c r="O272" s="13">
        <v>0.2993992176</v>
      </c>
      <c r="P272" s="13">
        <v>0.0162142603</v>
      </c>
      <c r="Q272" s="13">
        <v>0.034329743</v>
      </c>
      <c r="R272" s="13">
        <v>0.1262391771</v>
      </c>
      <c r="S272" s="13">
        <v>0</v>
      </c>
      <c r="T272" s="13">
        <v>0.1091296454</v>
      </c>
      <c r="U272" s="13">
        <v>0.0199132932</v>
      </c>
      <c r="V272" s="13">
        <v>-0.0093049516</v>
      </c>
      <c r="W272" s="13">
        <v>-0.0019857444</v>
      </c>
      <c r="X272" s="13">
        <v>0</v>
      </c>
      <c r="Y272" s="13">
        <v>0</v>
      </c>
      <c r="Z272" s="13">
        <v>0.0065987706</v>
      </c>
    </row>
    <row r="273" s="2" customFormat="1" hidden="1" spans="1:26">
      <c r="A273" s="11" t="s">
        <v>935</v>
      </c>
      <c r="B273" s="11" t="s">
        <v>937</v>
      </c>
      <c r="C273" s="14" t="s">
        <v>876</v>
      </c>
      <c r="D273" s="14" t="s">
        <v>938</v>
      </c>
      <c r="E273" s="14" t="s">
        <v>939</v>
      </c>
      <c r="F273" s="3" t="s">
        <v>941</v>
      </c>
      <c r="G273" s="4">
        <v>5</v>
      </c>
      <c r="H273" s="12">
        <v>761.26</v>
      </c>
      <c r="I273" s="12">
        <v>-0.609139</v>
      </c>
      <c r="J273" s="13">
        <v>-0.000800172</v>
      </c>
      <c r="K273" s="13">
        <v>-0.000800172</v>
      </c>
      <c r="L273" s="12">
        <v>22.39</v>
      </c>
      <c r="M273" s="13">
        <v>0.234305303</v>
      </c>
      <c r="N273" s="13">
        <v>0.0694558298</v>
      </c>
      <c r="O273" s="13">
        <v>0.3622152746</v>
      </c>
      <c r="P273" s="13">
        <v>0</v>
      </c>
      <c r="Q273" s="13">
        <v>0.0017910897</v>
      </c>
      <c r="R273" s="13">
        <v>0.2022369505</v>
      </c>
      <c r="S273" s="13">
        <v>0</v>
      </c>
      <c r="T273" s="13">
        <v>0.101295221</v>
      </c>
      <c r="U273" s="13">
        <v>0.0241627367</v>
      </c>
      <c r="V273" s="13">
        <v>0</v>
      </c>
      <c r="W273" s="13">
        <v>0</v>
      </c>
      <c r="X273" s="13">
        <v>0</v>
      </c>
      <c r="Y273" s="13">
        <v>0</v>
      </c>
      <c r="Z273" s="13">
        <v>0.0053377663</v>
      </c>
    </row>
    <row r="274" s="2" customFormat="1" hidden="1" spans="1:26">
      <c r="A274" s="11" t="s">
        <v>935</v>
      </c>
      <c r="B274" s="11" t="s">
        <v>937</v>
      </c>
      <c r="C274" s="14" t="s">
        <v>876</v>
      </c>
      <c r="D274" s="14" t="s">
        <v>938</v>
      </c>
      <c r="E274" s="14" t="s">
        <v>939</v>
      </c>
      <c r="F274" s="3" t="s">
        <v>942</v>
      </c>
      <c r="G274" s="4">
        <v>68</v>
      </c>
      <c r="H274" s="12">
        <v>11283.376</v>
      </c>
      <c r="I274" s="12">
        <v>1185.209462</v>
      </c>
      <c r="J274" s="13">
        <v>0.1050403232</v>
      </c>
      <c r="K274" s="13">
        <v>0.1050403232</v>
      </c>
      <c r="L274" s="12">
        <v>24.4017647058</v>
      </c>
      <c r="M274" s="13">
        <v>0.2149883747</v>
      </c>
      <c r="N274" s="13">
        <v>0.0458919135</v>
      </c>
      <c r="O274" s="13">
        <v>0.3337933611</v>
      </c>
      <c r="P274" s="13">
        <v>0.0144577296</v>
      </c>
      <c r="Q274" s="13">
        <v>0.0188338319</v>
      </c>
      <c r="R274" s="13">
        <v>0.1307392535</v>
      </c>
      <c r="S274" s="13">
        <v>0</v>
      </c>
      <c r="T274" s="13">
        <v>0.1084661186</v>
      </c>
      <c r="U274" s="13">
        <v>0.0221706783</v>
      </c>
      <c r="V274" s="13">
        <v>0</v>
      </c>
      <c r="W274" s="13">
        <v>0</v>
      </c>
      <c r="X274" s="13">
        <v>0</v>
      </c>
      <c r="Y274" s="13">
        <v>0</v>
      </c>
      <c r="Z274" s="13">
        <v>0.0056184152</v>
      </c>
    </row>
    <row r="275" s="2" customFormat="1" hidden="1" spans="1:26">
      <c r="A275" s="11" t="s">
        <v>935</v>
      </c>
      <c r="B275" s="11" t="s">
        <v>937</v>
      </c>
      <c r="C275" s="14" t="s">
        <v>876</v>
      </c>
      <c r="D275" s="14" t="s">
        <v>938</v>
      </c>
      <c r="E275" s="14" t="s">
        <v>939</v>
      </c>
      <c r="F275" s="3" t="s">
        <v>943</v>
      </c>
      <c r="G275" s="4">
        <v>26</v>
      </c>
      <c r="H275" s="12">
        <v>5492.632</v>
      </c>
      <c r="I275" s="12">
        <v>898.004625</v>
      </c>
      <c r="J275" s="13">
        <v>0.1634925887</v>
      </c>
      <c r="K275" s="13">
        <v>0.1634925887</v>
      </c>
      <c r="L275" s="12">
        <v>31.0669230769</v>
      </c>
      <c r="M275" s="13">
        <v>0.1688643488</v>
      </c>
      <c r="N275" s="13">
        <v>0.0360461727</v>
      </c>
      <c r="O275" s="13">
        <v>0.2613712333</v>
      </c>
      <c r="P275" s="13">
        <v>0.0346522395</v>
      </c>
      <c r="Q275" s="13">
        <v>0.0602322498</v>
      </c>
      <c r="R275" s="13">
        <v>0.1627850863</v>
      </c>
      <c r="S275" s="13">
        <v>0</v>
      </c>
      <c r="T275" s="13">
        <v>0.1031148636</v>
      </c>
      <c r="U275" s="13">
        <v>0.0174141377</v>
      </c>
      <c r="V275" s="13">
        <v>-0.0208482927</v>
      </c>
      <c r="W275" s="13">
        <v>0</v>
      </c>
      <c r="X275" s="13">
        <v>0</v>
      </c>
      <c r="Y275" s="13">
        <v>0</v>
      </c>
      <c r="Z275" s="13">
        <v>0.0128753717</v>
      </c>
    </row>
    <row r="276" s="2" customFormat="1" spans="1:26">
      <c r="A276" s="11" t="s">
        <v>935</v>
      </c>
      <c r="B276" s="11" t="s">
        <v>937</v>
      </c>
      <c r="C276" s="14" t="s">
        <v>876</v>
      </c>
      <c r="D276" s="14" t="s">
        <v>938</v>
      </c>
      <c r="E276" s="14" t="s">
        <v>939</v>
      </c>
      <c r="F276" s="3" t="s">
        <v>944</v>
      </c>
      <c r="G276" s="4">
        <v>18</v>
      </c>
      <c r="H276" s="12">
        <v>4037.976</v>
      </c>
      <c r="I276" s="12">
        <v>1413.34953</v>
      </c>
      <c r="J276" s="13">
        <v>0.3500143462</v>
      </c>
      <c r="K276" s="13">
        <v>0.3500143462</v>
      </c>
      <c r="L276" s="12">
        <v>32.99</v>
      </c>
      <c r="M276" s="13">
        <v>0.1590207861</v>
      </c>
      <c r="N276" s="13">
        <v>0.0339449432</v>
      </c>
      <c r="O276" s="13">
        <v>0.2461351924</v>
      </c>
      <c r="P276" s="13">
        <v>0</v>
      </c>
      <c r="Q276" s="13">
        <v>0.050438033</v>
      </c>
      <c r="R276" s="13">
        <v>0.0552021245</v>
      </c>
      <c r="S276" s="13">
        <v>0</v>
      </c>
      <c r="T276" s="13">
        <v>0.1200363746</v>
      </c>
      <c r="U276" s="13">
        <v>0.0163990202</v>
      </c>
      <c r="V276" s="13">
        <v>-0.0218753157</v>
      </c>
      <c r="W276" s="13">
        <v>-0.0107203182</v>
      </c>
      <c r="X276" s="13">
        <v>0</v>
      </c>
      <c r="Y276" s="13">
        <v>0</v>
      </c>
      <c r="Z276" s="13">
        <v>0.0014048134</v>
      </c>
    </row>
    <row r="277" s="2" customFormat="1" hidden="1" spans="1:26">
      <c r="A277" s="11" t="s">
        <v>935</v>
      </c>
      <c r="B277" s="11" t="s">
        <v>937</v>
      </c>
      <c r="C277" s="14" t="s">
        <v>876</v>
      </c>
      <c r="D277" s="14" t="s">
        <v>938</v>
      </c>
      <c r="E277" s="14" t="s">
        <v>939</v>
      </c>
      <c r="F277" s="3" t="s">
        <v>945</v>
      </c>
      <c r="G277" s="4">
        <v>1</v>
      </c>
      <c r="H277" s="12">
        <v>224.332</v>
      </c>
      <c r="I277" s="12">
        <v>89.418735</v>
      </c>
      <c r="J277" s="13">
        <v>0.3985999991</v>
      </c>
      <c r="K277" s="13">
        <v>0.3985999991</v>
      </c>
      <c r="L277" s="12">
        <v>32.99</v>
      </c>
      <c r="M277" s="13">
        <v>0.1590207861</v>
      </c>
      <c r="N277" s="13">
        <v>0.0339449432</v>
      </c>
      <c r="O277" s="13">
        <v>0.2461351924</v>
      </c>
      <c r="P277" s="13">
        <v>0</v>
      </c>
      <c r="Q277" s="13">
        <v>0</v>
      </c>
      <c r="R277" s="13">
        <v>0.0258636841</v>
      </c>
      <c r="S277" s="13">
        <v>0</v>
      </c>
      <c r="T277" s="13">
        <v>0.1200363746</v>
      </c>
      <c r="U277" s="13">
        <v>0.0163990202</v>
      </c>
      <c r="V277" s="13">
        <v>0</v>
      </c>
      <c r="W277" s="13">
        <v>0</v>
      </c>
      <c r="X277" s="13">
        <v>0</v>
      </c>
      <c r="Y277" s="13">
        <v>0</v>
      </c>
      <c r="Z277" s="13">
        <v>0</v>
      </c>
    </row>
    <row r="278" s="2" customFormat="1" hidden="1" spans="1:26">
      <c r="A278" s="11" t="s">
        <v>935</v>
      </c>
      <c r="B278" s="11" t="s">
        <v>937</v>
      </c>
      <c r="C278" s="14" t="s">
        <v>878</v>
      </c>
      <c r="D278" s="14" t="s">
        <v>938</v>
      </c>
      <c r="E278" s="14" t="s">
        <v>939</v>
      </c>
      <c r="F278" s="3" t="s">
        <v>936</v>
      </c>
      <c r="G278" s="4">
        <v>202</v>
      </c>
      <c r="H278" s="12">
        <v>32177.124</v>
      </c>
      <c r="I278" s="12">
        <v>7531.83033</v>
      </c>
      <c r="J278" s="13">
        <v>0.2340740685</v>
      </c>
      <c r="K278" s="13">
        <v>0.2340740685</v>
      </c>
      <c r="L278" s="12">
        <v>23.4253960396</v>
      </c>
      <c r="M278" s="13">
        <v>0.1040805136</v>
      </c>
      <c r="N278" s="13">
        <v>0.034290666</v>
      </c>
      <c r="O278" s="13">
        <v>0.2813059364</v>
      </c>
      <c r="P278" s="13">
        <v>0.0405585036</v>
      </c>
      <c r="Q278" s="13">
        <v>0.0080223972</v>
      </c>
      <c r="R278" s="13">
        <v>0.1781330628</v>
      </c>
      <c r="S278" s="13">
        <v>0</v>
      </c>
      <c r="T278" s="13">
        <v>0.1110223524</v>
      </c>
      <c r="U278" s="13">
        <v>0.0107333049</v>
      </c>
      <c r="V278" s="13">
        <v>-0.0063437117</v>
      </c>
      <c r="W278" s="13">
        <v>-0.0026860831</v>
      </c>
      <c r="X278" s="13">
        <v>0.001439159</v>
      </c>
      <c r="Y278" s="13">
        <v>0</v>
      </c>
      <c r="Z278" s="13">
        <v>0.0053698299</v>
      </c>
    </row>
    <row r="279" s="2" customFormat="1" hidden="1" spans="1:26">
      <c r="A279" s="11" t="s">
        <v>935</v>
      </c>
      <c r="B279" s="11" t="s">
        <v>937</v>
      </c>
      <c r="C279" s="14" t="s">
        <v>878</v>
      </c>
      <c r="D279" s="14" t="s">
        <v>938</v>
      </c>
      <c r="E279" s="14" t="s">
        <v>939</v>
      </c>
      <c r="F279" s="3" t="s">
        <v>941</v>
      </c>
      <c r="G279" s="4">
        <v>55</v>
      </c>
      <c r="H279" s="12">
        <v>8659.596</v>
      </c>
      <c r="I279" s="12">
        <v>1674.623196</v>
      </c>
      <c r="J279" s="13">
        <v>0.1933835245</v>
      </c>
      <c r="K279" s="13">
        <v>0.1933835245</v>
      </c>
      <c r="L279" s="12">
        <v>23.154</v>
      </c>
      <c r="M279" s="13">
        <v>0.104944505</v>
      </c>
      <c r="N279" s="13">
        <v>0.0302459754</v>
      </c>
      <c r="O279" s="13">
        <v>0.2715022733</v>
      </c>
      <c r="P279" s="13">
        <v>0.0565148766</v>
      </c>
      <c r="Q279" s="13">
        <v>0.003479622</v>
      </c>
      <c r="R279" s="13">
        <v>0.2202487436</v>
      </c>
      <c r="S279" s="13">
        <v>0</v>
      </c>
      <c r="T279" s="13">
        <v>0.1030098863</v>
      </c>
      <c r="U279" s="13">
        <v>0.0108224041</v>
      </c>
      <c r="V279" s="13">
        <v>0.0005104164</v>
      </c>
      <c r="W279" s="13">
        <v>0</v>
      </c>
      <c r="X279" s="13">
        <v>0</v>
      </c>
      <c r="Y279" s="13">
        <v>0</v>
      </c>
      <c r="Z279" s="13">
        <v>0.0053377722</v>
      </c>
    </row>
    <row r="280" s="2" customFormat="1" hidden="1" spans="1:26">
      <c r="A280" s="11" t="s">
        <v>935</v>
      </c>
      <c r="B280" s="11" t="s">
        <v>937</v>
      </c>
      <c r="C280" s="14" t="s">
        <v>878</v>
      </c>
      <c r="D280" s="14" t="s">
        <v>938</v>
      </c>
      <c r="E280" s="14" t="s">
        <v>939</v>
      </c>
      <c r="F280" s="3" t="s">
        <v>942</v>
      </c>
      <c r="G280" s="4">
        <v>65</v>
      </c>
      <c r="H280" s="12">
        <v>10303.836</v>
      </c>
      <c r="I280" s="12">
        <v>2508.383556</v>
      </c>
      <c r="J280" s="13">
        <v>0.2434417197</v>
      </c>
      <c r="K280" s="13">
        <v>0.2434417197</v>
      </c>
      <c r="L280" s="12">
        <v>23.3118461538</v>
      </c>
      <c r="M280" s="13">
        <v>0.1028975861</v>
      </c>
      <c r="N280" s="13">
        <v>0.0192326824</v>
      </c>
      <c r="O280" s="13">
        <v>0.286879566</v>
      </c>
      <c r="P280" s="13">
        <v>0.0316643238</v>
      </c>
      <c r="Q280" s="13">
        <v>0.0125111482</v>
      </c>
      <c r="R280" s="13">
        <v>0.1870524339</v>
      </c>
      <c r="S280" s="13">
        <v>0</v>
      </c>
      <c r="T280" s="13">
        <v>0.1107327406</v>
      </c>
      <c r="U280" s="13">
        <v>0.0106113156</v>
      </c>
      <c r="V280" s="13">
        <v>-0.0056940347</v>
      </c>
      <c r="W280" s="13">
        <v>-0.005815727</v>
      </c>
      <c r="X280" s="13">
        <v>0</v>
      </c>
      <c r="Y280" s="13">
        <v>0</v>
      </c>
      <c r="Z280" s="13">
        <v>0.0064862449</v>
      </c>
    </row>
    <row r="281" s="2" customFormat="1" hidden="1" spans="1:26">
      <c r="A281" s="11" t="s">
        <v>935</v>
      </c>
      <c r="B281" s="11" t="s">
        <v>937</v>
      </c>
      <c r="C281" s="14" t="s">
        <v>878</v>
      </c>
      <c r="D281" s="14" t="s">
        <v>938</v>
      </c>
      <c r="E281" s="14" t="s">
        <v>939</v>
      </c>
      <c r="F281" s="3" t="s">
        <v>943</v>
      </c>
      <c r="G281" s="4">
        <v>23</v>
      </c>
      <c r="H281" s="12">
        <v>3588.904</v>
      </c>
      <c r="I281" s="12">
        <v>1008.725431</v>
      </c>
      <c r="J281" s="13">
        <v>0.281067822</v>
      </c>
      <c r="K281" s="13">
        <v>0.281067822</v>
      </c>
      <c r="L281" s="12">
        <v>22.9469565217</v>
      </c>
      <c r="M281" s="13">
        <v>0.1078523393</v>
      </c>
      <c r="N281" s="13">
        <v>0.0201587799</v>
      </c>
      <c r="O281" s="13">
        <v>0.283906173</v>
      </c>
      <c r="P281" s="13">
        <v>0.0454545454</v>
      </c>
      <c r="Q281" s="13">
        <v>0.0101281605</v>
      </c>
      <c r="R281" s="13">
        <v>0.1952620287</v>
      </c>
      <c r="S281" s="13">
        <v>0</v>
      </c>
      <c r="T281" s="13">
        <v>0.1156921444</v>
      </c>
      <c r="U281" s="13">
        <v>0.0111222746</v>
      </c>
      <c r="V281" s="13">
        <v>-0.0835196483</v>
      </c>
      <c r="W281" s="13">
        <v>0</v>
      </c>
      <c r="X281" s="13">
        <v>0</v>
      </c>
      <c r="Y281" s="13">
        <v>0</v>
      </c>
      <c r="Z281" s="13">
        <v>0.01287538</v>
      </c>
    </row>
    <row r="282" s="2" customFormat="1" spans="1:26">
      <c r="A282" s="11" t="s">
        <v>935</v>
      </c>
      <c r="B282" s="11" t="s">
        <v>937</v>
      </c>
      <c r="C282" s="14" t="s">
        <v>878</v>
      </c>
      <c r="D282" s="14" t="s">
        <v>938</v>
      </c>
      <c r="E282" s="14" t="s">
        <v>939</v>
      </c>
      <c r="F282" s="3" t="s">
        <v>944</v>
      </c>
      <c r="G282" s="4">
        <v>59</v>
      </c>
      <c r="H282" s="12">
        <v>9624.788</v>
      </c>
      <c r="I282" s="12">
        <v>2348.096339</v>
      </c>
      <c r="J282" s="13">
        <v>0.2439634347</v>
      </c>
      <c r="K282" s="13">
        <v>0.2439634347</v>
      </c>
      <c r="L282" s="12">
        <v>23.99</v>
      </c>
      <c r="M282" s="13">
        <v>0.1031631068</v>
      </c>
      <c r="N282" s="13">
        <v>0.0593196187</v>
      </c>
      <c r="O282" s="13">
        <v>0.2831900297</v>
      </c>
      <c r="P282" s="13">
        <v>0.033898305</v>
      </c>
      <c r="Q282" s="13">
        <v>0.0065189731</v>
      </c>
      <c r="R282" s="13">
        <v>0.12361008</v>
      </c>
      <c r="S282" s="13">
        <v>0</v>
      </c>
      <c r="T282" s="13">
        <v>0.1168000791</v>
      </c>
      <c r="U282" s="13">
        <v>0.0106386971</v>
      </c>
      <c r="V282" s="13">
        <v>0.0155714598</v>
      </c>
      <c r="W282" s="13">
        <v>-0.0027539445</v>
      </c>
      <c r="X282" s="13">
        <v>0.0046753471</v>
      </c>
      <c r="Y282" s="13">
        <v>0</v>
      </c>
      <c r="Z282" s="13">
        <v>0.0014048127</v>
      </c>
    </row>
    <row r="283" s="2" customFormat="1" hidden="1" spans="1:26">
      <c r="A283" s="11" t="s">
        <v>935</v>
      </c>
      <c r="B283" s="11" t="s">
        <v>937</v>
      </c>
      <c r="C283" s="14" t="s">
        <v>878</v>
      </c>
      <c r="D283" s="14" t="s">
        <v>938</v>
      </c>
      <c r="E283" s="14" t="s">
        <v>939</v>
      </c>
      <c r="F283" s="3" t="s">
        <v>945</v>
      </c>
      <c r="G283" s="4">
        <v>0</v>
      </c>
      <c r="H283" s="12">
        <v>0</v>
      </c>
      <c r="I283" s="12">
        <v>-7.998192</v>
      </c>
      <c r="J283" s="13"/>
      <c r="K283" s="13"/>
      <c r="L283" s="12"/>
      <c r="M283" s="13"/>
      <c r="N283" s="13"/>
      <c r="O283" s="13"/>
      <c r="P283" s="13"/>
      <c r="Q283" s="13"/>
      <c r="R283" s="13"/>
      <c r="S283" s="13"/>
      <c r="T283" s="13"/>
      <c r="U283" s="13"/>
      <c r="V283" s="13"/>
      <c r="W283" s="13"/>
      <c r="X283" s="13"/>
      <c r="Y283" s="13"/>
      <c r="Z283" s="13"/>
    </row>
    <row r="284" s="2" customFormat="1" hidden="1" spans="1:26">
      <c r="A284" s="11" t="s">
        <v>935</v>
      </c>
      <c r="B284" s="11" t="s">
        <v>937</v>
      </c>
      <c r="C284" s="14" t="s">
        <v>880</v>
      </c>
      <c r="D284" s="14" t="s">
        <v>938</v>
      </c>
      <c r="E284" s="14" t="s">
        <v>939</v>
      </c>
      <c r="F284" s="3" t="s">
        <v>936</v>
      </c>
      <c r="G284" s="4">
        <v>65</v>
      </c>
      <c r="H284" s="12">
        <v>11286.98</v>
      </c>
      <c r="I284" s="12">
        <v>-422.838661</v>
      </c>
      <c r="J284" s="13">
        <v>-0.0374625153</v>
      </c>
      <c r="K284" s="13">
        <v>-0.0374625153</v>
      </c>
      <c r="L284" s="12">
        <v>25.5361538461</v>
      </c>
      <c r="M284" s="13">
        <v>0.1486547164</v>
      </c>
      <c r="N284" s="13">
        <v>0.079383037</v>
      </c>
      <c r="O284" s="13">
        <v>0.3014730246</v>
      </c>
      <c r="P284" s="13">
        <v>0.0156580413</v>
      </c>
      <c r="Q284" s="13">
        <v>0.0756402797</v>
      </c>
      <c r="R284" s="13">
        <v>0.2988608417</v>
      </c>
      <c r="S284" s="13">
        <v>0</v>
      </c>
      <c r="T284" s="13">
        <v>0.0972798746</v>
      </c>
      <c r="U284" s="13">
        <v>0.0153300183</v>
      </c>
      <c r="V284" s="13">
        <v>0</v>
      </c>
      <c r="W284" s="13">
        <v>0</v>
      </c>
      <c r="X284" s="13">
        <v>0</v>
      </c>
      <c r="Y284" s="13">
        <v>0</v>
      </c>
      <c r="Z284" s="13">
        <v>0.0051826812</v>
      </c>
    </row>
    <row r="285" s="2" customFormat="1" hidden="1" spans="1:26">
      <c r="A285" s="11" t="s">
        <v>935</v>
      </c>
      <c r="B285" s="11" t="s">
        <v>937</v>
      </c>
      <c r="C285" s="14" t="s">
        <v>880</v>
      </c>
      <c r="D285" s="14" t="s">
        <v>938</v>
      </c>
      <c r="E285" s="14" t="s">
        <v>939</v>
      </c>
      <c r="F285" s="3" t="s">
        <v>942</v>
      </c>
      <c r="G285" s="4">
        <v>17</v>
      </c>
      <c r="H285" s="12">
        <v>3061.564</v>
      </c>
      <c r="I285" s="12">
        <v>-387.8701</v>
      </c>
      <c r="J285" s="13">
        <v>-0.1266901818</v>
      </c>
      <c r="K285" s="13">
        <v>-0.1266901818</v>
      </c>
      <c r="L285" s="12">
        <v>26.484117647</v>
      </c>
      <c r="M285" s="13">
        <v>0.1433338182</v>
      </c>
      <c r="N285" s="13">
        <v>0.0427473013</v>
      </c>
      <c r="O285" s="13">
        <v>0.2894520578</v>
      </c>
      <c r="P285" s="13">
        <v>0</v>
      </c>
      <c r="Q285" s="13">
        <v>0.0003234212</v>
      </c>
      <c r="R285" s="13">
        <v>0.5673534013</v>
      </c>
      <c r="S285" s="13">
        <v>0</v>
      </c>
      <c r="T285" s="13">
        <v>0.0622126468</v>
      </c>
      <c r="U285" s="13">
        <v>0.0147813006</v>
      </c>
      <c r="V285" s="13">
        <v>0</v>
      </c>
      <c r="W285" s="13">
        <v>0</v>
      </c>
      <c r="X285" s="13">
        <v>0</v>
      </c>
      <c r="Y285" s="13">
        <v>0</v>
      </c>
      <c r="Z285" s="13">
        <v>0.0064862341</v>
      </c>
    </row>
    <row r="286" s="2" customFormat="1" hidden="1" spans="1:26">
      <c r="A286" s="11" t="s">
        <v>935</v>
      </c>
      <c r="B286" s="11" t="s">
        <v>937</v>
      </c>
      <c r="C286" s="14" t="s">
        <v>880</v>
      </c>
      <c r="D286" s="14" t="s">
        <v>938</v>
      </c>
      <c r="E286" s="14" t="s">
        <v>939</v>
      </c>
      <c r="F286" s="3" t="s">
        <v>943</v>
      </c>
      <c r="G286" s="4">
        <v>15</v>
      </c>
      <c r="H286" s="12">
        <v>2381.7</v>
      </c>
      <c r="I286" s="12">
        <v>-138.490085</v>
      </c>
      <c r="J286" s="13">
        <v>-0.0581475773</v>
      </c>
      <c r="K286" s="13">
        <v>-0.0581475773</v>
      </c>
      <c r="L286" s="12">
        <v>23.35</v>
      </c>
      <c r="M286" s="13">
        <v>0.1625725788</v>
      </c>
      <c r="N286" s="13">
        <v>0.1024909371</v>
      </c>
      <c r="O286" s="13">
        <v>0.3301927194</v>
      </c>
      <c r="P286" s="13">
        <v>0</v>
      </c>
      <c r="Q286" s="13">
        <v>0.1493040861</v>
      </c>
      <c r="R286" s="13">
        <v>0.167829509</v>
      </c>
      <c r="S286" s="13">
        <v>0</v>
      </c>
      <c r="T286" s="13">
        <v>0.1161170592</v>
      </c>
      <c r="U286" s="13">
        <v>0.0167652978</v>
      </c>
      <c r="V286" s="13">
        <v>0</v>
      </c>
      <c r="W286" s="13">
        <v>0</v>
      </c>
      <c r="X286" s="13">
        <v>0</v>
      </c>
      <c r="Y286" s="13">
        <v>0</v>
      </c>
      <c r="Z286" s="13">
        <v>0.0128753894</v>
      </c>
    </row>
    <row r="287" s="2" customFormat="1" spans="1:26">
      <c r="A287" s="11" t="s">
        <v>935</v>
      </c>
      <c r="B287" s="11" t="s">
        <v>937</v>
      </c>
      <c r="C287" s="14" t="s">
        <v>880</v>
      </c>
      <c r="D287" s="14" t="s">
        <v>938</v>
      </c>
      <c r="E287" s="14" t="s">
        <v>939</v>
      </c>
      <c r="F287" s="3" t="s">
        <v>944</v>
      </c>
      <c r="G287" s="4">
        <v>32</v>
      </c>
      <c r="H287" s="12">
        <v>5675.824</v>
      </c>
      <c r="I287" s="12">
        <v>84.394632</v>
      </c>
      <c r="J287" s="13">
        <v>0.0148691418</v>
      </c>
      <c r="K287" s="13">
        <v>0.0148691418</v>
      </c>
      <c r="L287" s="12">
        <v>26.08375</v>
      </c>
      <c r="M287" s="13">
        <v>0.1455338939</v>
      </c>
      <c r="N287" s="13">
        <v>0.0890143964</v>
      </c>
      <c r="O287" s="13">
        <v>0.2955863324</v>
      </c>
      <c r="P287" s="13">
        <v>0.0311376815</v>
      </c>
      <c r="Q287" s="13">
        <v>0.0875930275</v>
      </c>
      <c r="R287" s="13">
        <v>0.2122304447</v>
      </c>
      <c r="S287" s="13">
        <v>0</v>
      </c>
      <c r="T287" s="13">
        <v>0.1076220827</v>
      </c>
      <c r="U287" s="13">
        <v>0.0150081834</v>
      </c>
      <c r="V287" s="13">
        <v>0</v>
      </c>
      <c r="W287" s="13">
        <v>0</v>
      </c>
      <c r="X287" s="13">
        <v>0</v>
      </c>
      <c r="Y287" s="13">
        <v>0</v>
      </c>
      <c r="Z287" s="13">
        <v>0.0014048152</v>
      </c>
    </row>
    <row r="288" s="2" customFormat="1" hidden="1" spans="1:26">
      <c r="A288" s="11" t="s">
        <v>935</v>
      </c>
      <c r="B288" s="11" t="s">
        <v>937</v>
      </c>
      <c r="C288" s="14" t="s">
        <v>880</v>
      </c>
      <c r="D288" s="14" t="s">
        <v>938</v>
      </c>
      <c r="E288" s="14" t="s">
        <v>939</v>
      </c>
      <c r="F288" s="3" t="s">
        <v>945</v>
      </c>
      <c r="G288" s="4">
        <v>1</v>
      </c>
      <c r="H288" s="12">
        <v>167.892</v>
      </c>
      <c r="I288" s="12">
        <v>19.126892</v>
      </c>
      <c r="J288" s="13">
        <v>0.1139237843</v>
      </c>
      <c r="K288" s="13">
        <v>0.1139237843</v>
      </c>
      <c r="L288" s="12">
        <v>24.69</v>
      </c>
      <c r="M288" s="13">
        <v>0.1537492792</v>
      </c>
      <c r="N288" s="13">
        <v>0.0940392573</v>
      </c>
      <c r="O288" s="13">
        <v>0.3122721749</v>
      </c>
      <c r="P288" s="13">
        <v>0</v>
      </c>
      <c r="Q288" s="13">
        <v>0</v>
      </c>
      <c r="R288" s="13">
        <v>0.1902735151</v>
      </c>
      <c r="S288" s="13">
        <v>0</v>
      </c>
      <c r="T288" s="13">
        <v>0.1198865937</v>
      </c>
      <c r="U288" s="13">
        <v>0.0158553951</v>
      </c>
      <c r="V288" s="13">
        <v>0</v>
      </c>
      <c r="W288" s="13">
        <v>0</v>
      </c>
      <c r="X288" s="13">
        <v>0</v>
      </c>
      <c r="Y288" s="13">
        <v>0</v>
      </c>
      <c r="Z288" s="13">
        <v>0</v>
      </c>
    </row>
    <row r="289" s="2" customFormat="1" hidden="1" spans="1:26">
      <c r="A289" s="11" t="s">
        <v>935</v>
      </c>
      <c r="B289" s="11" t="s">
        <v>937</v>
      </c>
      <c r="C289" s="14" t="s">
        <v>882</v>
      </c>
      <c r="D289" s="14" t="s">
        <v>938</v>
      </c>
      <c r="E289" s="14" t="s">
        <v>939</v>
      </c>
      <c r="F289" s="3" t="s">
        <v>936</v>
      </c>
      <c r="G289" s="4">
        <v>128</v>
      </c>
      <c r="H289" s="12">
        <v>17644.096</v>
      </c>
      <c r="I289" s="12">
        <v>2785.367882</v>
      </c>
      <c r="J289" s="13">
        <v>0.1578640176</v>
      </c>
      <c r="K289" s="13">
        <v>0.1578640176</v>
      </c>
      <c r="L289" s="12">
        <v>20.27125</v>
      </c>
      <c r="M289" s="13">
        <v>0.1367643395</v>
      </c>
      <c r="N289" s="13">
        <v>0.0654667689</v>
      </c>
      <c r="O289" s="13">
        <v>0.3110894431</v>
      </c>
      <c r="P289" s="13">
        <v>0.038520534</v>
      </c>
      <c r="Q289" s="13">
        <v>0.0109304991</v>
      </c>
      <c r="R289" s="13">
        <v>0.1551128326</v>
      </c>
      <c r="S289" s="13">
        <v>0</v>
      </c>
      <c r="T289" s="13">
        <v>0.1089944194</v>
      </c>
      <c r="U289" s="13">
        <v>0.0141038198</v>
      </c>
      <c r="V289" s="13">
        <v>0</v>
      </c>
      <c r="W289" s="13">
        <v>-0.0015657442</v>
      </c>
      <c r="X289" s="13">
        <v>0</v>
      </c>
      <c r="Y289" s="13">
        <v>0</v>
      </c>
      <c r="Z289" s="13">
        <v>0.0027190697</v>
      </c>
    </row>
    <row r="290" s="2" customFormat="1" hidden="1" spans="1:26">
      <c r="A290" s="11" t="s">
        <v>935</v>
      </c>
      <c r="B290" s="11" t="s">
        <v>937</v>
      </c>
      <c r="C290" s="14" t="s">
        <v>882</v>
      </c>
      <c r="D290" s="14" t="s">
        <v>938</v>
      </c>
      <c r="E290" s="14" t="s">
        <v>939</v>
      </c>
      <c r="F290" s="3" t="s">
        <v>942</v>
      </c>
      <c r="G290" s="4">
        <v>1</v>
      </c>
      <c r="H290" s="12">
        <v>176.732</v>
      </c>
      <c r="I290" s="12">
        <v>22.930682</v>
      </c>
      <c r="J290" s="13">
        <v>0.1297483308</v>
      </c>
      <c r="K290" s="13">
        <v>0.1297483308</v>
      </c>
      <c r="L290" s="12">
        <v>25.99</v>
      </c>
      <c r="M290" s="13">
        <v>0.1066711857</v>
      </c>
      <c r="N290" s="13">
        <v>0.0226794072</v>
      </c>
      <c r="O290" s="13">
        <v>0.231627549</v>
      </c>
      <c r="P290" s="13">
        <v>0</v>
      </c>
      <c r="Q290" s="13">
        <v>0.0003234332</v>
      </c>
      <c r="R290" s="13">
        <v>0.371417157</v>
      </c>
      <c r="S290" s="13">
        <v>0</v>
      </c>
      <c r="T290" s="13">
        <v>0.1200461716</v>
      </c>
      <c r="U290" s="13">
        <v>0.0110004639</v>
      </c>
      <c r="V290" s="13">
        <v>0</v>
      </c>
      <c r="W290" s="13">
        <v>0</v>
      </c>
      <c r="X290" s="13">
        <v>0</v>
      </c>
      <c r="Y290" s="13">
        <v>0</v>
      </c>
      <c r="Z290" s="13">
        <v>0.0064863012</v>
      </c>
    </row>
    <row r="291" s="2" customFormat="1" hidden="1" spans="1:26">
      <c r="A291" s="11" t="s">
        <v>935</v>
      </c>
      <c r="B291" s="11" t="s">
        <v>937</v>
      </c>
      <c r="C291" s="14" t="s">
        <v>882</v>
      </c>
      <c r="D291" s="14" t="s">
        <v>938</v>
      </c>
      <c r="E291" s="14" t="s">
        <v>939</v>
      </c>
      <c r="F291" s="3" t="s">
        <v>943</v>
      </c>
      <c r="G291" s="4">
        <v>14</v>
      </c>
      <c r="H291" s="12">
        <v>1998.248</v>
      </c>
      <c r="I291" s="12">
        <v>347.150016</v>
      </c>
      <c r="J291" s="13">
        <v>0.173727193</v>
      </c>
      <c r="K291" s="13">
        <v>0.173727193</v>
      </c>
      <c r="L291" s="12">
        <v>20.99</v>
      </c>
      <c r="M291" s="13">
        <v>0.1320811871</v>
      </c>
      <c r="N291" s="13">
        <v>0.0798898845</v>
      </c>
      <c r="O291" s="13">
        <v>0.2986456135</v>
      </c>
      <c r="P291" s="13">
        <v>0</v>
      </c>
      <c r="Q291" s="13">
        <v>0.0173577383</v>
      </c>
      <c r="R291" s="13">
        <v>0.1566452772</v>
      </c>
      <c r="S291" s="13">
        <v>0</v>
      </c>
      <c r="T291" s="13">
        <v>0.1151568774</v>
      </c>
      <c r="U291" s="13">
        <v>0.0136208698</v>
      </c>
      <c r="V291" s="13">
        <v>0</v>
      </c>
      <c r="W291" s="13">
        <v>0</v>
      </c>
      <c r="X291" s="13">
        <v>0</v>
      </c>
      <c r="Y291" s="13">
        <v>0</v>
      </c>
      <c r="Z291" s="13">
        <v>0.0128753588</v>
      </c>
    </row>
    <row r="292" s="2" customFormat="1" spans="1:26">
      <c r="A292" s="11" t="s">
        <v>935</v>
      </c>
      <c r="B292" s="11" t="s">
        <v>937</v>
      </c>
      <c r="C292" s="14" t="s">
        <v>882</v>
      </c>
      <c r="D292" s="14" t="s">
        <v>938</v>
      </c>
      <c r="E292" s="14" t="s">
        <v>939</v>
      </c>
      <c r="F292" s="3" t="s">
        <v>944</v>
      </c>
      <c r="G292" s="4">
        <v>110</v>
      </c>
      <c r="H292" s="12">
        <v>15020.52</v>
      </c>
      <c r="I292" s="12">
        <v>2295.797723</v>
      </c>
      <c r="J292" s="13">
        <v>0.1528440908</v>
      </c>
      <c r="K292" s="13">
        <v>0.1528440908</v>
      </c>
      <c r="L292" s="12">
        <v>20.0809090908</v>
      </c>
      <c r="M292" s="13">
        <v>0.1380606876</v>
      </c>
      <c r="N292" s="13">
        <v>0.0642542461</v>
      </c>
      <c r="O292" s="13">
        <v>0.3144008329</v>
      </c>
      <c r="P292" s="13">
        <v>0.0452487663</v>
      </c>
      <c r="Q292" s="13">
        <v>0.0105267028</v>
      </c>
      <c r="R292" s="13">
        <v>0.1531473335</v>
      </c>
      <c r="S292" s="13">
        <v>0</v>
      </c>
      <c r="T292" s="13">
        <v>0.1077142469</v>
      </c>
      <c r="U292" s="13">
        <v>0.0142375057</v>
      </c>
      <c r="V292" s="13">
        <v>0</v>
      </c>
      <c r="W292" s="13">
        <v>-0.0018392266</v>
      </c>
      <c r="X292" s="13">
        <v>0</v>
      </c>
      <c r="Y292" s="13">
        <v>0</v>
      </c>
      <c r="Z292" s="13">
        <v>0.0014048136</v>
      </c>
    </row>
    <row r="293" s="2" customFormat="1" hidden="1" spans="1:26">
      <c r="A293" s="11" t="s">
        <v>935</v>
      </c>
      <c r="B293" s="11" t="s">
        <v>937</v>
      </c>
      <c r="C293" s="14" t="s">
        <v>882</v>
      </c>
      <c r="D293" s="14" t="s">
        <v>938</v>
      </c>
      <c r="E293" s="14" t="s">
        <v>939</v>
      </c>
      <c r="F293" s="3" t="s">
        <v>945</v>
      </c>
      <c r="G293" s="4">
        <v>3</v>
      </c>
      <c r="H293" s="12">
        <v>448.596</v>
      </c>
      <c r="I293" s="12">
        <v>119.489461</v>
      </c>
      <c r="J293" s="13">
        <v>0.2663631887</v>
      </c>
      <c r="K293" s="13">
        <v>0.2663631887</v>
      </c>
      <c r="L293" s="12">
        <v>21.99</v>
      </c>
      <c r="M293" s="13">
        <v>0.1260747666</v>
      </c>
      <c r="N293" s="13">
        <v>0.0586759288</v>
      </c>
      <c r="O293" s="13">
        <v>0.286948613</v>
      </c>
      <c r="P293" s="13">
        <v>0</v>
      </c>
      <c r="Q293" s="13">
        <v>0</v>
      </c>
      <c r="R293" s="13">
        <v>0.1288814746</v>
      </c>
      <c r="S293" s="13">
        <v>0</v>
      </c>
      <c r="T293" s="13">
        <v>0.1200545702</v>
      </c>
      <c r="U293" s="13">
        <v>0.0130014578</v>
      </c>
      <c r="V293" s="13">
        <v>0</v>
      </c>
      <c r="W293" s="13">
        <v>0</v>
      </c>
      <c r="X293" s="13">
        <v>0</v>
      </c>
      <c r="Y293" s="13">
        <v>0</v>
      </c>
      <c r="Z293" s="13">
        <v>0</v>
      </c>
    </row>
    <row r="294" s="2" customFormat="1" hidden="1" spans="1:26">
      <c r="A294" s="11" t="s">
        <v>935</v>
      </c>
      <c r="B294" s="11" t="s">
        <v>937</v>
      </c>
      <c r="C294" s="14" t="s">
        <v>884</v>
      </c>
      <c r="D294" s="14" t="s">
        <v>938</v>
      </c>
      <c r="E294" s="14" t="s">
        <v>939</v>
      </c>
      <c r="F294" s="3" t="s">
        <v>936</v>
      </c>
      <c r="G294" s="4">
        <v>103</v>
      </c>
      <c r="H294" s="12">
        <v>21004.996</v>
      </c>
      <c r="I294" s="12">
        <v>2169.479523</v>
      </c>
      <c r="J294" s="13">
        <v>0.1032839769</v>
      </c>
      <c r="K294" s="13">
        <v>0.1032839769</v>
      </c>
      <c r="L294" s="12">
        <v>29.99</v>
      </c>
      <c r="M294" s="13">
        <v>0.1619227928</v>
      </c>
      <c r="N294" s="13">
        <v>0.1151835007</v>
      </c>
      <c r="O294" s="13">
        <v>0.2702972188</v>
      </c>
      <c r="P294" s="13">
        <v>0.0194174757</v>
      </c>
      <c r="Q294" s="13">
        <v>0.0294358086</v>
      </c>
      <c r="R294" s="13">
        <v>0.1683228006</v>
      </c>
      <c r="S294" s="13">
        <v>0</v>
      </c>
      <c r="T294" s="13">
        <v>0.1091399398</v>
      </c>
      <c r="U294" s="13">
        <v>0.0166982867</v>
      </c>
      <c r="V294" s="13">
        <v>0</v>
      </c>
      <c r="W294" s="13">
        <v>0</v>
      </c>
      <c r="X294" s="13">
        <v>0</v>
      </c>
      <c r="Y294" s="13">
        <v>0</v>
      </c>
      <c r="Z294" s="13">
        <v>0.0062981988</v>
      </c>
    </row>
    <row r="295" s="2" customFormat="1" hidden="1" spans="1:26">
      <c r="A295" s="11" t="s">
        <v>935</v>
      </c>
      <c r="B295" s="11" t="s">
        <v>937</v>
      </c>
      <c r="C295" s="14" t="s">
        <v>884</v>
      </c>
      <c r="D295" s="14" t="s">
        <v>938</v>
      </c>
      <c r="E295" s="14" t="s">
        <v>939</v>
      </c>
      <c r="F295" s="3" t="s">
        <v>942</v>
      </c>
      <c r="G295" s="4">
        <v>10</v>
      </c>
      <c r="H295" s="12">
        <v>2039.32</v>
      </c>
      <c r="I295" s="12">
        <v>127.239754</v>
      </c>
      <c r="J295" s="13">
        <v>0.0623932261</v>
      </c>
      <c r="K295" s="13">
        <v>0.0623932261</v>
      </c>
      <c r="L295" s="12">
        <v>29.99</v>
      </c>
      <c r="M295" s="13">
        <v>0.1619227928</v>
      </c>
      <c r="N295" s="13">
        <v>0.0533709913</v>
      </c>
      <c r="O295" s="13">
        <v>0.2659886628</v>
      </c>
      <c r="P295" s="13">
        <v>0</v>
      </c>
      <c r="Q295" s="13">
        <v>0.0003234239</v>
      </c>
      <c r="R295" s="13">
        <v>0.3383848606</v>
      </c>
      <c r="S295" s="13">
        <v>0</v>
      </c>
      <c r="T295" s="13">
        <v>0.0944314771</v>
      </c>
      <c r="U295" s="13">
        <v>0.0166982871</v>
      </c>
      <c r="V295" s="13">
        <v>0</v>
      </c>
      <c r="W295" s="13">
        <v>0</v>
      </c>
      <c r="X295" s="13">
        <v>0</v>
      </c>
      <c r="Y295" s="13">
        <v>0</v>
      </c>
      <c r="Z295" s="13">
        <v>0.0064862777</v>
      </c>
    </row>
    <row r="296" s="2" customFormat="1" hidden="1" spans="1:26">
      <c r="A296" s="11" t="s">
        <v>935</v>
      </c>
      <c r="B296" s="11" t="s">
        <v>937</v>
      </c>
      <c r="C296" s="14" t="s">
        <v>884</v>
      </c>
      <c r="D296" s="14" t="s">
        <v>938</v>
      </c>
      <c r="E296" s="14" t="s">
        <v>939</v>
      </c>
      <c r="F296" s="3" t="s">
        <v>943</v>
      </c>
      <c r="G296" s="4">
        <v>40</v>
      </c>
      <c r="H296" s="12">
        <v>8157.28</v>
      </c>
      <c r="I296" s="12">
        <v>824.745654</v>
      </c>
      <c r="J296" s="13">
        <v>0.1011054731</v>
      </c>
      <c r="K296" s="13">
        <v>0.1011054731</v>
      </c>
      <c r="L296" s="12">
        <v>29.99</v>
      </c>
      <c r="M296" s="13">
        <v>0.1619227928</v>
      </c>
      <c r="N296" s="13">
        <v>0.121830007</v>
      </c>
      <c r="O296" s="13">
        <v>0.2707569189</v>
      </c>
      <c r="P296" s="13">
        <v>0.025</v>
      </c>
      <c r="Q296" s="13">
        <v>0.0279760943</v>
      </c>
      <c r="R296" s="13">
        <v>0.1519984188</v>
      </c>
      <c r="S296" s="13">
        <v>0</v>
      </c>
      <c r="T296" s="13">
        <v>0.1098366122</v>
      </c>
      <c r="U296" s="13">
        <v>0.0166982866</v>
      </c>
      <c r="V296" s="13">
        <v>0</v>
      </c>
      <c r="W296" s="13">
        <v>0</v>
      </c>
      <c r="X296" s="13">
        <v>0</v>
      </c>
      <c r="Y296" s="13">
        <v>0</v>
      </c>
      <c r="Z296" s="13">
        <v>0.0128753957</v>
      </c>
    </row>
    <row r="297" s="2" customFormat="1" spans="1:26">
      <c r="A297" s="11" t="s">
        <v>935</v>
      </c>
      <c r="B297" s="11" t="s">
        <v>937</v>
      </c>
      <c r="C297" s="14" t="s">
        <v>884</v>
      </c>
      <c r="D297" s="14" t="s">
        <v>938</v>
      </c>
      <c r="E297" s="14" t="s">
        <v>939</v>
      </c>
      <c r="F297" s="3" t="s">
        <v>944</v>
      </c>
      <c r="G297" s="4">
        <v>49</v>
      </c>
      <c r="H297" s="12">
        <v>9992.668</v>
      </c>
      <c r="I297" s="12">
        <v>1063.792833</v>
      </c>
      <c r="J297" s="13">
        <v>0.1064573378</v>
      </c>
      <c r="K297" s="13">
        <v>0.1064573378</v>
      </c>
      <c r="L297" s="12">
        <v>29.99</v>
      </c>
      <c r="M297" s="13">
        <v>0.1619227928</v>
      </c>
      <c r="N297" s="13">
        <v>0.1218300071</v>
      </c>
      <c r="O297" s="13">
        <v>0.2707637239</v>
      </c>
      <c r="P297" s="13">
        <v>0.0204081632</v>
      </c>
      <c r="Q297" s="13">
        <v>0.0389716384</v>
      </c>
      <c r="R297" s="13">
        <v>0.1501251441</v>
      </c>
      <c r="S297" s="13">
        <v>0</v>
      </c>
      <c r="T297" s="13">
        <v>0.1114180917</v>
      </c>
      <c r="U297" s="13">
        <v>0.0166982867</v>
      </c>
      <c r="V297" s="13">
        <v>0</v>
      </c>
      <c r="W297" s="13">
        <v>0</v>
      </c>
      <c r="X297" s="13">
        <v>0</v>
      </c>
      <c r="Y297" s="13">
        <v>0</v>
      </c>
      <c r="Z297" s="13">
        <v>0.0014048137</v>
      </c>
    </row>
    <row r="298" s="2" customFormat="1" hidden="1" spans="1:26">
      <c r="A298" s="11" t="s">
        <v>935</v>
      </c>
      <c r="B298" s="11" t="s">
        <v>937</v>
      </c>
      <c r="C298" s="14" t="s">
        <v>884</v>
      </c>
      <c r="D298" s="14" t="s">
        <v>938</v>
      </c>
      <c r="E298" s="14" t="s">
        <v>939</v>
      </c>
      <c r="F298" s="3" t="s">
        <v>945</v>
      </c>
      <c r="G298" s="4">
        <v>4</v>
      </c>
      <c r="H298" s="12">
        <v>815.728</v>
      </c>
      <c r="I298" s="12">
        <v>153.701282</v>
      </c>
      <c r="J298" s="13">
        <v>0.1884222216</v>
      </c>
      <c r="K298" s="13">
        <v>0.1884222216</v>
      </c>
      <c r="L298" s="12">
        <v>29.99</v>
      </c>
      <c r="M298" s="13">
        <v>0.1619227928</v>
      </c>
      <c r="N298" s="13">
        <v>0.121830007</v>
      </c>
      <c r="O298" s="13">
        <v>0.2707569189</v>
      </c>
      <c r="P298" s="13">
        <v>0</v>
      </c>
      <c r="Q298" s="13">
        <v>0</v>
      </c>
      <c r="R298" s="13">
        <v>0.1293327603</v>
      </c>
      <c r="S298" s="13">
        <v>0</v>
      </c>
      <c r="T298" s="13">
        <v>0.1110370123</v>
      </c>
      <c r="U298" s="13">
        <v>0.0166982866</v>
      </c>
      <c r="V298" s="13">
        <v>0</v>
      </c>
      <c r="W298" s="13">
        <v>0</v>
      </c>
      <c r="X298" s="13">
        <v>0</v>
      </c>
      <c r="Y298" s="13">
        <v>0</v>
      </c>
      <c r="Z298" s="13">
        <v>0</v>
      </c>
    </row>
    <row r="299" s="2" customFormat="1" hidden="1" spans="1:26">
      <c r="A299" s="11" t="s">
        <v>935</v>
      </c>
      <c r="B299" s="11" t="s">
        <v>937</v>
      </c>
      <c r="C299" s="14" t="s">
        <v>886</v>
      </c>
      <c r="D299" s="14" t="s">
        <v>938</v>
      </c>
      <c r="E299" s="14" t="s">
        <v>939</v>
      </c>
      <c r="F299" s="3" t="s">
        <v>936</v>
      </c>
      <c r="G299" s="4">
        <v>101</v>
      </c>
      <c r="H299" s="12">
        <v>18849.532</v>
      </c>
      <c r="I299" s="12">
        <v>1680.397424</v>
      </c>
      <c r="J299" s="13">
        <v>0.0891479652</v>
      </c>
      <c r="K299" s="13">
        <v>0.0891479652</v>
      </c>
      <c r="L299" s="12">
        <v>27.4454455445</v>
      </c>
      <c r="M299" s="13">
        <v>0.1256811549</v>
      </c>
      <c r="N299" s="13">
        <v>0.0594027447</v>
      </c>
      <c r="O299" s="13">
        <v>0.2768336105</v>
      </c>
      <c r="P299" s="13">
        <v>0.0295708137</v>
      </c>
      <c r="Q299" s="13">
        <v>0.0142175383</v>
      </c>
      <c r="R299" s="13">
        <v>0.2837067226</v>
      </c>
      <c r="S299" s="13">
        <v>0</v>
      </c>
      <c r="T299" s="13">
        <v>0.1049318359</v>
      </c>
      <c r="U299" s="13">
        <v>0.0129608721</v>
      </c>
      <c r="V299" s="13">
        <v>0</v>
      </c>
      <c r="W299" s="13">
        <v>-0.0018572954</v>
      </c>
      <c r="X299" s="13">
        <v>0</v>
      </c>
      <c r="Y299" s="13">
        <v>0</v>
      </c>
      <c r="Z299" s="13">
        <v>0.005404037</v>
      </c>
    </row>
    <row r="300" s="2" customFormat="1" hidden="1" spans="1:26">
      <c r="A300" s="11" t="s">
        <v>935</v>
      </c>
      <c r="B300" s="11" t="s">
        <v>937</v>
      </c>
      <c r="C300" s="14" t="s">
        <v>886</v>
      </c>
      <c r="D300" s="14" t="s">
        <v>938</v>
      </c>
      <c r="E300" s="14" t="s">
        <v>939</v>
      </c>
      <c r="F300" s="3" t="s">
        <v>942</v>
      </c>
      <c r="G300" s="4">
        <v>12</v>
      </c>
      <c r="H300" s="12">
        <v>2202.384</v>
      </c>
      <c r="I300" s="12">
        <v>-726.583557</v>
      </c>
      <c r="J300" s="13">
        <v>-0.3299077531</v>
      </c>
      <c r="K300" s="13">
        <v>-0.3299077531</v>
      </c>
      <c r="L300" s="12">
        <v>26.99</v>
      </c>
      <c r="M300" s="13">
        <v>0.1278019745</v>
      </c>
      <c r="N300" s="13">
        <v>0.0415284146</v>
      </c>
      <c r="O300" s="13">
        <v>0.2734346054</v>
      </c>
      <c r="P300" s="13">
        <v>0</v>
      </c>
      <c r="Q300" s="13">
        <v>0.0003234222</v>
      </c>
      <c r="R300" s="13">
        <v>0.8288059807</v>
      </c>
      <c r="S300" s="13">
        <v>0</v>
      </c>
      <c r="T300" s="13">
        <v>0.0383475361</v>
      </c>
      <c r="U300" s="13">
        <v>0.0131795817</v>
      </c>
      <c r="V300" s="13">
        <v>0</v>
      </c>
      <c r="W300" s="13">
        <v>0</v>
      </c>
      <c r="X300" s="13">
        <v>0</v>
      </c>
      <c r="Y300" s="13">
        <v>0</v>
      </c>
      <c r="Z300" s="13">
        <v>0.0064862376</v>
      </c>
    </row>
    <row r="301" s="2" customFormat="1" hidden="1" spans="1:26">
      <c r="A301" s="11" t="s">
        <v>935</v>
      </c>
      <c r="B301" s="11" t="s">
        <v>937</v>
      </c>
      <c r="C301" s="14" t="s">
        <v>886</v>
      </c>
      <c r="D301" s="14" t="s">
        <v>938</v>
      </c>
      <c r="E301" s="14" t="s">
        <v>939</v>
      </c>
      <c r="F301" s="3" t="s">
        <v>943</v>
      </c>
      <c r="G301" s="4">
        <v>31</v>
      </c>
      <c r="H301" s="12">
        <v>5689.492</v>
      </c>
      <c r="I301" s="12">
        <v>296.315184</v>
      </c>
      <c r="J301" s="13">
        <v>0.052081132</v>
      </c>
      <c r="K301" s="13">
        <v>0.052081132</v>
      </c>
      <c r="L301" s="12">
        <v>26.99</v>
      </c>
      <c r="M301" s="13">
        <v>0.1278019745</v>
      </c>
      <c r="N301" s="13">
        <v>0.0629503192</v>
      </c>
      <c r="O301" s="13">
        <v>0.2823984988</v>
      </c>
      <c r="P301" s="13">
        <v>0.0322580645</v>
      </c>
      <c r="Q301" s="13">
        <v>0.016410061</v>
      </c>
      <c r="R301" s="13">
        <v>0.29828495</v>
      </c>
      <c r="S301" s="13">
        <v>0</v>
      </c>
      <c r="T301" s="13">
        <v>0.1079133251</v>
      </c>
      <c r="U301" s="13">
        <v>0.0131795817</v>
      </c>
      <c r="V301" s="13">
        <v>0</v>
      </c>
      <c r="W301" s="13">
        <v>-0.0061532998</v>
      </c>
      <c r="X301" s="13">
        <v>0</v>
      </c>
      <c r="Y301" s="13">
        <v>0</v>
      </c>
      <c r="Z301" s="13">
        <v>0.0128753925</v>
      </c>
    </row>
    <row r="302" s="2" customFormat="1" spans="1:26">
      <c r="A302" s="11" t="s">
        <v>935</v>
      </c>
      <c r="B302" s="11" t="s">
        <v>937</v>
      </c>
      <c r="C302" s="14" t="s">
        <v>886</v>
      </c>
      <c r="D302" s="14" t="s">
        <v>938</v>
      </c>
      <c r="E302" s="14" t="s">
        <v>939</v>
      </c>
      <c r="F302" s="3" t="s">
        <v>944</v>
      </c>
      <c r="G302" s="4">
        <v>54</v>
      </c>
      <c r="H302" s="12">
        <v>10196.328</v>
      </c>
      <c r="I302" s="12">
        <v>1917.636626</v>
      </c>
      <c r="J302" s="13">
        <v>0.1880712964</v>
      </c>
      <c r="K302" s="13">
        <v>0.1880712964</v>
      </c>
      <c r="L302" s="12">
        <v>27.7677777777</v>
      </c>
      <c r="M302" s="13">
        <v>0.1242222305</v>
      </c>
      <c r="N302" s="13">
        <v>0.0611870755</v>
      </c>
      <c r="O302" s="13">
        <v>0.2747789204</v>
      </c>
      <c r="P302" s="13">
        <v>0.0366665332</v>
      </c>
      <c r="Q302" s="13">
        <v>0.0170568005</v>
      </c>
      <c r="R302" s="13">
        <v>0.167279961</v>
      </c>
      <c r="S302" s="13">
        <v>0</v>
      </c>
      <c r="T302" s="13">
        <v>0.1165219479</v>
      </c>
      <c r="U302" s="13">
        <v>0.0128104205</v>
      </c>
      <c r="V302" s="13">
        <v>0</v>
      </c>
      <c r="W302" s="13">
        <v>0</v>
      </c>
      <c r="X302" s="13">
        <v>0</v>
      </c>
      <c r="Y302" s="13">
        <v>0</v>
      </c>
      <c r="Z302" s="13">
        <v>0.0014048135</v>
      </c>
    </row>
    <row r="303" s="2" customFormat="1" hidden="1" spans="1:26">
      <c r="A303" s="11" t="s">
        <v>935</v>
      </c>
      <c r="B303" s="11" t="s">
        <v>937</v>
      </c>
      <c r="C303" s="14" t="s">
        <v>886</v>
      </c>
      <c r="D303" s="14" t="s">
        <v>938</v>
      </c>
      <c r="E303" s="14" t="s">
        <v>939</v>
      </c>
      <c r="F303" s="3" t="s">
        <v>945</v>
      </c>
      <c r="G303" s="4">
        <v>4</v>
      </c>
      <c r="H303" s="12">
        <v>761.328</v>
      </c>
      <c r="I303" s="12">
        <v>193.029171</v>
      </c>
      <c r="J303" s="13">
        <v>0.2535427187</v>
      </c>
      <c r="K303" s="13">
        <v>0.2535427187</v>
      </c>
      <c r="L303" s="12">
        <v>27.99</v>
      </c>
      <c r="M303" s="13">
        <v>0.1232359876</v>
      </c>
      <c r="N303" s="13">
        <v>0.0607012903</v>
      </c>
      <c r="O303" s="13">
        <v>0.2725973561</v>
      </c>
      <c r="P303" s="13">
        <v>0</v>
      </c>
      <c r="Q303" s="13">
        <v>0</v>
      </c>
      <c r="R303" s="13">
        <v>0.1571710603</v>
      </c>
      <c r="S303" s="13">
        <v>0</v>
      </c>
      <c r="T303" s="13">
        <v>0.1200428724</v>
      </c>
      <c r="U303" s="13">
        <v>0.0127087142</v>
      </c>
      <c r="V303" s="13">
        <v>0</v>
      </c>
      <c r="W303" s="13">
        <v>0</v>
      </c>
      <c r="X303" s="13">
        <v>0</v>
      </c>
      <c r="Y303" s="13">
        <v>0</v>
      </c>
      <c r="Z303" s="13">
        <v>0</v>
      </c>
    </row>
    <row r="304" s="2" customFormat="1" hidden="1" spans="1:26">
      <c r="A304" s="11" t="s">
        <v>935</v>
      </c>
      <c r="B304" s="11" t="s">
        <v>937</v>
      </c>
      <c r="C304" s="14" t="s">
        <v>888</v>
      </c>
      <c r="D304" s="14" t="s">
        <v>938</v>
      </c>
      <c r="E304" s="14" t="s">
        <v>939</v>
      </c>
      <c r="F304" s="3" t="s">
        <v>936</v>
      </c>
      <c r="G304" s="4">
        <v>178</v>
      </c>
      <c r="H304" s="12">
        <v>32984.216</v>
      </c>
      <c r="I304" s="12">
        <v>3642.235411</v>
      </c>
      <c r="J304" s="13">
        <v>0.1104235859</v>
      </c>
      <c r="K304" s="13">
        <v>0.1104235859</v>
      </c>
      <c r="L304" s="12">
        <v>27.2506741572</v>
      </c>
      <c r="M304" s="13">
        <v>0.1468665446</v>
      </c>
      <c r="N304" s="13">
        <v>0.039858087</v>
      </c>
      <c r="O304" s="13">
        <v>0.282722621</v>
      </c>
      <c r="P304" s="13">
        <v>0.0723020974</v>
      </c>
      <c r="Q304" s="13">
        <v>0.0295363283</v>
      </c>
      <c r="R304" s="13">
        <v>0.196754149</v>
      </c>
      <c r="S304" s="13">
        <v>0</v>
      </c>
      <c r="T304" s="13">
        <v>0.1019725313</v>
      </c>
      <c r="U304" s="13">
        <v>0.0151456155</v>
      </c>
      <c r="V304" s="13">
        <v>0</v>
      </c>
      <c r="W304" s="13">
        <v>-0.0041777545</v>
      </c>
      <c r="X304" s="13">
        <v>0.0018719255</v>
      </c>
      <c r="Y304" s="13">
        <v>0</v>
      </c>
      <c r="Z304" s="13">
        <v>0.0067242685</v>
      </c>
    </row>
    <row r="305" s="2" customFormat="1" hidden="1" spans="1:26">
      <c r="A305" s="11" t="s">
        <v>935</v>
      </c>
      <c r="B305" s="11" t="s">
        <v>937</v>
      </c>
      <c r="C305" s="14" t="s">
        <v>888</v>
      </c>
      <c r="D305" s="14" t="s">
        <v>938</v>
      </c>
      <c r="E305" s="14" t="s">
        <v>939</v>
      </c>
      <c r="F305" s="3" t="s">
        <v>942</v>
      </c>
      <c r="G305" s="4">
        <v>67</v>
      </c>
      <c r="H305" s="12">
        <v>12752.244</v>
      </c>
      <c r="I305" s="12">
        <v>1385.894457</v>
      </c>
      <c r="J305" s="13">
        <v>0.108678477</v>
      </c>
      <c r="K305" s="13">
        <v>0.108678477</v>
      </c>
      <c r="L305" s="12">
        <v>27.99</v>
      </c>
      <c r="M305" s="13">
        <v>0.1429872223</v>
      </c>
      <c r="N305" s="13">
        <v>0.0427175987</v>
      </c>
      <c r="O305" s="13">
        <v>0.2749222803</v>
      </c>
      <c r="P305" s="13">
        <v>0.0149253731</v>
      </c>
      <c r="Q305" s="13">
        <v>0.0064455438</v>
      </c>
      <c r="R305" s="13">
        <v>0.29549886</v>
      </c>
      <c r="S305" s="13">
        <v>0</v>
      </c>
      <c r="T305" s="13">
        <v>0.0953645491</v>
      </c>
      <c r="U305" s="13">
        <v>0.0147455603</v>
      </c>
      <c r="V305" s="13">
        <v>0</v>
      </c>
      <c r="W305" s="13">
        <v>-0.0027717137</v>
      </c>
      <c r="X305" s="13">
        <v>0</v>
      </c>
      <c r="Y305" s="13">
        <v>0</v>
      </c>
      <c r="Z305" s="13">
        <v>0.0064862486</v>
      </c>
    </row>
    <row r="306" s="2" customFormat="1" hidden="1" spans="1:26">
      <c r="A306" s="11" t="s">
        <v>935</v>
      </c>
      <c r="B306" s="11" t="s">
        <v>937</v>
      </c>
      <c r="C306" s="14" t="s">
        <v>888</v>
      </c>
      <c r="D306" s="14" t="s">
        <v>938</v>
      </c>
      <c r="E306" s="14" t="s">
        <v>939</v>
      </c>
      <c r="F306" s="3" t="s">
        <v>943</v>
      </c>
      <c r="G306" s="4">
        <v>56</v>
      </c>
      <c r="H306" s="12">
        <v>9763.712</v>
      </c>
      <c r="I306" s="12">
        <v>1234.676313</v>
      </c>
      <c r="J306" s="13">
        <v>0.1264556259</v>
      </c>
      <c r="K306" s="13">
        <v>0.1264556259</v>
      </c>
      <c r="L306" s="12">
        <v>25.64</v>
      </c>
      <c r="M306" s="13">
        <v>0.1560925254</v>
      </c>
      <c r="N306" s="13">
        <v>0.0397839944</v>
      </c>
      <c r="O306" s="13">
        <v>0.300702028</v>
      </c>
      <c r="P306" s="13">
        <v>0.0779752618</v>
      </c>
      <c r="Q306" s="13">
        <v>0.0520858168</v>
      </c>
      <c r="R306" s="13">
        <v>0.1046303584</v>
      </c>
      <c r="S306" s="13">
        <v>0</v>
      </c>
      <c r="T306" s="13">
        <v>0.1122130599</v>
      </c>
      <c r="U306" s="13">
        <v>0.016097045</v>
      </c>
      <c r="V306" s="13">
        <v>0</v>
      </c>
      <c r="W306" s="13">
        <v>0</v>
      </c>
      <c r="X306" s="13">
        <v>0.0010889092</v>
      </c>
      <c r="Y306" s="13">
        <v>0</v>
      </c>
      <c r="Z306" s="13">
        <v>0.0128753746</v>
      </c>
    </row>
    <row r="307" s="2" customFormat="1" spans="1:26">
      <c r="A307" s="11" t="s">
        <v>935</v>
      </c>
      <c r="B307" s="11" t="s">
        <v>937</v>
      </c>
      <c r="C307" s="14" t="s">
        <v>888</v>
      </c>
      <c r="D307" s="14" t="s">
        <v>938</v>
      </c>
      <c r="E307" s="14" t="s">
        <v>939</v>
      </c>
      <c r="F307" s="3" t="s">
        <v>944</v>
      </c>
      <c r="G307" s="4">
        <v>50</v>
      </c>
      <c r="H307" s="12">
        <v>9516.6</v>
      </c>
      <c r="I307" s="12">
        <v>686.796212</v>
      </c>
      <c r="J307" s="13">
        <v>0.0721682336</v>
      </c>
      <c r="K307" s="13">
        <v>0.0721682336</v>
      </c>
      <c r="L307" s="12">
        <v>27.99</v>
      </c>
      <c r="M307" s="13">
        <v>0.1429872223</v>
      </c>
      <c r="N307" s="13">
        <v>0.0364437876</v>
      </c>
      <c r="O307" s="13">
        <v>0.2754555198</v>
      </c>
      <c r="P307" s="13">
        <v>0.1505966416</v>
      </c>
      <c r="Q307" s="13">
        <v>0.0402965945</v>
      </c>
      <c r="R307" s="13">
        <v>0.1693317899</v>
      </c>
      <c r="S307" s="13">
        <v>0</v>
      </c>
      <c r="T307" s="13">
        <v>0.0985137549</v>
      </c>
      <c r="U307" s="13">
        <v>0.0147455603</v>
      </c>
      <c r="V307" s="13">
        <v>0</v>
      </c>
      <c r="W307" s="13">
        <v>-0.0071772404</v>
      </c>
      <c r="X307" s="13">
        <v>0.0052333215</v>
      </c>
      <c r="Y307" s="13">
        <v>0</v>
      </c>
      <c r="Z307" s="13">
        <v>0.0014048137</v>
      </c>
    </row>
    <row r="308" s="2" customFormat="1" hidden="1" spans="1:26">
      <c r="A308" s="11" t="s">
        <v>935</v>
      </c>
      <c r="B308" s="11" t="s">
        <v>937</v>
      </c>
      <c r="C308" s="14" t="s">
        <v>888</v>
      </c>
      <c r="D308" s="14" t="s">
        <v>938</v>
      </c>
      <c r="E308" s="14" t="s">
        <v>939</v>
      </c>
      <c r="F308" s="3" t="s">
        <v>945</v>
      </c>
      <c r="G308" s="4">
        <v>5</v>
      </c>
      <c r="H308" s="12">
        <v>951.66</v>
      </c>
      <c r="I308" s="12">
        <v>334.868429</v>
      </c>
      <c r="J308" s="13">
        <v>0.3518782222</v>
      </c>
      <c r="K308" s="13">
        <v>0.3518782222</v>
      </c>
      <c r="L308" s="12">
        <v>27.99</v>
      </c>
      <c r="M308" s="13">
        <v>0.1429872223</v>
      </c>
      <c r="N308" s="13">
        <v>0.0364437876</v>
      </c>
      <c r="O308" s="13">
        <v>0.2754555198</v>
      </c>
      <c r="P308" s="13">
        <v>0</v>
      </c>
      <c r="Q308" s="13">
        <v>0</v>
      </c>
      <c r="R308" s="13">
        <v>0.0929577632</v>
      </c>
      <c r="S308" s="13">
        <v>0</v>
      </c>
      <c r="T308" s="13">
        <v>0.1200428724</v>
      </c>
      <c r="U308" s="13">
        <v>0.0147455603</v>
      </c>
      <c r="V308" s="13">
        <v>0</v>
      </c>
      <c r="W308" s="13">
        <v>-0.035886202</v>
      </c>
      <c r="X308" s="13">
        <v>0.0013752537</v>
      </c>
      <c r="Y308" s="13">
        <v>0</v>
      </c>
      <c r="Z308" s="13">
        <v>0</v>
      </c>
    </row>
    <row r="309" s="2" customFormat="1" hidden="1" spans="1:26">
      <c r="A309" s="11" t="s">
        <v>935</v>
      </c>
      <c r="B309" s="11" t="s">
        <v>937</v>
      </c>
      <c r="C309" s="14" t="s">
        <v>890</v>
      </c>
      <c r="D309" s="14" t="s">
        <v>938</v>
      </c>
      <c r="E309" s="14" t="s">
        <v>939</v>
      </c>
      <c r="F309" s="3" t="s">
        <v>936</v>
      </c>
      <c r="G309" s="4">
        <v>68</v>
      </c>
      <c r="H309" s="12">
        <v>11256.176</v>
      </c>
      <c r="I309" s="12">
        <v>321.342576</v>
      </c>
      <c r="J309" s="13">
        <v>0.0285481122</v>
      </c>
      <c r="K309" s="13">
        <v>0.0285481122</v>
      </c>
      <c r="L309" s="12">
        <v>24.3429411764</v>
      </c>
      <c r="M309" s="13">
        <v>0.1205285201</v>
      </c>
      <c r="N309" s="13">
        <v>0.1834431225</v>
      </c>
      <c r="O309" s="13">
        <v>0.2989754246</v>
      </c>
      <c r="P309" s="13">
        <v>0.0591788898</v>
      </c>
      <c r="Q309" s="13">
        <v>0.0130792448</v>
      </c>
      <c r="R309" s="13">
        <v>0.1719204775</v>
      </c>
      <c r="S309" s="13">
        <v>0</v>
      </c>
      <c r="T309" s="13">
        <v>0.1058828504</v>
      </c>
      <c r="U309" s="13">
        <v>0.012429506</v>
      </c>
      <c r="V309" s="13">
        <v>-0.0017724669</v>
      </c>
      <c r="W309" s="13">
        <v>0</v>
      </c>
      <c r="X309" s="13">
        <v>0.0013713359</v>
      </c>
      <c r="Y309" s="13">
        <v>0</v>
      </c>
      <c r="Z309" s="13">
        <v>0.0064149824</v>
      </c>
    </row>
    <row r="310" s="2" customFormat="1" hidden="1" spans="1:26">
      <c r="A310" s="11" t="s">
        <v>935</v>
      </c>
      <c r="B310" s="11" t="s">
        <v>937</v>
      </c>
      <c r="C310" s="14" t="s">
        <v>890</v>
      </c>
      <c r="D310" s="14" t="s">
        <v>938</v>
      </c>
      <c r="E310" s="14" t="s">
        <v>939</v>
      </c>
      <c r="F310" s="3" t="s">
        <v>941</v>
      </c>
      <c r="G310" s="4">
        <v>11</v>
      </c>
      <c r="H310" s="12">
        <v>1794.452</v>
      </c>
      <c r="I310" s="12">
        <v>-253.027306</v>
      </c>
      <c r="J310" s="13">
        <v>-0.1410053353</v>
      </c>
      <c r="K310" s="13">
        <v>-0.1410053353</v>
      </c>
      <c r="L310" s="12">
        <v>23.99</v>
      </c>
      <c r="M310" s="13">
        <v>0.1223017372</v>
      </c>
      <c r="N310" s="13">
        <v>0.2498932766</v>
      </c>
      <c r="O310" s="13">
        <v>0.298609269</v>
      </c>
      <c r="P310" s="13">
        <v>0</v>
      </c>
      <c r="Q310" s="13">
        <v>0.0056646731</v>
      </c>
      <c r="R310" s="13">
        <v>0.3526834654</v>
      </c>
      <c r="S310" s="13">
        <v>0</v>
      </c>
      <c r="T310" s="13">
        <v>0.0939027625</v>
      </c>
      <c r="U310" s="13">
        <v>0.0126123691</v>
      </c>
      <c r="V310" s="13">
        <v>0</v>
      </c>
      <c r="W310" s="13">
        <v>0</v>
      </c>
      <c r="X310" s="13">
        <v>0</v>
      </c>
      <c r="Y310" s="13">
        <v>0</v>
      </c>
      <c r="Z310" s="13">
        <v>0.0053377822</v>
      </c>
    </row>
    <row r="311" s="2" customFormat="1" hidden="1" spans="1:26">
      <c r="A311" s="11" t="s">
        <v>935</v>
      </c>
      <c r="B311" s="11" t="s">
        <v>937</v>
      </c>
      <c r="C311" s="14" t="s">
        <v>890</v>
      </c>
      <c r="D311" s="14" t="s">
        <v>938</v>
      </c>
      <c r="E311" s="14" t="s">
        <v>939</v>
      </c>
      <c r="F311" s="3" t="s">
        <v>942</v>
      </c>
      <c r="G311" s="4">
        <v>25</v>
      </c>
      <c r="H311" s="12">
        <v>4078.3</v>
      </c>
      <c r="I311" s="12">
        <v>126.815304</v>
      </c>
      <c r="J311" s="13">
        <v>0.0310951386</v>
      </c>
      <c r="K311" s="13">
        <v>0.0310951386</v>
      </c>
      <c r="L311" s="12">
        <v>23.99</v>
      </c>
      <c r="M311" s="13">
        <v>0.1223017372</v>
      </c>
      <c r="N311" s="13">
        <v>0.2498932766</v>
      </c>
      <c r="O311" s="13">
        <v>0.3042934556</v>
      </c>
      <c r="P311" s="13">
        <v>0</v>
      </c>
      <c r="Q311" s="13">
        <v>0.0064683157</v>
      </c>
      <c r="R311" s="13">
        <v>0.1555030662</v>
      </c>
      <c r="S311" s="13">
        <v>0</v>
      </c>
      <c r="T311" s="13">
        <v>0.1113463943</v>
      </c>
      <c r="U311" s="13">
        <v>0.0126123691</v>
      </c>
      <c r="V311" s="13">
        <v>0</v>
      </c>
      <c r="W311" s="13">
        <v>0</v>
      </c>
      <c r="X311" s="13">
        <v>0</v>
      </c>
      <c r="Y311" s="13">
        <v>0</v>
      </c>
      <c r="Z311" s="13">
        <v>0.0064862464</v>
      </c>
    </row>
    <row r="312" s="2" customFormat="1" hidden="1" spans="1:26">
      <c r="A312" s="11" t="s">
        <v>935</v>
      </c>
      <c r="B312" s="11" t="s">
        <v>937</v>
      </c>
      <c r="C312" s="14" t="s">
        <v>890</v>
      </c>
      <c r="D312" s="14" t="s">
        <v>938</v>
      </c>
      <c r="E312" s="14" t="s">
        <v>939</v>
      </c>
      <c r="F312" s="3" t="s">
        <v>943</v>
      </c>
      <c r="G312" s="4">
        <v>15</v>
      </c>
      <c r="H312" s="12">
        <v>2494.58</v>
      </c>
      <c r="I312" s="12">
        <v>260.628449</v>
      </c>
      <c r="J312" s="13">
        <v>0.1044778876</v>
      </c>
      <c r="K312" s="13">
        <v>0.1044778876</v>
      </c>
      <c r="L312" s="12">
        <v>24.4566666666</v>
      </c>
      <c r="M312" s="13">
        <v>0.1199680527</v>
      </c>
      <c r="N312" s="13">
        <v>0.1168645022</v>
      </c>
      <c r="O312" s="13">
        <v>0.29848712</v>
      </c>
      <c r="P312" s="13">
        <v>0.1335150606</v>
      </c>
      <c r="Q312" s="13">
        <v>0.0135682611</v>
      </c>
      <c r="R312" s="13">
        <v>0.0887961268</v>
      </c>
      <c r="S312" s="13">
        <v>0</v>
      </c>
      <c r="T312" s="13">
        <v>0.1070737358</v>
      </c>
      <c r="U312" s="13">
        <v>0.0123717078</v>
      </c>
      <c r="V312" s="13">
        <v>-0.0079978192</v>
      </c>
      <c r="W312" s="13">
        <v>0</v>
      </c>
      <c r="X312" s="13">
        <v>0</v>
      </c>
      <c r="Y312" s="13">
        <v>0</v>
      </c>
      <c r="Z312" s="13">
        <v>0.0128753641</v>
      </c>
    </row>
    <row r="313" s="2" customFormat="1" spans="1:26">
      <c r="A313" s="11" t="s">
        <v>935</v>
      </c>
      <c r="B313" s="11" t="s">
        <v>937</v>
      </c>
      <c r="C313" s="14" t="s">
        <v>890</v>
      </c>
      <c r="D313" s="14" t="s">
        <v>938</v>
      </c>
      <c r="E313" s="14" t="s">
        <v>939</v>
      </c>
      <c r="F313" s="3" t="s">
        <v>944</v>
      </c>
      <c r="G313" s="4">
        <v>17</v>
      </c>
      <c r="H313" s="12">
        <v>2888.844</v>
      </c>
      <c r="I313" s="12">
        <v>208.439688</v>
      </c>
      <c r="J313" s="13">
        <v>0.0721533208</v>
      </c>
      <c r="K313" s="13">
        <v>0.0721533208</v>
      </c>
      <c r="L313" s="12">
        <v>24.99</v>
      </c>
      <c r="M313" s="13">
        <v>0.1174077101</v>
      </c>
      <c r="N313" s="13">
        <v>0.1058482157</v>
      </c>
      <c r="O313" s="13">
        <v>0.2921168467</v>
      </c>
      <c r="P313" s="13">
        <v>0.115293176</v>
      </c>
      <c r="Q313" s="13">
        <v>0.02659557</v>
      </c>
      <c r="R313" s="13">
        <v>0.1475993933</v>
      </c>
      <c r="S313" s="13">
        <v>0</v>
      </c>
      <c r="T313" s="13">
        <v>0.1045830096</v>
      </c>
      <c r="U313" s="13">
        <v>0.0121076724</v>
      </c>
      <c r="V313" s="13">
        <v>0</v>
      </c>
      <c r="W313" s="13">
        <v>0</v>
      </c>
      <c r="X313" s="13">
        <v>0.0048902692</v>
      </c>
      <c r="Y313" s="13">
        <v>0</v>
      </c>
      <c r="Z313" s="13">
        <v>0.0014048155</v>
      </c>
    </row>
    <row r="314" s="2" customFormat="1" hidden="1" spans="1:26">
      <c r="A314" s="11" t="s">
        <v>935</v>
      </c>
      <c r="B314" s="11" t="s">
        <v>937</v>
      </c>
      <c r="C314" s="14" t="s">
        <v>890</v>
      </c>
      <c r="D314" s="14" t="s">
        <v>938</v>
      </c>
      <c r="E314" s="14" t="s">
        <v>939</v>
      </c>
      <c r="F314" s="3" t="s">
        <v>945</v>
      </c>
      <c r="G314" s="4">
        <v>0</v>
      </c>
      <c r="H314" s="12">
        <v>0</v>
      </c>
      <c r="I314" s="12">
        <v>-21.513559</v>
      </c>
      <c r="J314" s="13"/>
      <c r="K314" s="13"/>
      <c r="L314" s="12"/>
      <c r="M314" s="13"/>
      <c r="N314" s="13"/>
      <c r="O314" s="13"/>
      <c r="P314" s="13"/>
      <c r="Q314" s="13"/>
      <c r="R314" s="13"/>
      <c r="S314" s="13"/>
      <c r="T314" s="13"/>
      <c r="U314" s="13"/>
      <c r="V314" s="13"/>
      <c r="W314" s="13"/>
      <c r="X314" s="13"/>
      <c r="Y314" s="13"/>
      <c r="Z314" s="13"/>
    </row>
    <row r="315" s="2" customFormat="1" hidden="1" spans="1:26">
      <c r="A315" s="11" t="s">
        <v>935</v>
      </c>
      <c r="B315" s="11" t="s">
        <v>937</v>
      </c>
      <c r="C315" s="14" t="s">
        <v>892</v>
      </c>
      <c r="D315" s="14" t="s">
        <v>938</v>
      </c>
      <c r="E315" s="14" t="s">
        <v>939</v>
      </c>
      <c r="F315" s="3" t="s">
        <v>936</v>
      </c>
      <c r="G315" s="4">
        <v>47</v>
      </c>
      <c r="H315" s="12">
        <v>8203.044</v>
      </c>
      <c r="I315" s="12">
        <v>87.295977</v>
      </c>
      <c r="J315" s="13">
        <v>0.0106419003</v>
      </c>
      <c r="K315" s="13">
        <v>0.0106419003</v>
      </c>
      <c r="L315" s="12">
        <v>25.6665957446</v>
      </c>
      <c r="M315" s="13">
        <v>0.1085628744</v>
      </c>
      <c r="N315" s="13">
        <v>0.0267575175</v>
      </c>
      <c r="O315" s="13">
        <v>0.25246823</v>
      </c>
      <c r="P315" s="13">
        <v>0.0424262017</v>
      </c>
      <c r="Q315" s="13">
        <v>0.0300834747</v>
      </c>
      <c r="R315" s="13">
        <v>0.4208414169</v>
      </c>
      <c r="S315" s="13">
        <v>0</v>
      </c>
      <c r="T315" s="13">
        <v>0.0897930085</v>
      </c>
      <c r="U315" s="13">
        <v>0.0111955485</v>
      </c>
      <c r="V315" s="13">
        <v>0</v>
      </c>
      <c r="W315" s="13">
        <v>-0.002875651</v>
      </c>
      <c r="X315" s="13">
        <v>0.0012683096</v>
      </c>
      <c r="Y315" s="13">
        <v>0</v>
      </c>
      <c r="Z315" s="13">
        <v>0.0088371682</v>
      </c>
    </row>
    <row r="316" s="2" customFormat="1" hidden="1" spans="1:26">
      <c r="A316" s="11" t="s">
        <v>935</v>
      </c>
      <c r="B316" s="11" t="s">
        <v>937</v>
      </c>
      <c r="C316" s="14" t="s">
        <v>892</v>
      </c>
      <c r="D316" s="14" t="s">
        <v>938</v>
      </c>
      <c r="E316" s="14" t="s">
        <v>939</v>
      </c>
      <c r="F316" s="3" t="s">
        <v>942</v>
      </c>
      <c r="G316" s="4">
        <v>17</v>
      </c>
      <c r="H316" s="12">
        <v>2963.644</v>
      </c>
      <c r="I316" s="12">
        <v>-541.865345</v>
      </c>
      <c r="J316" s="13">
        <v>-0.1828375287</v>
      </c>
      <c r="K316" s="13">
        <v>-0.1828375287</v>
      </c>
      <c r="L316" s="12">
        <v>25.6370588235</v>
      </c>
      <c r="M316" s="13">
        <v>0.1086879517</v>
      </c>
      <c r="N316" s="13">
        <v>0.027079492</v>
      </c>
      <c r="O316" s="13">
        <v>0.2527591033</v>
      </c>
      <c r="P316" s="13">
        <v>0</v>
      </c>
      <c r="Q316" s="13">
        <v>0.020197004</v>
      </c>
      <c r="R316" s="13">
        <v>0.7019255618</v>
      </c>
      <c r="S316" s="13">
        <v>0</v>
      </c>
      <c r="T316" s="13">
        <v>0.0544937246</v>
      </c>
      <c r="U316" s="13">
        <v>0.0112084471</v>
      </c>
      <c r="V316" s="13">
        <v>0</v>
      </c>
      <c r="W316" s="13">
        <v>0</v>
      </c>
      <c r="X316" s="13">
        <v>0</v>
      </c>
      <c r="Y316" s="13">
        <v>0</v>
      </c>
      <c r="Z316" s="13">
        <v>0.0064862439</v>
      </c>
    </row>
    <row r="317" s="2" customFormat="1" hidden="1" spans="1:26">
      <c r="A317" s="11" t="s">
        <v>935</v>
      </c>
      <c r="B317" s="11" t="s">
        <v>937</v>
      </c>
      <c r="C317" s="14" t="s">
        <v>892</v>
      </c>
      <c r="D317" s="14" t="s">
        <v>938</v>
      </c>
      <c r="E317" s="14" t="s">
        <v>939</v>
      </c>
      <c r="F317" s="3" t="s">
        <v>943</v>
      </c>
      <c r="G317" s="4">
        <v>23</v>
      </c>
      <c r="H317" s="12">
        <v>4002.276</v>
      </c>
      <c r="I317" s="12">
        <v>572.001629</v>
      </c>
      <c r="J317" s="13">
        <v>0.1429190862</v>
      </c>
      <c r="K317" s="13">
        <v>0.1429190862</v>
      </c>
      <c r="L317" s="12">
        <v>25.59</v>
      </c>
      <c r="M317" s="13">
        <v>0.1088878238</v>
      </c>
      <c r="N317" s="13">
        <v>0.0266723214</v>
      </c>
      <c r="O317" s="13">
        <v>0.2532239155</v>
      </c>
      <c r="P317" s="13">
        <v>0</v>
      </c>
      <c r="Q317" s="13">
        <v>0.027151475</v>
      </c>
      <c r="R317" s="13">
        <v>0.3023731833</v>
      </c>
      <c r="S317" s="13">
        <v>0</v>
      </c>
      <c r="T317" s="13">
        <v>0.114667754</v>
      </c>
      <c r="U317" s="13">
        <v>0.0112290589</v>
      </c>
      <c r="V317" s="13">
        <v>0</v>
      </c>
      <c r="W317" s="13">
        <v>0</v>
      </c>
      <c r="X317" s="13">
        <v>0</v>
      </c>
      <c r="Y317" s="13">
        <v>0</v>
      </c>
      <c r="Z317" s="13">
        <v>0.0128753814</v>
      </c>
    </row>
    <row r="318" s="2" customFormat="1" spans="1:26">
      <c r="A318" s="11" t="s">
        <v>935</v>
      </c>
      <c r="B318" s="11" t="s">
        <v>937</v>
      </c>
      <c r="C318" s="14" t="s">
        <v>892</v>
      </c>
      <c r="D318" s="14" t="s">
        <v>938</v>
      </c>
      <c r="E318" s="14" t="s">
        <v>939</v>
      </c>
      <c r="F318" s="3" t="s">
        <v>944</v>
      </c>
      <c r="G318" s="4">
        <v>7</v>
      </c>
      <c r="H318" s="12">
        <v>1237.124</v>
      </c>
      <c r="I318" s="12">
        <v>58.041818</v>
      </c>
      <c r="J318" s="13">
        <v>0.0469167342</v>
      </c>
      <c r="K318" s="13">
        <v>0.0469167342</v>
      </c>
      <c r="L318" s="12">
        <v>25.99</v>
      </c>
      <c r="M318" s="13">
        <v>0.1072119819</v>
      </c>
      <c r="N318" s="13">
        <v>0.0262618201</v>
      </c>
      <c r="O318" s="13">
        <v>0.2493266641</v>
      </c>
      <c r="P318" s="13">
        <v>0.28131699</v>
      </c>
      <c r="Q318" s="13">
        <v>0.0632528671</v>
      </c>
      <c r="R318" s="13">
        <v>0.1307405288</v>
      </c>
      <c r="S318" s="13">
        <v>0</v>
      </c>
      <c r="T318" s="13">
        <v>0.0938822624</v>
      </c>
      <c r="U318" s="13">
        <v>0.0110562376</v>
      </c>
      <c r="V318" s="13">
        <v>0</v>
      </c>
      <c r="W318" s="13">
        <v>-0.019067686</v>
      </c>
      <c r="X318" s="13">
        <v>0.007696783</v>
      </c>
      <c r="Y318" s="13">
        <v>0</v>
      </c>
      <c r="Z318" s="13">
        <v>0.0014048163</v>
      </c>
    </row>
    <row r="319" s="2" customFormat="1" hidden="1" spans="1:26">
      <c r="A319" s="11" t="s">
        <v>935</v>
      </c>
      <c r="B319" s="11" t="s">
        <v>937</v>
      </c>
      <c r="C319" s="14" t="s">
        <v>892</v>
      </c>
      <c r="D319" s="14" t="s">
        <v>938</v>
      </c>
      <c r="E319" s="14" t="s">
        <v>939</v>
      </c>
      <c r="F319" s="3" t="s">
        <v>945</v>
      </c>
      <c r="G319" s="4">
        <v>0</v>
      </c>
      <c r="H319" s="12">
        <v>0</v>
      </c>
      <c r="I319" s="12">
        <v>-0.882125</v>
      </c>
      <c r="J319" s="13"/>
      <c r="K319" s="13"/>
      <c r="L319" s="12"/>
      <c r="M319" s="13"/>
      <c r="N319" s="13"/>
      <c r="O319" s="13"/>
      <c r="P319" s="13"/>
      <c r="Q319" s="13"/>
      <c r="R319" s="13"/>
      <c r="S319" s="13"/>
      <c r="T319" s="13"/>
      <c r="U319" s="13"/>
      <c r="V319" s="13"/>
      <c r="W319" s="13"/>
      <c r="X319" s="13"/>
      <c r="Y319" s="13"/>
      <c r="Z319" s="13"/>
    </row>
    <row r="320" s="2" customFormat="1" hidden="1" spans="1:26">
      <c r="A320" s="11" t="s">
        <v>935</v>
      </c>
      <c r="B320" s="11" t="s">
        <v>937</v>
      </c>
      <c r="C320" s="14" t="s">
        <v>894</v>
      </c>
      <c r="D320" s="14" t="s">
        <v>938</v>
      </c>
      <c r="E320" s="14" t="s">
        <v>939</v>
      </c>
      <c r="F320" s="3" t="s">
        <v>936</v>
      </c>
      <c r="G320" s="4">
        <v>68</v>
      </c>
      <c r="H320" s="12">
        <v>9727.536</v>
      </c>
      <c r="I320" s="12">
        <v>-2167.171913</v>
      </c>
      <c r="J320" s="13">
        <v>-0.2227873444</v>
      </c>
      <c r="K320" s="13">
        <v>-0.2227873444</v>
      </c>
      <c r="L320" s="12">
        <v>21.0370588235</v>
      </c>
      <c r="M320" s="13">
        <v>0.1126101672</v>
      </c>
      <c r="N320" s="13">
        <v>0.0225294495</v>
      </c>
      <c r="O320" s="13">
        <v>0.3076923076</v>
      </c>
      <c r="P320" s="13">
        <v>0.1886586695</v>
      </c>
      <c r="Q320" s="13">
        <v>0.0658636158</v>
      </c>
      <c r="R320" s="13">
        <v>0.4099491967</v>
      </c>
      <c r="S320" s="13">
        <v>0</v>
      </c>
      <c r="T320" s="13">
        <v>0.0923300617</v>
      </c>
      <c r="U320" s="13">
        <v>0.0116129223</v>
      </c>
      <c r="V320" s="13">
        <v>0.0018454827</v>
      </c>
      <c r="W320" s="13">
        <v>0</v>
      </c>
      <c r="X320" s="13">
        <v>0.0031736709</v>
      </c>
      <c r="Y320" s="13">
        <v>0</v>
      </c>
      <c r="Z320" s="13">
        <v>0.0065217998</v>
      </c>
    </row>
    <row r="321" s="2" customFormat="1" hidden="1" spans="1:26">
      <c r="A321" s="11" t="s">
        <v>935</v>
      </c>
      <c r="B321" s="11" t="s">
        <v>937</v>
      </c>
      <c r="C321" s="14" t="s">
        <v>894</v>
      </c>
      <c r="D321" s="14" t="s">
        <v>938</v>
      </c>
      <c r="E321" s="14" t="s">
        <v>939</v>
      </c>
      <c r="F321" s="3" t="s">
        <v>941</v>
      </c>
      <c r="G321" s="4">
        <v>11</v>
      </c>
      <c r="H321" s="12">
        <v>1780.852</v>
      </c>
      <c r="I321" s="12">
        <v>-352.460337</v>
      </c>
      <c r="J321" s="13">
        <v>-0.1979166921</v>
      </c>
      <c r="K321" s="13">
        <v>-0.1979166921</v>
      </c>
      <c r="L321" s="12">
        <v>23.8081818181</v>
      </c>
      <c r="M321" s="13">
        <v>0.1057219909</v>
      </c>
      <c r="N321" s="13">
        <v>0.0291596617</v>
      </c>
      <c r="O321" s="13">
        <v>0.2843178433</v>
      </c>
      <c r="P321" s="13">
        <v>0.2748100347</v>
      </c>
      <c r="Q321" s="13">
        <v>0.0137915441</v>
      </c>
      <c r="R321" s="13">
        <v>0.4043040847</v>
      </c>
      <c r="S321" s="13">
        <v>0</v>
      </c>
      <c r="T321" s="13">
        <v>0.069571194</v>
      </c>
      <c r="U321" s="13">
        <v>0.0109025792</v>
      </c>
      <c r="V321" s="13">
        <v>0</v>
      </c>
      <c r="W321" s="13">
        <v>0</v>
      </c>
      <c r="X321" s="13">
        <v>0</v>
      </c>
      <c r="Y321" s="13">
        <v>0</v>
      </c>
      <c r="Z321" s="13">
        <v>0.0053377591</v>
      </c>
    </row>
    <row r="322" s="2" customFormat="1" hidden="1" spans="1:26">
      <c r="A322" s="11" t="s">
        <v>935</v>
      </c>
      <c r="B322" s="11" t="s">
        <v>937</v>
      </c>
      <c r="C322" s="14" t="s">
        <v>894</v>
      </c>
      <c r="D322" s="14" t="s">
        <v>938</v>
      </c>
      <c r="E322" s="14" t="s">
        <v>939</v>
      </c>
      <c r="F322" s="3" t="s">
        <v>942</v>
      </c>
      <c r="G322" s="4">
        <v>15</v>
      </c>
      <c r="H322" s="12">
        <v>1666.34</v>
      </c>
      <c r="I322" s="12">
        <v>-453.116224</v>
      </c>
      <c r="J322" s="13">
        <v>-0.2719230313</v>
      </c>
      <c r="K322" s="13">
        <v>-0.2719230313</v>
      </c>
      <c r="L322" s="12">
        <v>16.3366666666</v>
      </c>
      <c r="M322" s="13">
        <v>0.1129872769</v>
      </c>
      <c r="N322" s="13">
        <v>0.020764779</v>
      </c>
      <c r="O322" s="13">
        <v>0.3097327076</v>
      </c>
      <c r="P322" s="13">
        <v>0.0897367884</v>
      </c>
      <c r="Q322" s="13">
        <v>0.1328894397</v>
      </c>
      <c r="R322" s="13">
        <v>0.4695348668</v>
      </c>
      <c r="S322" s="13">
        <v>0</v>
      </c>
      <c r="T322" s="13">
        <v>0.1073658437</v>
      </c>
      <c r="U322" s="13">
        <v>0.0116518117</v>
      </c>
      <c r="V322" s="13">
        <v>0.0107733115</v>
      </c>
      <c r="W322" s="13">
        <v>0</v>
      </c>
      <c r="X322" s="13">
        <v>0</v>
      </c>
      <c r="Y322" s="13">
        <v>0</v>
      </c>
      <c r="Z322" s="13">
        <v>0.0064862056</v>
      </c>
    </row>
    <row r="323" s="2" customFormat="1" hidden="1" spans="1:26">
      <c r="A323" s="11" t="s">
        <v>935</v>
      </c>
      <c r="B323" s="11" t="s">
        <v>937</v>
      </c>
      <c r="C323" s="14" t="s">
        <v>894</v>
      </c>
      <c r="D323" s="14" t="s">
        <v>938</v>
      </c>
      <c r="E323" s="14" t="s">
        <v>939</v>
      </c>
      <c r="F323" s="3" t="s">
        <v>943</v>
      </c>
      <c r="G323" s="4">
        <v>20</v>
      </c>
      <c r="H323" s="12">
        <v>2990.64</v>
      </c>
      <c r="I323" s="12">
        <v>-56.58838</v>
      </c>
      <c r="J323" s="13">
        <v>-0.0189218294</v>
      </c>
      <c r="K323" s="13">
        <v>-0.0189218294</v>
      </c>
      <c r="L323" s="12">
        <v>21.99</v>
      </c>
      <c r="M323" s="13">
        <v>0.1144633188</v>
      </c>
      <c r="N323" s="13">
        <v>0.0210360457</v>
      </c>
      <c r="O323" s="13">
        <v>0.3137789904</v>
      </c>
      <c r="P323" s="13">
        <v>0.1</v>
      </c>
      <c r="Q323" s="13">
        <v>0.0696088091</v>
      </c>
      <c r="R323" s="13">
        <v>0.2668661707</v>
      </c>
      <c r="S323" s="13">
        <v>0</v>
      </c>
      <c r="T323" s="13">
        <v>0.1049340609</v>
      </c>
      <c r="U323" s="13">
        <v>0.0118040285</v>
      </c>
      <c r="V323" s="13">
        <v>0</v>
      </c>
      <c r="W323" s="13">
        <v>0</v>
      </c>
      <c r="X323" s="13">
        <v>0.0035550236</v>
      </c>
      <c r="Y323" s="13">
        <v>0</v>
      </c>
      <c r="Z323" s="13">
        <v>0.0128753811</v>
      </c>
    </row>
    <row r="324" s="2" customFormat="1" spans="1:26">
      <c r="A324" s="11" t="s">
        <v>935</v>
      </c>
      <c r="B324" s="11" t="s">
        <v>937</v>
      </c>
      <c r="C324" s="14" t="s">
        <v>894</v>
      </c>
      <c r="D324" s="14" t="s">
        <v>938</v>
      </c>
      <c r="E324" s="14" t="s">
        <v>939</v>
      </c>
      <c r="F324" s="3" t="s">
        <v>944</v>
      </c>
      <c r="G324" s="4">
        <v>22</v>
      </c>
      <c r="H324" s="12">
        <v>3289.704</v>
      </c>
      <c r="I324" s="12">
        <v>-1195.109337</v>
      </c>
      <c r="J324" s="13">
        <v>-0.3632878024</v>
      </c>
      <c r="K324" s="13">
        <v>-0.3632878024</v>
      </c>
      <c r="L324" s="12">
        <v>21.99</v>
      </c>
      <c r="M324" s="13">
        <v>0.1144633188</v>
      </c>
      <c r="N324" s="13">
        <v>0.0211917449</v>
      </c>
      <c r="O324" s="13">
        <v>0.3137789904</v>
      </c>
      <c r="P324" s="13">
        <v>0.2727272727</v>
      </c>
      <c r="Q324" s="13">
        <v>0.0566969298</v>
      </c>
      <c r="R324" s="13">
        <v>0.4794920217</v>
      </c>
      <c r="S324" s="13">
        <v>0</v>
      </c>
      <c r="T324" s="13">
        <v>0.0855760883</v>
      </c>
      <c r="U324" s="13">
        <v>0.0118040285</v>
      </c>
      <c r="V324" s="13">
        <v>0</v>
      </c>
      <c r="W324" s="13">
        <v>0</v>
      </c>
      <c r="X324" s="13">
        <v>0.0061525906</v>
      </c>
      <c r="Y324" s="13">
        <v>0</v>
      </c>
      <c r="Z324" s="13">
        <v>0.0014048163</v>
      </c>
    </row>
    <row r="325" s="2" customFormat="1" hidden="1" spans="1:26">
      <c r="A325" s="11" t="s">
        <v>935</v>
      </c>
      <c r="B325" s="11" t="s">
        <v>937</v>
      </c>
      <c r="C325" s="14" t="s">
        <v>894</v>
      </c>
      <c r="D325" s="14" t="s">
        <v>938</v>
      </c>
      <c r="E325" s="14" t="s">
        <v>939</v>
      </c>
      <c r="F325" s="3" t="s">
        <v>945</v>
      </c>
      <c r="G325" s="4">
        <v>0</v>
      </c>
      <c r="H325" s="12">
        <v>0</v>
      </c>
      <c r="I325" s="12">
        <v>-109.897635</v>
      </c>
      <c r="J325" s="13"/>
      <c r="K325" s="13"/>
      <c r="L325" s="12"/>
      <c r="M325" s="13"/>
      <c r="N325" s="13"/>
      <c r="O325" s="13"/>
      <c r="P325" s="13"/>
      <c r="Q325" s="13"/>
      <c r="R325" s="13"/>
      <c r="S325" s="13"/>
      <c r="T325" s="13"/>
      <c r="U325" s="13"/>
      <c r="V325" s="13"/>
      <c r="W325" s="13"/>
      <c r="X325" s="13"/>
      <c r="Y325" s="13"/>
      <c r="Z325" s="13"/>
    </row>
    <row r="326" s="2" customFormat="1" hidden="1" spans="1:26">
      <c r="A326" s="11" t="s">
        <v>935</v>
      </c>
      <c r="B326" s="11" t="s">
        <v>937</v>
      </c>
      <c r="C326" s="14" t="s">
        <v>896</v>
      </c>
      <c r="D326" s="14" t="s">
        <v>938</v>
      </c>
      <c r="E326" s="14" t="s">
        <v>939</v>
      </c>
      <c r="F326" s="3" t="s">
        <v>936</v>
      </c>
      <c r="G326" s="4">
        <v>36</v>
      </c>
      <c r="H326" s="12">
        <v>5900.02</v>
      </c>
      <c r="I326" s="12">
        <v>-139.251413</v>
      </c>
      <c r="J326" s="13">
        <v>-0.0236018544</v>
      </c>
      <c r="K326" s="13">
        <v>-0.0236018544</v>
      </c>
      <c r="L326" s="12">
        <v>24.1013888888</v>
      </c>
      <c r="M326" s="13">
        <v>0.1566780343</v>
      </c>
      <c r="N326" s="13">
        <v>0.1632505316</v>
      </c>
      <c r="O326" s="13">
        <v>0.3025874488</v>
      </c>
      <c r="P326" s="13">
        <v>0</v>
      </c>
      <c r="Q326" s="13">
        <v>0.054074997</v>
      </c>
      <c r="R326" s="13">
        <v>0.2147554913</v>
      </c>
      <c r="S326" s="13">
        <v>0</v>
      </c>
      <c r="T326" s="13">
        <v>0.1085114965</v>
      </c>
      <c r="U326" s="13">
        <v>0.0161574225</v>
      </c>
      <c r="V326" s="13">
        <v>0</v>
      </c>
      <c r="W326" s="13">
        <v>0</v>
      </c>
      <c r="X326" s="13">
        <v>0</v>
      </c>
      <c r="Y326" s="13">
        <v>0</v>
      </c>
      <c r="Z326" s="13">
        <v>0.007586432</v>
      </c>
    </row>
    <row r="327" s="2" customFormat="1" hidden="1" spans="1:26">
      <c r="A327" s="11" t="s">
        <v>935</v>
      </c>
      <c r="B327" s="11" t="s">
        <v>937</v>
      </c>
      <c r="C327" s="14" t="s">
        <v>896</v>
      </c>
      <c r="D327" s="14" t="s">
        <v>938</v>
      </c>
      <c r="E327" s="14" t="s">
        <v>939</v>
      </c>
      <c r="F327" s="3" t="s">
        <v>940</v>
      </c>
      <c r="G327" s="4">
        <v>0</v>
      </c>
      <c r="H327" s="12">
        <v>0</v>
      </c>
      <c r="I327" s="12">
        <v>-5.78</v>
      </c>
      <c r="J327" s="13"/>
      <c r="K327" s="13"/>
      <c r="L327" s="12"/>
      <c r="M327" s="13"/>
      <c r="N327" s="13"/>
      <c r="O327" s="13"/>
      <c r="P327" s="13"/>
      <c r="Q327" s="13"/>
      <c r="R327" s="13"/>
      <c r="S327" s="13"/>
      <c r="T327" s="13"/>
      <c r="U327" s="13"/>
      <c r="V327" s="13"/>
      <c r="W327" s="13"/>
      <c r="X327" s="13"/>
      <c r="Y327" s="13"/>
      <c r="Z327" s="13"/>
    </row>
    <row r="328" s="2" customFormat="1" hidden="1" spans="1:26">
      <c r="A328" s="11" t="s">
        <v>935</v>
      </c>
      <c r="B328" s="11" t="s">
        <v>937</v>
      </c>
      <c r="C328" s="14" t="s">
        <v>896</v>
      </c>
      <c r="D328" s="14" t="s">
        <v>938</v>
      </c>
      <c r="E328" s="14" t="s">
        <v>939</v>
      </c>
      <c r="F328" s="3" t="s">
        <v>941</v>
      </c>
      <c r="G328" s="4">
        <v>8</v>
      </c>
      <c r="H328" s="12">
        <v>1400.256</v>
      </c>
      <c r="I328" s="12">
        <v>-60.101331</v>
      </c>
      <c r="J328" s="13">
        <v>-0.0429216736</v>
      </c>
      <c r="K328" s="13">
        <v>-0.0429216736</v>
      </c>
      <c r="L328" s="12">
        <v>25.74</v>
      </c>
      <c r="M328" s="13">
        <v>0.1467038941</v>
      </c>
      <c r="N328" s="13">
        <v>0.1803197072</v>
      </c>
      <c r="O328" s="13">
        <v>0.2830710955</v>
      </c>
      <c r="P328" s="13">
        <v>0</v>
      </c>
      <c r="Q328" s="13">
        <v>0.0037403789</v>
      </c>
      <c r="R328" s="13">
        <v>0.3174680557</v>
      </c>
      <c r="S328" s="13">
        <v>0</v>
      </c>
      <c r="T328" s="13">
        <v>0.0911519036</v>
      </c>
      <c r="U328" s="13">
        <v>0.0151288392</v>
      </c>
      <c r="V328" s="13">
        <v>0</v>
      </c>
      <c r="W328" s="13">
        <v>0</v>
      </c>
      <c r="X328" s="13">
        <v>0</v>
      </c>
      <c r="Y328" s="13">
        <v>0</v>
      </c>
      <c r="Z328" s="13">
        <v>0.0053377989</v>
      </c>
    </row>
    <row r="329" s="2" customFormat="1" hidden="1" spans="1:26">
      <c r="A329" s="11" t="s">
        <v>935</v>
      </c>
      <c r="B329" s="11" t="s">
        <v>937</v>
      </c>
      <c r="C329" s="14" t="s">
        <v>896</v>
      </c>
      <c r="D329" s="14" t="s">
        <v>938</v>
      </c>
      <c r="E329" s="14" t="s">
        <v>939</v>
      </c>
      <c r="F329" s="3" t="s">
        <v>942</v>
      </c>
      <c r="G329" s="4">
        <v>8</v>
      </c>
      <c r="H329" s="12">
        <v>1305.056</v>
      </c>
      <c r="I329" s="12">
        <v>-152.077155</v>
      </c>
      <c r="J329" s="13">
        <v>-0.1165292179</v>
      </c>
      <c r="K329" s="13">
        <v>-0.1165292179</v>
      </c>
      <c r="L329" s="12">
        <v>23.99</v>
      </c>
      <c r="M329" s="13">
        <v>0.1574055121</v>
      </c>
      <c r="N329" s="13">
        <v>0.1934734999</v>
      </c>
      <c r="O329" s="13">
        <v>0.3167986661</v>
      </c>
      <c r="P329" s="13">
        <v>0</v>
      </c>
      <c r="Q329" s="13">
        <v>0.0696460726</v>
      </c>
      <c r="R329" s="13">
        <v>0.2486814695</v>
      </c>
      <c r="S329" s="13">
        <v>0</v>
      </c>
      <c r="T329" s="13">
        <v>0.1094726969</v>
      </c>
      <c r="U329" s="13">
        <v>0.0162324436</v>
      </c>
      <c r="V329" s="13">
        <v>0</v>
      </c>
      <c r="W329" s="13">
        <v>0</v>
      </c>
      <c r="X329" s="13">
        <v>0</v>
      </c>
      <c r="Y329" s="13">
        <v>0</v>
      </c>
      <c r="Z329" s="13">
        <v>0.0048188568</v>
      </c>
    </row>
    <row r="330" s="2" customFormat="1" hidden="1" spans="1:26">
      <c r="A330" s="11" t="s">
        <v>935</v>
      </c>
      <c r="B330" s="11" t="s">
        <v>937</v>
      </c>
      <c r="C330" s="14" t="s">
        <v>896</v>
      </c>
      <c r="D330" s="14" t="s">
        <v>938</v>
      </c>
      <c r="E330" s="14" t="s">
        <v>939</v>
      </c>
      <c r="F330" s="3" t="s">
        <v>943</v>
      </c>
      <c r="G330" s="4">
        <v>14</v>
      </c>
      <c r="H330" s="12">
        <v>2311.048</v>
      </c>
      <c r="I330" s="12">
        <v>171.155619</v>
      </c>
      <c r="J330" s="13">
        <v>0.0740597421</v>
      </c>
      <c r="K330" s="13">
        <v>0.0740597421</v>
      </c>
      <c r="L330" s="12">
        <v>24.2757142857</v>
      </c>
      <c r="M330" s="13">
        <v>0.1555529197</v>
      </c>
      <c r="N330" s="13">
        <v>0.1391920453</v>
      </c>
      <c r="O330" s="13">
        <v>0.311010416</v>
      </c>
      <c r="P330" s="13">
        <v>0</v>
      </c>
      <c r="Q330" s="13">
        <v>0.0527858028</v>
      </c>
      <c r="R330" s="13">
        <v>0.124405943</v>
      </c>
      <c r="S330" s="13">
        <v>0</v>
      </c>
      <c r="T330" s="13">
        <v>0.1140763843</v>
      </c>
      <c r="U330" s="13">
        <v>0.016041395</v>
      </c>
      <c r="V330" s="13">
        <v>0</v>
      </c>
      <c r="W330" s="13">
        <v>0</v>
      </c>
      <c r="X330" s="13">
        <v>0</v>
      </c>
      <c r="Y330" s="13">
        <v>0</v>
      </c>
      <c r="Z330" s="13">
        <v>0.0128753513</v>
      </c>
    </row>
    <row r="331" s="2" customFormat="1" spans="1:26">
      <c r="A331" s="11" t="s">
        <v>935</v>
      </c>
      <c r="B331" s="11" t="s">
        <v>937</v>
      </c>
      <c r="C331" s="14" t="s">
        <v>896</v>
      </c>
      <c r="D331" s="14" t="s">
        <v>938</v>
      </c>
      <c r="E331" s="14" t="s">
        <v>939</v>
      </c>
      <c r="F331" s="3" t="s">
        <v>944</v>
      </c>
      <c r="G331" s="4">
        <v>6</v>
      </c>
      <c r="H331" s="12">
        <v>883.66</v>
      </c>
      <c r="I331" s="12">
        <v>-78.114071</v>
      </c>
      <c r="J331" s="13">
        <v>-0.088398333</v>
      </c>
      <c r="K331" s="13">
        <v>-0.088398333</v>
      </c>
      <c r="L331" s="12">
        <v>21.6583333333</v>
      </c>
      <c r="M331" s="13">
        <v>0.1743512844</v>
      </c>
      <c r="N331" s="13">
        <v>0.1544874725</v>
      </c>
      <c r="O331" s="13">
        <v>0.2904963447</v>
      </c>
      <c r="P331" s="13">
        <v>0</v>
      </c>
      <c r="Q331" s="13">
        <v>0.1142108129</v>
      </c>
      <c r="R331" s="13">
        <v>0.2154214505</v>
      </c>
      <c r="S331" s="13">
        <v>0</v>
      </c>
      <c r="T331" s="13">
        <v>0.1200461716</v>
      </c>
      <c r="U331" s="13">
        <v>0.0179799764</v>
      </c>
      <c r="V331" s="13">
        <v>0</v>
      </c>
      <c r="W331" s="13">
        <v>0</v>
      </c>
      <c r="X331" s="13">
        <v>0</v>
      </c>
      <c r="Y331" s="13">
        <v>0</v>
      </c>
      <c r="Z331" s="13">
        <v>0.0014048197</v>
      </c>
    </row>
    <row r="332" s="2" customFormat="1" hidden="1" spans="1:26">
      <c r="A332" s="11" t="s">
        <v>935</v>
      </c>
      <c r="B332" s="11" t="s">
        <v>937</v>
      </c>
      <c r="C332" s="14" t="s">
        <v>896</v>
      </c>
      <c r="D332" s="14" t="s">
        <v>938</v>
      </c>
      <c r="E332" s="14" t="s">
        <v>939</v>
      </c>
      <c r="F332" s="3" t="s">
        <v>945</v>
      </c>
      <c r="G332" s="4">
        <v>0</v>
      </c>
      <c r="H332" s="12">
        <v>0</v>
      </c>
      <c r="I332" s="12">
        <v>-14.334475</v>
      </c>
      <c r="J332" s="13"/>
      <c r="K332" s="13"/>
      <c r="L332" s="12"/>
      <c r="M332" s="13"/>
      <c r="N332" s="13"/>
      <c r="O332" s="13"/>
      <c r="P332" s="13"/>
      <c r="Q332" s="13"/>
      <c r="R332" s="13"/>
      <c r="S332" s="13"/>
      <c r="T332" s="13"/>
      <c r="U332" s="13"/>
      <c r="V332" s="13"/>
      <c r="W332" s="13"/>
      <c r="X332" s="13"/>
      <c r="Y332" s="13"/>
      <c r="Z332" s="13"/>
    </row>
    <row r="333" s="2" customFormat="1" hidden="1" spans="1:26">
      <c r="A333" s="11" t="s">
        <v>935</v>
      </c>
      <c r="B333" s="11" t="s">
        <v>937</v>
      </c>
      <c r="C333" s="14" t="s">
        <v>898</v>
      </c>
      <c r="D333" s="14" t="s">
        <v>938</v>
      </c>
      <c r="E333" s="14" t="s">
        <v>939</v>
      </c>
      <c r="F333" s="3" t="s">
        <v>936</v>
      </c>
      <c r="G333" s="4">
        <v>59</v>
      </c>
      <c r="H333" s="12">
        <v>10701.908</v>
      </c>
      <c r="I333" s="12">
        <v>1298.174245</v>
      </c>
      <c r="J333" s="13">
        <v>0.1213030653</v>
      </c>
      <c r="K333" s="13">
        <v>0.1213030653</v>
      </c>
      <c r="L333" s="12">
        <v>26.6747457627</v>
      </c>
      <c r="M333" s="13">
        <v>0.1385772235</v>
      </c>
      <c r="N333" s="13">
        <v>0.0579477807</v>
      </c>
      <c r="O333" s="13">
        <v>0.281609597</v>
      </c>
      <c r="P333" s="13">
        <v>0.0505588349</v>
      </c>
      <c r="Q333" s="13">
        <v>0.0396475051</v>
      </c>
      <c r="R333" s="13">
        <v>0.197833946</v>
      </c>
      <c r="S333" s="13">
        <v>0</v>
      </c>
      <c r="T333" s="13">
        <v>0.107522509</v>
      </c>
      <c r="U333" s="13">
        <v>0.0142907751</v>
      </c>
      <c r="V333" s="13">
        <v>-0.0097343389</v>
      </c>
      <c r="W333" s="13">
        <v>-0.0070545833</v>
      </c>
      <c r="X333" s="13">
        <v>0</v>
      </c>
      <c r="Y333" s="13">
        <v>0</v>
      </c>
      <c r="Z333" s="13">
        <v>0.0074976852</v>
      </c>
    </row>
    <row r="334" s="2" customFormat="1" hidden="1" spans="1:26">
      <c r="A334" s="11" t="s">
        <v>935</v>
      </c>
      <c r="B334" s="11" t="s">
        <v>937</v>
      </c>
      <c r="C334" s="14" t="s">
        <v>898</v>
      </c>
      <c r="D334" s="14" t="s">
        <v>938</v>
      </c>
      <c r="E334" s="14" t="s">
        <v>939</v>
      </c>
      <c r="F334" s="3" t="s">
        <v>942</v>
      </c>
      <c r="G334" s="4">
        <v>22</v>
      </c>
      <c r="H334" s="12">
        <v>3888.104</v>
      </c>
      <c r="I334" s="12">
        <v>465.633892</v>
      </c>
      <c r="J334" s="13">
        <v>0.1197586</v>
      </c>
      <c r="K334" s="13">
        <v>0.1197586</v>
      </c>
      <c r="L334" s="12">
        <v>25.99</v>
      </c>
      <c r="M334" s="13">
        <v>0.1422282495</v>
      </c>
      <c r="N334" s="13">
        <v>0.0394769538</v>
      </c>
      <c r="O334" s="13">
        <v>0.2865612648</v>
      </c>
      <c r="P334" s="13">
        <v>0.0909090909</v>
      </c>
      <c r="Q334" s="13">
        <v>0.0003234229</v>
      </c>
      <c r="R334" s="13">
        <v>0.2014042548</v>
      </c>
      <c r="S334" s="13">
        <v>0</v>
      </c>
      <c r="T334" s="13">
        <v>0.0981846164</v>
      </c>
      <c r="U334" s="13">
        <v>0.0146672871</v>
      </c>
      <c r="V334" s="13">
        <v>0</v>
      </c>
      <c r="W334" s="13">
        <v>0</v>
      </c>
      <c r="X334" s="13">
        <v>0</v>
      </c>
      <c r="Y334" s="13">
        <v>0</v>
      </c>
      <c r="Z334" s="13">
        <v>0.0064862593</v>
      </c>
    </row>
    <row r="335" s="2" customFormat="1" hidden="1" spans="1:26">
      <c r="A335" s="11" t="s">
        <v>935</v>
      </c>
      <c r="B335" s="11" t="s">
        <v>937</v>
      </c>
      <c r="C335" s="14" t="s">
        <v>898</v>
      </c>
      <c r="D335" s="14" t="s">
        <v>938</v>
      </c>
      <c r="E335" s="14" t="s">
        <v>939</v>
      </c>
      <c r="F335" s="3" t="s">
        <v>943</v>
      </c>
      <c r="G335" s="4">
        <v>22</v>
      </c>
      <c r="H335" s="12">
        <v>4007.784</v>
      </c>
      <c r="I335" s="12">
        <v>531.416341</v>
      </c>
      <c r="J335" s="13">
        <v>0.1325960533</v>
      </c>
      <c r="K335" s="13">
        <v>0.1325960533</v>
      </c>
      <c r="L335" s="12">
        <v>26.79</v>
      </c>
      <c r="M335" s="13">
        <v>0.1379810453</v>
      </c>
      <c r="N335" s="13">
        <v>0.0692338449</v>
      </c>
      <c r="O335" s="13">
        <v>0.2818215752</v>
      </c>
      <c r="P335" s="13">
        <v>0</v>
      </c>
      <c r="Q335" s="13">
        <v>0.0587511604</v>
      </c>
      <c r="R335" s="13">
        <v>0.1868095552</v>
      </c>
      <c r="S335" s="13">
        <v>0</v>
      </c>
      <c r="T335" s="13">
        <v>0.1151209745</v>
      </c>
      <c r="U335" s="13">
        <v>0.0142292942</v>
      </c>
      <c r="V335" s="13">
        <v>0</v>
      </c>
      <c r="W335" s="13">
        <v>-0.0094188586</v>
      </c>
      <c r="X335" s="13">
        <v>0</v>
      </c>
      <c r="Y335" s="13">
        <v>0</v>
      </c>
      <c r="Z335" s="13">
        <v>0.012875355</v>
      </c>
    </row>
    <row r="336" s="2" customFormat="1" spans="1:26">
      <c r="A336" s="11" t="s">
        <v>935</v>
      </c>
      <c r="B336" s="11" t="s">
        <v>937</v>
      </c>
      <c r="C336" s="14" t="s">
        <v>898</v>
      </c>
      <c r="D336" s="14" t="s">
        <v>938</v>
      </c>
      <c r="E336" s="14" t="s">
        <v>939</v>
      </c>
      <c r="F336" s="3" t="s">
        <v>944</v>
      </c>
      <c r="G336" s="4">
        <v>13</v>
      </c>
      <c r="H336" s="12">
        <v>2433.516</v>
      </c>
      <c r="I336" s="12">
        <v>151.269559</v>
      </c>
      <c r="J336" s="13">
        <v>0.0621609058</v>
      </c>
      <c r="K336" s="13">
        <v>0.0621609058</v>
      </c>
      <c r="L336" s="12">
        <v>27.5284615384</v>
      </c>
      <c r="M336" s="13">
        <v>0.1342796509</v>
      </c>
      <c r="N336" s="13">
        <v>0.0673766204</v>
      </c>
      <c r="O336" s="13">
        <v>0.2742616033</v>
      </c>
      <c r="P336" s="13">
        <v>0.0770950345</v>
      </c>
      <c r="Q336" s="13">
        <v>0.0770837298</v>
      </c>
      <c r="R336" s="13">
        <v>0.2263766565</v>
      </c>
      <c r="S336" s="13">
        <v>0</v>
      </c>
      <c r="T336" s="13">
        <v>0.1089222343</v>
      </c>
      <c r="U336" s="13">
        <v>0.013847588</v>
      </c>
      <c r="V336" s="13">
        <v>-0.0428088411</v>
      </c>
      <c r="W336" s="13">
        <v>0</v>
      </c>
      <c r="X336" s="13">
        <v>0</v>
      </c>
      <c r="Y336" s="13">
        <v>0</v>
      </c>
      <c r="Z336" s="13">
        <v>0.0014048171</v>
      </c>
    </row>
    <row r="337" s="2" customFormat="1" hidden="1" spans="1:26">
      <c r="A337" s="11" t="s">
        <v>935</v>
      </c>
      <c r="B337" s="11" t="s">
        <v>937</v>
      </c>
      <c r="C337" s="14" t="s">
        <v>898</v>
      </c>
      <c r="D337" s="14" t="s">
        <v>938</v>
      </c>
      <c r="E337" s="14" t="s">
        <v>939</v>
      </c>
      <c r="F337" s="3" t="s">
        <v>945</v>
      </c>
      <c r="G337" s="4">
        <v>2</v>
      </c>
      <c r="H337" s="12">
        <v>372.504</v>
      </c>
      <c r="I337" s="12">
        <v>149.854453</v>
      </c>
      <c r="J337" s="13">
        <v>0.4022895136</v>
      </c>
      <c r="K337" s="13">
        <v>0.4022895136</v>
      </c>
      <c r="L337" s="12">
        <v>27.39</v>
      </c>
      <c r="M337" s="13">
        <v>0.1349584595</v>
      </c>
      <c r="N337" s="13">
        <v>0.0677172218</v>
      </c>
      <c r="O337" s="13">
        <v>0.2756480467</v>
      </c>
      <c r="P337" s="13">
        <v>0</v>
      </c>
      <c r="Q337" s="13">
        <v>0</v>
      </c>
      <c r="R337" s="13">
        <v>0.0927142741</v>
      </c>
      <c r="S337" s="13">
        <v>0</v>
      </c>
      <c r="T337" s="13">
        <v>0.1140927345</v>
      </c>
      <c r="U337" s="13">
        <v>0.0139175901</v>
      </c>
      <c r="V337" s="13">
        <v>0</v>
      </c>
      <c r="W337" s="13">
        <v>-0.1013378406</v>
      </c>
      <c r="X337" s="13">
        <v>0</v>
      </c>
      <c r="Y337" s="13">
        <v>0</v>
      </c>
      <c r="Z337" s="13">
        <v>0</v>
      </c>
    </row>
    <row r="338" s="2" customFormat="1" hidden="1" spans="1:26">
      <c r="A338" s="11" t="s">
        <v>935</v>
      </c>
      <c r="B338" s="11" t="s">
        <v>937</v>
      </c>
      <c r="C338" s="14" t="s">
        <v>900</v>
      </c>
      <c r="D338" s="14" t="s">
        <v>938</v>
      </c>
      <c r="E338" s="14" t="s">
        <v>939</v>
      </c>
      <c r="F338" s="3" t="s">
        <v>936</v>
      </c>
      <c r="G338" s="4">
        <v>58</v>
      </c>
      <c r="H338" s="12">
        <v>10436.096</v>
      </c>
      <c r="I338" s="12">
        <v>975.364425</v>
      </c>
      <c r="J338" s="13">
        <v>0.0934606604</v>
      </c>
      <c r="K338" s="13">
        <v>0.0934606604</v>
      </c>
      <c r="L338" s="12">
        <v>26.4606896551</v>
      </c>
      <c r="M338" s="13">
        <v>0.1314208274</v>
      </c>
      <c r="N338" s="13">
        <v>0.0845503983</v>
      </c>
      <c r="O338" s="13">
        <v>0.3160837155</v>
      </c>
      <c r="P338" s="13">
        <v>0.0175862698</v>
      </c>
      <c r="Q338" s="13">
        <v>0.0378223688</v>
      </c>
      <c r="R338" s="13">
        <v>0.2712312803</v>
      </c>
      <c r="S338" s="13">
        <v>0</v>
      </c>
      <c r="T338" s="13">
        <v>0.0987737176</v>
      </c>
      <c r="U338" s="13">
        <v>0.0135527737</v>
      </c>
      <c r="V338" s="13">
        <v>-0.0693181818</v>
      </c>
      <c r="W338" s="13">
        <v>0</v>
      </c>
      <c r="X338" s="13">
        <v>0</v>
      </c>
      <c r="Y338" s="13">
        <v>0</v>
      </c>
      <c r="Z338" s="13">
        <v>0.0048361694</v>
      </c>
    </row>
    <row r="339" s="2" customFormat="1" hidden="1" spans="1:26">
      <c r="A339" s="11" t="s">
        <v>935</v>
      </c>
      <c r="B339" s="11" t="s">
        <v>937</v>
      </c>
      <c r="C339" s="14" t="s">
        <v>900</v>
      </c>
      <c r="D339" s="14" t="s">
        <v>938</v>
      </c>
      <c r="E339" s="14" t="s">
        <v>939</v>
      </c>
      <c r="F339" s="3" t="s">
        <v>942</v>
      </c>
      <c r="G339" s="4">
        <v>10</v>
      </c>
      <c r="H339" s="12">
        <v>1808.12</v>
      </c>
      <c r="I339" s="12">
        <v>-806.408159</v>
      </c>
      <c r="J339" s="13">
        <v>-0.4459926105</v>
      </c>
      <c r="K339" s="13">
        <v>-0.4459926105</v>
      </c>
      <c r="L339" s="12">
        <v>26.59</v>
      </c>
      <c r="M339" s="13">
        <v>0.1307817124</v>
      </c>
      <c r="N339" s="13">
        <v>0.0483014899</v>
      </c>
      <c r="O339" s="13">
        <v>0.2839413313</v>
      </c>
      <c r="P339" s="13">
        <v>0</v>
      </c>
      <c r="Q339" s="13">
        <v>0.0003234221</v>
      </c>
      <c r="R339" s="13">
        <v>0.9407836454</v>
      </c>
      <c r="S339" s="13">
        <v>0</v>
      </c>
      <c r="T339" s="13">
        <v>0.0218879277</v>
      </c>
      <c r="U339" s="13">
        <v>0.0134868648</v>
      </c>
      <c r="V339" s="13">
        <v>0</v>
      </c>
      <c r="W339" s="13">
        <v>0</v>
      </c>
      <c r="X339" s="13">
        <v>0</v>
      </c>
      <c r="Y339" s="13">
        <v>0</v>
      </c>
      <c r="Z339" s="13">
        <v>0.0064862166</v>
      </c>
    </row>
    <row r="340" s="2" customFormat="1" hidden="1" spans="1:26">
      <c r="A340" s="11" t="s">
        <v>935</v>
      </c>
      <c r="B340" s="11" t="s">
        <v>937</v>
      </c>
      <c r="C340" s="14" t="s">
        <v>900</v>
      </c>
      <c r="D340" s="14" t="s">
        <v>938</v>
      </c>
      <c r="E340" s="14" t="s">
        <v>939</v>
      </c>
      <c r="F340" s="3" t="s">
        <v>943</v>
      </c>
      <c r="G340" s="4">
        <v>13</v>
      </c>
      <c r="H340" s="12">
        <v>2406.316</v>
      </c>
      <c r="I340" s="12">
        <v>154.331316</v>
      </c>
      <c r="J340" s="13">
        <v>0.0641359306</v>
      </c>
      <c r="K340" s="13">
        <v>0.0641359306</v>
      </c>
      <c r="L340" s="12">
        <v>27.2207692307</v>
      </c>
      <c r="M340" s="13">
        <v>0.1277511926</v>
      </c>
      <c r="N340" s="13">
        <v>0.0894827005</v>
      </c>
      <c r="O340" s="13">
        <v>0.2970017237</v>
      </c>
      <c r="P340" s="13">
        <v>0</v>
      </c>
      <c r="Q340" s="13">
        <v>0.0422842764</v>
      </c>
      <c r="R340" s="13">
        <v>0.2452886536</v>
      </c>
      <c r="S340" s="13">
        <v>0</v>
      </c>
      <c r="T340" s="13">
        <v>0.1080057648</v>
      </c>
      <c r="U340" s="13">
        <v>0.0131743424</v>
      </c>
      <c r="V340" s="13">
        <v>0</v>
      </c>
      <c r="W340" s="13">
        <v>0</v>
      </c>
      <c r="X340" s="13">
        <v>0</v>
      </c>
      <c r="Y340" s="13">
        <v>0</v>
      </c>
      <c r="Z340" s="13">
        <v>0.0128754149</v>
      </c>
    </row>
    <row r="341" s="2" customFormat="1" spans="1:26">
      <c r="A341" s="11" t="s">
        <v>935</v>
      </c>
      <c r="B341" s="11" t="s">
        <v>937</v>
      </c>
      <c r="C341" s="14" t="s">
        <v>900</v>
      </c>
      <c r="D341" s="14" t="s">
        <v>938</v>
      </c>
      <c r="E341" s="14" t="s">
        <v>939</v>
      </c>
      <c r="F341" s="3" t="s">
        <v>944</v>
      </c>
      <c r="G341" s="4">
        <v>31</v>
      </c>
      <c r="H341" s="12">
        <v>5524.252</v>
      </c>
      <c r="I341" s="12">
        <v>1462.81942</v>
      </c>
      <c r="J341" s="13">
        <v>0.2647995457</v>
      </c>
      <c r="K341" s="13">
        <v>0.2647995457</v>
      </c>
      <c r="L341" s="12">
        <v>26.2061290322</v>
      </c>
      <c r="M341" s="13">
        <v>0.1326974205</v>
      </c>
      <c r="N341" s="13">
        <v>0.092947262</v>
      </c>
      <c r="O341" s="13">
        <v>0.3319834069</v>
      </c>
      <c r="P341" s="13">
        <v>0.0332229594</v>
      </c>
      <c r="Q341" s="13">
        <v>0.0529273021</v>
      </c>
      <c r="R341" s="13">
        <v>0.090062724</v>
      </c>
      <c r="S341" s="13">
        <v>0</v>
      </c>
      <c r="T341" s="13">
        <v>0.1172220239</v>
      </c>
      <c r="U341" s="13">
        <v>0.0136844226</v>
      </c>
      <c r="V341" s="13">
        <v>-0.1309518827</v>
      </c>
      <c r="W341" s="13">
        <v>0</v>
      </c>
      <c r="X341" s="13">
        <v>0</v>
      </c>
      <c r="Y341" s="13">
        <v>0</v>
      </c>
      <c r="Z341" s="13">
        <v>0.0014048153</v>
      </c>
    </row>
    <row r="342" s="2" customFormat="1" hidden="1" spans="1:26">
      <c r="A342" s="11" t="s">
        <v>935</v>
      </c>
      <c r="B342" s="11" t="s">
        <v>937</v>
      </c>
      <c r="C342" s="14" t="s">
        <v>900</v>
      </c>
      <c r="D342" s="14" t="s">
        <v>938</v>
      </c>
      <c r="E342" s="14" t="s">
        <v>939</v>
      </c>
      <c r="F342" s="3" t="s">
        <v>945</v>
      </c>
      <c r="G342" s="4">
        <v>4</v>
      </c>
      <c r="H342" s="12">
        <v>697.408</v>
      </c>
      <c r="I342" s="12">
        <v>164.621848</v>
      </c>
      <c r="J342" s="13">
        <v>0.236048121</v>
      </c>
      <c r="K342" s="13">
        <v>0.236048121</v>
      </c>
      <c r="L342" s="12">
        <v>25.64</v>
      </c>
      <c r="M342" s="13">
        <v>0.1356273687</v>
      </c>
      <c r="N342" s="13">
        <v>0.0949995296</v>
      </c>
      <c r="O342" s="13">
        <v>0.3393135725</v>
      </c>
      <c r="P342" s="13">
        <v>0</v>
      </c>
      <c r="Q342" s="13">
        <v>0</v>
      </c>
      <c r="R342" s="13">
        <v>0.0599000298</v>
      </c>
      <c r="S342" s="13">
        <v>0</v>
      </c>
      <c r="T342" s="13">
        <v>0.1201248049</v>
      </c>
      <c r="U342" s="13">
        <v>0.0139865731</v>
      </c>
      <c r="V342" s="13">
        <v>0</v>
      </c>
      <c r="W342" s="13">
        <v>0</v>
      </c>
      <c r="X342" s="13">
        <v>0</v>
      </c>
      <c r="Y342" s="13">
        <v>0</v>
      </c>
      <c r="Z342" s="13">
        <v>0</v>
      </c>
    </row>
    <row r="343" s="2" customFormat="1" hidden="1" spans="1:26">
      <c r="A343" s="11" t="s">
        <v>935</v>
      </c>
      <c r="B343" s="11" t="s">
        <v>937</v>
      </c>
      <c r="C343" s="14" t="s">
        <v>902</v>
      </c>
      <c r="D343" s="14" t="s">
        <v>938</v>
      </c>
      <c r="E343" s="14" t="s">
        <v>939</v>
      </c>
      <c r="F343" s="3" t="s">
        <v>936</v>
      </c>
      <c r="G343" s="4">
        <v>78</v>
      </c>
      <c r="H343" s="12">
        <v>11844.24</v>
      </c>
      <c r="I343" s="12">
        <v>1689.161265</v>
      </c>
      <c r="J343" s="13">
        <v>0.1426145759</v>
      </c>
      <c r="K343" s="13">
        <v>0.1426145759</v>
      </c>
      <c r="L343" s="12">
        <v>22.3307692307</v>
      </c>
      <c r="M343" s="13">
        <v>0.127509047</v>
      </c>
      <c r="N343" s="13">
        <v>0.0178958785</v>
      </c>
      <c r="O343" s="13">
        <v>0.3145711333</v>
      </c>
      <c r="P343" s="13">
        <v>0.0550924331</v>
      </c>
      <c r="Q343" s="13">
        <v>0.0412038367</v>
      </c>
      <c r="R343" s="13">
        <v>0.177569982</v>
      </c>
      <c r="S343" s="13">
        <v>0</v>
      </c>
      <c r="T343" s="13">
        <v>0.1101676426</v>
      </c>
      <c r="U343" s="13">
        <v>0.0131493698</v>
      </c>
      <c r="V343" s="13">
        <v>0.0006946836</v>
      </c>
      <c r="W343" s="13">
        <v>-0.007561453</v>
      </c>
      <c r="X343" s="13">
        <v>0</v>
      </c>
      <c r="Y343" s="13">
        <v>0</v>
      </c>
      <c r="Z343" s="13">
        <v>0.00709287</v>
      </c>
    </row>
    <row r="344" s="2" customFormat="1" hidden="1" spans="1:26">
      <c r="A344" s="11" t="s">
        <v>935</v>
      </c>
      <c r="B344" s="11" t="s">
        <v>937</v>
      </c>
      <c r="C344" s="14" t="s">
        <v>902</v>
      </c>
      <c r="D344" s="14" t="s">
        <v>938</v>
      </c>
      <c r="E344" s="14" t="s">
        <v>939</v>
      </c>
      <c r="F344" s="3" t="s">
        <v>940</v>
      </c>
      <c r="G344" s="4">
        <v>3</v>
      </c>
      <c r="H344" s="12">
        <v>489.396</v>
      </c>
      <c r="I344" s="12">
        <v>121.698046</v>
      </c>
      <c r="J344" s="13">
        <v>0.2486698828</v>
      </c>
      <c r="K344" s="13">
        <v>0.2486698828</v>
      </c>
      <c r="L344" s="12">
        <v>23.99</v>
      </c>
      <c r="M344" s="13">
        <v>0.1218135068</v>
      </c>
      <c r="N344" s="13">
        <v>0.0342847693</v>
      </c>
      <c r="O344" s="13">
        <v>0.2609420591</v>
      </c>
      <c r="P344" s="13">
        <v>0</v>
      </c>
      <c r="Q344" s="13">
        <v>0.0008192343</v>
      </c>
      <c r="R344" s="13">
        <v>0.2045465614</v>
      </c>
      <c r="S344" s="13">
        <v>0</v>
      </c>
      <c r="T344" s="13">
        <v>0.1160205641</v>
      </c>
      <c r="U344" s="13">
        <v>0.0125620172</v>
      </c>
      <c r="V344" s="13">
        <v>0</v>
      </c>
      <c r="W344" s="13">
        <v>0</v>
      </c>
      <c r="X344" s="13">
        <v>0</v>
      </c>
      <c r="Y344" s="13">
        <v>0</v>
      </c>
      <c r="Z344" s="13">
        <v>0.0003414045</v>
      </c>
    </row>
    <row r="345" s="2" customFormat="1" hidden="1" spans="1:26">
      <c r="A345" s="11" t="s">
        <v>935</v>
      </c>
      <c r="B345" s="11" t="s">
        <v>937</v>
      </c>
      <c r="C345" s="14" t="s">
        <v>902</v>
      </c>
      <c r="D345" s="14" t="s">
        <v>938</v>
      </c>
      <c r="E345" s="14" t="s">
        <v>939</v>
      </c>
      <c r="F345" s="3" t="s">
        <v>941</v>
      </c>
      <c r="G345" s="4">
        <v>21</v>
      </c>
      <c r="H345" s="12">
        <v>3130.176</v>
      </c>
      <c r="I345" s="12">
        <v>67.963408</v>
      </c>
      <c r="J345" s="13">
        <v>0.0217123279</v>
      </c>
      <c r="K345" s="13">
        <v>0.0217123279</v>
      </c>
      <c r="L345" s="12">
        <v>21.92</v>
      </c>
      <c r="M345" s="13">
        <v>0.126968458</v>
      </c>
      <c r="N345" s="13">
        <v>0.0134208875</v>
      </c>
      <c r="O345" s="13">
        <v>0.3027893639</v>
      </c>
      <c r="P345" s="13">
        <v>0.1042318387</v>
      </c>
      <c r="Q345" s="13">
        <v>0.0152389124</v>
      </c>
      <c r="R345" s="13">
        <v>0.3162466119</v>
      </c>
      <c r="S345" s="13">
        <v>0</v>
      </c>
      <c r="T345" s="13">
        <v>0.09380431</v>
      </c>
      <c r="U345" s="13">
        <v>0.0130936215</v>
      </c>
      <c r="V345" s="13">
        <v>0.0011948209</v>
      </c>
      <c r="W345" s="13">
        <v>-0.0140389345</v>
      </c>
      <c r="X345" s="13">
        <v>0</v>
      </c>
      <c r="Y345" s="13">
        <v>0</v>
      </c>
      <c r="Z345" s="13">
        <v>0.0053377813</v>
      </c>
    </row>
    <row r="346" s="2" customFormat="1" hidden="1" spans="1:26">
      <c r="A346" s="11" t="s">
        <v>935</v>
      </c>
      <c r="B346" s="11" t="s">
        <v>937</v>
      </c>
      <c r="C346" s="14" t="s">
        <v>902</v>
      </c>
      <c r="D346" s="14" t="s">
        <v>938</v>
      </c>
      <c r="E346" s="14" t="s">
        <v>939</v>
      </c>
      <c r="F346" s="3" t="s">
        <v>942</v>
      </c>
      <c r="G346" s="4">
        <v>30</v>
      </c>
      <c r="H346" s="12">
        <v>4309.5</v>
      </c>
      <c r="I346" s="12">
        <v>855.47253</v>
      </c>
      <c r="J346" s="13">
        <v>0.1985085346</v>
      </c>
      <c r="K346" s="13">
        <v>0.1985085346</v>
      </c>
      <c r="L346" s="12">
        <v>21.125</v>
      </c>
      <c r="M346" s="13">
        <v>0.1337228794</v>
      </c>
      <c r="N346" s="13">
        <v>0.0192908713</v>
      </c>
      <c r="O346" s="13">
        <v>0.3373412228</v>
      </c>
      <c r="P346" s="13">
        <v>0</v>
      </c>
      <c r="Q346" s="13">
        <v>0.0354459392</v>
      </c>
      <c r="R346" s="13">
        <v>0.134704084</v>
      </c>
      <c r="S346" s="13">
        <v>0</v>
      </c>
      <c r="T346" s="13">
        <v>0.119668639</v>
      </c>
      <c r="U346" s="13">
        <v>0.0137901712</v>
      </c>
      <c r="V346" s="13">
        <v>0.0010414201</v>
      </c>
      <c r="W346" s="13">
        <v>0</v>
      </c>
      <c r="X346" s="13">
        <v>0</v>
      </c>
      <c r="Y346" s="13">
        <v>0</v>
      </c>
      <c r="Z346" s="13">
        <v>0.006486238</v>
      </c>
    </row>
    <row r="347" s="2" customFormat="1" hidden="1" spans="1:26">
      <c r="A347" s="11" t="s">
        <v>935</v>
      </c>
      <c r="B347" s="11" t="s">
        <v>937</v>
      </c>
      <c r="C347" s="14" t="s">
        <v>902</v>
      </c>
      <c r="D347" s="14" t="s">
        <v>938</v>
      </c>
      <c r="E347" s="14" t="s">
        <v>939</v>
      </c>
      <c r="F347" s="3" t="s">
        <v>943</v>
      </c>
      <c r="G347" s="4">
        <v>18</v>
      </c>
      <c r="H347" s="12">
        <v>2936.376</v>
      </c>
      <c r="I347" s="12">
        <v>485.499867</v>
      </c>
      <c r="J347" s="13">
        <v>0.1653398158</v>
      </c>
      <c r="K347" s="13">
        <v>0.1653398158</v>
      </c>
      <c r="L347" s="12">
        <v>23.99</v>
      </c>
      <c r="M347" s="13">
        <v>0.1218135068</v>
      </c>
      <c r="N347" s="13">
        <v>0.0177814591</v>
      </c>
      <c r="O347" s="13">
        <v>0.3049650317</v>
      </c>
      <c r="P347" s="13">
        <v>0.1111111111</v>
      </c>
      <c r="Q347" s="13">
        <v>0.0536555195</v>
      </c>
      <c r="R347" s="13">
        <v>0.0982540148</v>
      </c>
      <c r="S347" s="13">
        <v>0</v>
      </c>
      <c r="T347" s="13">
        <v>0.1093974341</v>
      </c>
      <c r="U347" s="13">
        <v>0.0125620172</v>
      </c>
      <c r="V347" s="13">
        <v>0</v>
      </c>
      <c r="W347" s="13">
        <v>-0.0077552758</v>
      </c>
      <c r="X347" s="13">
        <v>0</v>
      </c>
      <c r="Y347" s="13">
        <v>0</v>
      </c>
      <c r="Z347" s="13">
        <v>0.0128753654</v>
      </c>
    </row>
    <row r="348" s="2" customFormat="1" spans="1:26">
      <c r="A348" s="11" t="s">
        <v>935</v>
      </c>
      <c r="B348" s="11" t="s">
        <v>937</v>
      </c>
      <c r="C348" s="14" t="s">
        <v>902</v>
      </c>
      <c r="D348" s="14" t="s">
        <v>938</v>
      </c>
      <c r="E348" s="14" t="s">
        <v>939</v>
      </c>
      <c r="F348" s="3" t="s">
        <v>944</v>
      </c>
      <c r="G348" s="4">
        <v>6</v>
      </c>
      <c r="H348" s="12">
        <v>978.792</v>
      </c>
      <c r="I348" s="12">
        <v>175.933564</v>
      </c>
      <c r="J348" s="13">
        <v>0.1797456088</v>
      </c>
      <c r="K348" s="13">
        <v>0.1797456088</v>
      </c>
      <c r="L348" s="12">
        <v>23.99</v>
      </c>
      <c r="M348" s="13">
        <v>0.1218135068</v>
      </c>
      <c r="N348" s="13">
        <v>0.0182137287</v>
      </c>
      <c r="O348" s="13">
        <v>0.3076281784</v>
      </c>
      <c r="P348" s="13">
        <v>0</v>
      </c>
      <c r="Q348" s="13">
        <v>0.1324282053</v>
      </c>
      <c r="R348" s="13">
        <v>0.1294917919</v>
      </c>
      <c r="S348" s="13">
        <v>0</v>
      </c>
      <c r="T348" s="13">
        <v>0.1200500208</v>
      </c>
      <c r="U348" s="13">
        <v>0.0125620172</v>
      </c>
      <c r="V348" s="13">
        <v>0</v>
      </c>
      <c r="W348" s="13">
        <v>-0.0233378726</v>
      </c>
      <c r="X348" s="13">
        <v>0</v>
      </c>
      <c r="Y348" s="13">
        <v>0</v>
      </c>
      <c r="Z348" s="13">
        <v>0.0014048143</v>
      </c>
    </row>
    <row r="349" s="2" customFormat="1" hidden="1" spans="1:26">
      <c r="A349" s="11" t="s">
        <v>935</v>
      </c>
      <c r="B349" s="11" t="s">
        <v>937</v>
      </c>
      <c r="C349" s="14" t="s">
        <v>902</v>
      </c>
      <c r="D349" s="14" t="s">
        <v>938</v>
      </c>
      <c r="E349" s="14" t="s">
        <v>939</v>
      </c>
      <c r="F349" s="3" t="s">
        <v>945</v>
      </c>
      <c r="G349" s="4">
        <v>0</v>
      </c>
      <c r="H349" s="12">
        <v>0</v>
      </c>
      <c r="I349" s="12">
        <v>-17.40615</v>
      </c>
      <c r="J349" s="13"/>
      <c r="K349" s="13"/>
      <c r="L349" s="12"/>
      <c r="M349" s="13"/>
      <c r="N349" s="13"/>
      <c r="O349" s="13"/>
      <c r="P349" s="13"/>
      <c r="Q349" s="13"/>
      <c r="R349" s="13"/>
      <c r="S349" s="13"/>
      <c r="T349" s="13"/>
      <c r="U349" s="13"/>
      <c r="V349" s="13"/>
      <c r="W349" s="13"/>
      <c r="X349" s="13"/>
      <c r="Y349" s="13"/>
      <c r="Z349" s="13"/>
    </row>
    <row r="350" s="2" customFormat="1" hidden="1" spans="1:26">
      <c r="A350" s="11" t="s">
        <v>935</v>
      </c>
      <c r="B350" s="11" t="s">
        <v>937</v>
      </c>
      <c r="C350" s="14" t="s">
        <v>904</v>
      </c>
      <c r="D350" s="14" t="s">
        <v>938</v>
      </c>
      <c r="E350" s="14" t="s">
        <v>939</v>
      </c>
      <c r="F350" s="3" t="s">
        <v>936</v>
      </c>
      <c r="G350" s="4">
        <v>27</v>
      </c>
      <c r="H350" s="12">
        <v>4736.064</v>
      </c>
      <c r="I350" s="12">
        <v>-315.170005</v>
      </c>
      <c r="J350" s="13">
        <v>-0.0665468213</v>
      </c>
      <c r="K350" s="13">
        <v>-0.0665468213</v>
      </c>
      <c r="L350" s="12">
        <v>25.7955555555</v>
      </c>
      <c r="M350" s="13">
        <v>0.1357630076</v>
      </c>
      <c r="N350" s="13">
        <v>0.0724114604</v>
      </c>
      <c r="O350" s="13">
        <v>0.2954284401</v>
      </c>
      <c r="P350" s="13">
        <v>0</v>
      </c>
      <c r="Q350" s="13">
        <v>0.1029219457</v>
      </c>
      <c r="R350" s="13">
        <v>0.4767192336</v>
      </c>
      <c r="S350" s="13">
        <v>0</v>
      </c>
      <c r="T350" s="13">
        <v>0.0801602343</v>
      </c>
      <c r="U350" s="13">
        <v>0.0140005593</v>
      </c>
      <c r="V350" s="13">
        <v>-0.1168963932</v>
      </c>
      <c r="W350" s="13">
        <v>0</v>
      </c>
      <c r="X350" s="13">
        <v>0</v>
      </c>
      <c r="Y350" s="13">
        <v>0</v>
      </c>
      <c r="Z350" s="13">
        <v>0.0060383333</v>
      </c>
    </row>
    <row r="351" s="2" customFormat="1" hidden="1" spans="1:26">
      <c r="A351" s="11" t="s">
        <v>935</v>
      </c>
      <c r="B351" s="11" t="s">
        <v>937</v>
      </c>
      <c r="C351" s="14" t="s">
        <v>904</v>
      </c>
      <c r="D351" s="14" t="s">
        <v>938</v>
      </c>
      <c r="E351" s="14" t="s">
        <v>939</v>
      </c>
      <c r="F351" s="3" t="s">
        <v>942</v>
      </c>
      <c r="G351" s="4">
        <v>11</v>
      </c>
      <c r="H351" s="12">
        <v>2018.852</v>
      </c>
      <c r="I351" s="12">
        <v>92.990893</v>
      </c>
      <c r="J351" s="13">
        <v>0.0460612729</v>
      </c>
      <c r="K351" s="13">
        <v>0.0460612729</v>
      </c>
      <c r="L351" s="12">
        <v>26.99</v>
      </c>
      <c r="M351" s="13">
        <v>0.1297548057</v>
      </c>
      <c r="N351" s="13">
        <v>0.040899053</v>
      </c>
      <c r="O351" s="13">
        <v>0.2818552325</v>
      </c>
      <c r="P351" s="13">
        <v>0</v>
      </c>
      <c r="Q351" s="13">
        <v>0.0003234328</v>
      </c>
      <c r="R351" s="13">
        <v>0.400805153</v>
      </c>
      <c r="S351" s="13">
        <v>0</v>
      </c>
      <c r="T351" s="13">
        <v>0.0804338307</v>
      </c>
      <c r="U351" s="13">
        <v>0.0133809635</v>
      </c>
      <c r="V351" s="13">
        <v>0</v>
      </c>
      <c r="W351" s="13">
        <v>0</v>
      </c>
      <c r="X351" s="13">
        <v>0</v>
      </c>
      <c r="Y351" s="13">
        <v>0</v>
      </c>
      <c r="Z351" s="13">
        <v>0.0064862555</v>
      </c>
    </row>
    <row r="352" s="2" customFormat="1" hidden="1" spans="1:26">
      <c r="A352" s="11" t="s">
        <v>935</v>
      </c>
      <c r="B352" s="11" t="s">
        <v>937</v>
      </c>
      <c r="C352" s="14" t="s">
        <v>904</v>
      </c>
      <c r="D352" s="14" t="s">
        <v>938</v>
      </c>
      <c r="E352" s="14" t="s">
        <v>939</v>
      </c>
      <c r="F352" s="3" t="s">
        <v>943</v>
      </c>
      <c r="G352" s="4">
        <v>6</v>
      </c>
      <c r="H352" s="12">
        <v>1060.392</v>
      </c>
      <c r="I352" s="12">
        <v>-251.780153</v>
      </c>
      <c r="J352" s="13">
        <v>-0.2374406379</v>
      </c>
      <c r="K352" s="13">
        <v>-0.2374406379</v>
      </c>
      <c r="L352" s="12">
        <v>25.99</v>
      </c>
      <c r="M352" s="13">
        <v>0.1347472953</v>
      </c>
      <c r="N352" s="13">
        <v>0.0920801609</v>
      </c>
      <c r="O352" s="13">
        <v>0.2935744517</v>
      </c>
      <c r="P352" s="13">
        <v>0</v>
      </c>
      <c r="Q352" s="13">
        <v>0.2413145629</v>
      </c>
      <c r="R352" s="13">
        <v>0.816504485</v>
      </c>
      <c r="S352" s="13">
        <v>0</v>
      </c>
      <c r="T352" s="13">
        <v>0.0423239707</v>
      </c>
      <c r="U352" s="13">
        <v>0.013895814</v>
      </c>
      <c r="V352" s="13">
        <v>-0.4098755931</v>
      </c>
      <c r="W352" s="13">
        <v>0</v>
      </c>
      <c r="X352" s="13">
        <v>0</v>
      </c>
      <c r="Y352" s="13">
        <v>0</v>
      </c>
      <c r="Z352" s="13">
        <v>0.0128754903</v>
      </c>
    </row>
    <row r="353" s="2" customFormat="1" spans="1:26">
      <c r="A353" s="11" t="s">
        <v>935</v>
      </c>
      <c r="B353" s="11" t="s">
        <v>937</v>
      </c>
      <c r="C353" s="14" t="s">
        <v>904</v>
      </c>
      <c r="D353" s="14" t="s">
        <v>938</v>
      </c>
      <c r="E353" s="14" t="s">
        <v>939</v>
      </c>
      <c r="F353" s="3" t="s">
        <v>944</v>
      </c>
      <c r="G353" s="4">
        <v>8</v>
      </c>
      <c r="H353" s="12">
        <v>1316.956</v>
      </c>
      <c r="I353" s="12">
        <v>-213.723387</v>
      </c>
      <c r="J353" s="13">
        <v>-0.1622858979</v>
      </c>
      <c r="K353" s="13">
        <v>-0.1622858979</v>
      </c>
      <c r="L353" s="12">
        <v>24.20875</v>
      </c>
      <c r="M353" s="13">
        <v>0.1446618353</v>
      </c>
      <c r="N353" s="13">
        <v>0.0988553057</v>
      </c>
      <c r="O353" s="13">
        <v>0.3151752981</v>
      </c>
      <c r="P353" s="13">
        <v>0</v>
      </c>
      <c r="Q353" s="13">
        <v>0.1753315425</v>
      </c>
      <c r="R353" s="13">
        <v>0.3977394414</v>
      </c>
      <c r="S353" s="13">
        <v>0</v>
      </c>
      <c r="T353" s="13">
        <v>0.1045593019</v>
      </c>
      <c r="U353" s="13">
        <v>0.0149182508</v>
      </c>
      <c r="V353" s="13">
        <v>-0.0903598905</v>
      </c>
      <c r="W353" s="13">
        <v>0</v>
      </c>
      <c r="X353" s="13">
        <v>0</v>
      </c>
      <c r="Y353" s="13">
        <v>0</v>
      </c>
      <c r="Z353" s="13">
        <v>0.0014048123</v>
      </c>
    </row>
    <row r="354" s="2" customFormat="1" hidden="1" spans="1:26">
      <c r="A354" s="11" t="s">
        <v>935</v>
      </c>
      <c r="B354" s="11" t="s">
        <v>937</v>
      </c>
      <c r="C354" s="14" t="s">
        <v>904</v>
      </c>
      <c r="D354" s="14" t="s">
        <v>938</v>
      </c>
      <c r="E354" s="14" t="s">
        <v>939</v>
      </c>
      <c r="F354" s="3" t="s">
        <v>945</v>
      </c>
      <c r="G354" s="4">
        <v>2</v>
      </c>
      <c r="H354" s="12">
        <v>339.864</v>
      </c>
      <c r="I354" s="12">
        <v>57.342642</v>
      </c>
      <c r="J354" s="13">
        <v>0.1687223183</v>
      </c>
      <c r="K354" s="13">
        <v>0.1687223183</v>
      </c>
      <c r="L354" s="12">
        <v>24.99</v>
      </c>
      <c r="M354" s="13">
        <v>0.1401393439</v>
      </c>
      <c r="N354" s="13">
        <v>0.0957648412</v>
      </c>
      <c r="O354" s="13">
        <v>0.3053221288</v>
      </c>
      <c r="P354" s="13">
        <v>0</v>
      </c>
      <c r="Q354" s="13">
        <v>0</v>
      </c>
      <c r="R354" s="13">
        <v>0.1735586822</v>
      </c>
      <c r="S354" s="13">
        <v>0</v>
      </c>
      <c r="T354" s="13">
        <v>0.1020408163</v>
      </c>
      <c r="U354" s="13">
        <v>0.0144518689</v>
      </c>
      <c r="V354" s="13">
        <v>0</v>
      </c>
      <c r="W354" s="13">
        <v>0</v>
      </c>
      <c r="X354" s="13">
        <v>0</v>
      </c>
      <c r="Y354" s="13">
        <v>0</v>
      </c>
      <c r="Z354" s="13">
        <v>0</v>
      </c>
    </row>
    <row r="355" s="2" customFormat="1" hidden="1" spans="1:26">
      <c r="A355" s="11" t="s">
        <v>935</v>
      </c>
      <c r="B355" s="11" t="s">
        <v>937</v>
      </c>
      <c r="C355" s="14" t="s">
        <v>906</v>
      </c>
      <c r="D355" s="14" t="s">
        <v>938</v>
      </c>
      <c r="E355" s="14" t="s">
        <v>939</v>
      </c>
      <c r="F355" s="3" t="s">
        <v>936</v>
      </c>
      <c r="G355" s="4">
        <v>135</v>
      </c>
      <c r="H355" s="12">
        <v>24226.02</v>
      </c>
      <c r="I355" s="12">
        <v>4162.1984</v>
      </c>
      <c r="J355" s="13">
        <v>0.1718069414</v>
      </c>
      <c r="K355" s="13">
        <v>0.1718069414</v>
      </c>
      <c r="L355" s="12">
        <v>26.39</v>
      </c>
      <c r="M355" s="13">
        <v>0.1282222265</v>
      </c>
      <c r="N355" s="13">
        <v>0.0300586386</v>
      </c>
      <c r="O355" s="13">
        <v>0.2781356574</v>
      </c>
      <c r="P355" s="13">
        <v>0.0363633811</v>
      </c>
      <c r="Q355" s="13">
        <v>0.0253596637</v>
      </c>
      <c r="R355" s="13">
        <v>0.211666529</v>
      </c>
      <c r="S355" s="13">
        <v>0</v>
      </c>
      <c r="T355" s="13">
        <v>0.10249393</v>
      </c>
      <c r="U355" s="13">
        <v>0.0132229175</v>
      </c>
      <c r="V355" s="13">
        <v>-0.0039296591</v>
      </c>
      <c r="W355" s="13">
        <v>0</v>
      </c>
      <c r="X355" s="13">
        <v>0.0006371661</v>
      </c>
      <c r="Y355" s="13">
        <v>0</v>
      </c>
      <c r="Z355" s="13">
        <v>0.0059626072</v>
      </c>
    </row>
    <row r="356" s="2" customFormat="1" hidden="1" spans="1:26">
      <c r="A356" s="11" t="s">
        <v>935</v>
      </c>
      <c r="B356" s="11" t="s">
        <v>937</v>
      </c>
      <c r="C356" s="14" t="s">
        <v>906</v>
      </c>
      <c r="D356" s="14" t="s">
        <v>938</v>
      </c>
      <c r="E356" s="14" t="s">
        <v>939</v>
      </c>
      <c r="F356" s="3" t="s">
        <v>941</v>
      </c>
      <c r="G356" s="4">
        <v>1</v>
      </c>
      <c r="H356" s="12">
        <v>183.532</v>
      </c>
      <c r="I356" s="12">
        <v>76.708089</v>
      </c>
      <c r="J356" s="13">
        <v>0.4179548471</v>
      </c>
      <c r="K356" s="13">
        <v>0.4179548471</v>
      </c>
      <c r="L356" s="12">
        <v>26.99</v>
      </c>
      <c r="M356" s="13">
        <v>0.125371788</v>
      </c>
      <c r="N356" s="13">
        <v>0.0312098762</v>
      </c>
      <c r="O356" s="13">
        <v>0.2400889218</v>
      </c>
      <c r="P356" s="13">
        <v>0</v>
      </c>
      <c r="Q356" s="13">
        <v>0.0017910173</v>
      </c>
      <c r="R356" s="13">
        <v>0.0452725028</v>
      </c>
      <c r="S356" s="13">
        <v>0</v>
      </c>
      <c r="T356" s="13">
        <v>0.1200444609</v>
      </c>
      <c r="U356" s="13">
        <v>0.012928966</v>
      </c>
      <c r="V356" s="13">
        <v>0</v>
      </c>
      <c r="W356" s="13">
        <v>0</v>
      </c>
      <c r="X356" s="13">
        <v>0</v>
      </c>
      <c r="Y356" s="13">
        <v>0</v>
      </c>
      <c r="Z356" s="13">
        <v>0.0053376195</v>
      </c>
    </row>
    <row r="357" s="2" customFormat="1" hidden="1" spans="1:26">
      <c r="A357" s="11" t="s">
        <v>935</v>
      </c>
      <c r="B357" s="11" t="s">
        <v>937</v>
      </c>
      <c r="C357" s="14" t="s">
        <v>906</v>
      </c>
      <c r="D357" s="14" t="s">
        <v>938</v>
      </c>
      <c r="E357" s="14" t="s">
        <v>939</v>
      </c>
      <c r="F357" s="3" t="s">
        <v>942</v>
      </c>
      <c r="G357" s="4">
        <v>40</v>
      </c>
      <c r="H357" s="12">
        <v>7341.28</v>
      </c>
      <c r="I357" s="12">
        <v>1252.342319</v>
      </c>
      <c r="J357" s="13">
        <v>0.170589096</v>
      </c>
      <c r="K357" s="13">
        <v>0.170589096</v>
      </c>
      <c r="L357" s="12">
        <v>26.99</v>
      </c>
      <c r="M357" s="13">
        <v>0.125371788</v>
      </c>
      <c r="N357" s="13">
        <v>0.0312098762</v>
      </c>
      <c r="O357" s="13">
        <v>0.2692663949</v>
      </c>
      <c r="P357" s="13">
        <v>0.025</v>
      </c>
      <c r="Q357" s="13">
        <v>0.0079660687</v>
      </c>
      <c r="R357" s="13">
        <v>0.2539418377</v>
      </c>
      <c r="S357" s="13">
        <v>0</v>
      </c>
      <c r="T357" s="13">
        <v>0.0972397184</v>
      </c>
      <c r="U357" s="13">
        <v>0.012928966</v>
      </c>
      <c r="V357" s="13">
        <v>0</v>
      </c>
      <c r="W357" s="13">
        <v>0</v>
      </c>
      <c r="X357" s="13">
        <v>0</v>
      </c>
      <c r="Y357" s="13">
        <v>0</v>
      </c>
      <c r="Z357" s="13">
        <v>0.0064862537</v>
      </c>
    </row>
    <row r="358" s="2" customFormat="1" hidden="1" spans="1:26">
      <c r="A358" s="11" t="s">
        <v>935</v>
      </c>
      <c r="B358" s="11" t="s">
        <v>937</v>
      </c>
      <c r="C358" s="14" t="s">
        <v>906</v>
      </c>
      <c r="D358" s="14" t="s">
        <v>938</v>
      </c>
      <c r="E358" s="14" t="s">
        <v>939</v>
      </c>
      <c r="F358" s="3" t="s">
        <v>943</v>
      </c>
      <c r="G358" s="4">
        <v>38</v>
      </c>
      <c r="H358" s="12">
        <v>6423.416</v>
      </c>
      <c r="I358" s="12">
        <v>551.398952</v>
      </c>
      <c r="J358" s="13">
        <v>0.0858420117</v>
      </c>
      <c r="K358" s="13">
        <v>0.0858420117</v>
      </c>
      <c r="L358" s="12">
        <v>24.8584210526</v>
      </c>
      <c r="M358" s="13">
        <v>0.136122264</v>
      </c>
      <c r="N358" s="13">
        <v>0.0267322063</v>
      </c>
      <c r="O358" s="13">
        <v>0.2968812855</v>
      </c>
      <c r="P358" s="13">
        <v>0.0285723359</v>
      </c>
      <c r="Q358" s="13">
        <v>0.0433876594</v>
      </c>
      <c r="R358" s="13">
        <v>0.255307873</v>
      </c>
      <c r="S358" s="13">
        <v>0</v>
      </c>
      <c r="T358" s="13">
        <v>0.1002413668</v>
      </c>
      <c r="U358" s="13">
        <v>0.0140376089</v>
      </c>
      <c r="V358" s="13">
        <v>0</v>
      </c>
      <c r="W358" s="13">
        <v>0</v>
      </c>
      <c r="X358" s="13">
        <v>0</v>
      </c>
      <c r="Y358" s="13">
        <v>0</v>
      </c>
      <c r="Z358" s="13">
        <v>0.0128753877</v>
      </c>
    </row>
    <row r="359" s="2" customFormat="1" spans="1:26">
      <c r="A359" s="11" t="s">
        <v>935</v>
      </c>
      <c r="B359" s="11" t="s">
        <v>937</v>
      </c>
      <c r="C359" s="14" t="s">
        <v>906</v>
      </c>
      <c r="D359" s="14" t="s">
        <v>938</v>
      </c>
      <c r="E359" s="14" t="s">
        <v>939</v>
      </c>
      <c r="F359" s="3" t="s">
        <v>944</v>
      </c>
      <c r="G359" s="4">
        <v>51</v>
      </c>
      <c r="H359" s="12">
        <v>9360.132</v>
      </c>
      <c r="I359" s="12">
        <v>1960.322231</v>
      </c>
      <c r="J359" s="13">
        <v>0.2094331822</v>
      </c>
      <c r="K359" s="13">
        <v>0.2094331822</v>
      </c>
      <c r="L359" s="12">
        <v>26.99</v>
      </c>
      <c r="M359" s="13">
        <v>0.125371788</v>
      </c>
      <c r="N359" s="13">
        <v>0.0312947224</v>
      </c>
      <c r="O359" s="13">
        <v>0.2734346054</v>
      </c>
      <c r="P359" s="13">
        <v>0.0549005078</v>
      </c>
      <c r="Q359" s="13">
        <v>0.02957831</v>
      </c>
      <c r="R359" s="13">
        <v>0.1640788394</v>
      </c>
      <c r="S359" s="13">
        <v>0</v>
      </c>
      <c r="T359" s="13">
        <v>0.1060959396</v>
      </c>
      <c r="U359" s="13">
        <v>0.012928966</v>
      </c>
      <c r="V359" s="13">
        <v>-0.0101707967</v>
      </c>
      <c r="W359" s="13">
        <v>0</v>
      </c>
      <c r="X359" s="13">
        <v>0.0016491219</v>
      </c>
      <c r="Y359" s="13">
        <v>0</v>
      </c>
      <c r="Z359" s="13">
        <v>0.0014048136</v>
      </c>
    </row>
    <row r="360" s="2" customFormat="1" hidden="1" spans="1:26">
      <c r="A360" s="11" t="s">
        <v>935</v>
      </c>
      <c r="B360" s="11" t="s">
        <v>937</v>
      </c>
      <c r="C360" s="14" t="s">
        <v>906</v>
      </c>
      <c r="D360" s="14" t="s">
        <v>938</v>
      </c>
      <c r="E360" s="14" t="s">
        <v>939</v>
      </c>
      <c r="F360" s="3" t="s">
        <v>945</v>
      </c>
      <c r="G360" s="4">
        <v>5</v>
      </c>
      <c r="H360" s="12">
        <v>917.66</v>
      </c>
      <c r="I360" s="12">
        <v>321.426809</v>
      </c>
      <c r="J360" s="13">
        <v>0.350267865</v>
      </c>
      <c r="K360" s="13">
        <v>0.350267865</v>
      </c>
      <c r="L360" s="12">
        <v>26.99</v>
      </c>
      <c r="M360" s="13">
        <v>0.125371788</v>
      </c>
      <c r="N360" s="13">
        <v>0.0312947224</v>
      </c>
      <c r="O360" s="13">
        <v>0.2734346054</v>
      </c>
      <c r="P360" s="13">
        <v>0</v>
      </c>
      <c r="Q360" s="13">
        <v>0</v>
      </c>
      <c r="R360" s="13">
        <v>0.0866575921</v>
      </c>
      <c r="S360" s="13">
        <v>0</v>
      </c>
      <c r="T360" s="13">
        <v>0.1200444609</v>
      </c>
      <c r="U360" s="13">
        <v>0.012928966</v>
      </c>
      <c r="V360" s="13">
        <v>0</v>
      </c>
      <c r="W360" s="13">
        <v>0</v>
      </c>
      <c r="X360" s="13">
        <v>0</v>
      </c>
      <c r="Y360" s="13">
        <v>0</v>
      </c>
      <c r="Z360" s="13">
        <v>0</v>
      </c>
    </row>
    <row r="361" s="2" customFormat="1" hidden="1" spans="1:26">
      <c r="A361" s="11" t="s">
        <v>935</v>
      </c>
      <c r="B361" s="11" t="s">
        <v>937</v>
      </c>
      <c r="C361" s="14" t="s">
        <v>110</v>
      </c>
      <c r="D361" s="14" t="s">
        <v>938</v>
      </c>
      <c r="E361" s="14" t="s">
        <v>939</v>
      </c>
      <c r="F361" s="3" t="s">
        <v>936</v>
      </c>
      <c r="G361" s="4">
        <v>576.9999999997</v>
      </c>
      <c r="H361" s="12">
        <v>85212.704</v>
      </c>
      <c r="I361" s="12">
        <v>15632.631687</v>
      </c>
      <c r="J361" s="13">
        <v>0.183454238</v>
      </c>
      <c r="K361" s="13">
        <v>0.183454238</v>
      </c>
      <c r="L361" s="12">
        <v>21.7179896013</v>
      </c>
      <c r="M361" s="13">
        <v>0.1006021292</v>
      </c>
      <c r="N361" s="13">
        <v>0.0333370877</v>
      </c>
      <c r="O361" s="13">
        <v>0.3327106249</v>
      </c>
      <c r="P361" s="13">
        <v>0.0878641288</v>
      </c>
      <c r="Q361" s="13">
        <v>0.0116538284</v>
      </c>
      <c r="R361" s="13">
        <v>0.1322051424</v>
      </c>
      <c r="S361" s="13">
        <v>0</v>
      </c>
      <c r="T361" s="13">
        <v>0.1070066266</v>
      </c>
      <c r="U361" s="13">
        <v>0.0103745953</v>
      </c>
      <c r="V361" s="13">
        <v>-0.0057613428</v>
      </c>
      <c r="W361" s="13">
        <v>-0.0040652796</v>
      </c>
      <c r="X361" s="13">
        <v>0.0036229339</v>
      </c>
      <c r="Y361" s="13">
        <v>0</v>
      </c>
      <c r="Z361" s="13">
        <v>0.0069952867</v>
      </c>
    </row>
    <row r="362" s="2" customFormat="1" hidden="1" spans="1:26">
      <c r="A362" s="11" t="s">
        <v>935</v>
      </c>
      <c r="B362" s="11" t="s">
        <v>937</v>
      </c>
      <c r="C362" s="14" t="s">
        <v>110</v>
      </c>
      <c r="D362" s="14" t="s">
        <v>938</v>
      </c>
      <c r="E362" s="14" t="s">
        <v>939</v>
      </c>
      <c r="F362" s="3" t="s">
        <v>940</v>
      </c>
      <c r="G362" s="4">
        <v>10</v>
      </c>
      <c r="H362" s="12">
        <v>1495.32</v>
      </c>
      <c r="I362" s="12">
        <v>-720.312808</v>
      </c>
      <c r="J362" s="13">
        <v>-0.4817114784</v>
      </c>
      <c r="K362" s="13">
        <v>-0.4817114784</v>
      </c>
      <c r="L362" s="12">
        <v>21.99</v>
      </c>
      <c r="M362" s="13">
        <v>0.1004017467</v>
      </c>
      <c r="N362" s="13">
        <v>0.0395020664</v>
      </c>
      <c r="O362" s="13">
        <v>0.2846748522</v>
      </c>
      <c r="P362" s="13">
        <v>0</v>
      </c>
      <c r="Q362" s="13">
        <v>0.0008192273</v>
      </c>
      <c r="R362" s="13">
        <v>1.0319756981</v>
      </c>
      <c r="S362" s="13">
        <v>0</v>
      </c>
      <c r="T362" s="13">
        <v>0.0136425648</v>
      </c>
      <c r="U362" s="13">
        <v>0.0103539309</v>
      </c>
      <c r="V362" s="13">
        <v>0</v>
      </c>
      <c r="W362" s="13">
        <v>0</v>
      </c>
      <c r="X362" s="13">
        <v>0</v>
      </c>
      <c r="Y362" s="13">
        <v>0</v>
      </c>
      <c r="Z362" s="13">
        <v>0.0003413918</v>
      </c>
    </row>
    <row r="363" s="2" customFormat="1" hidden="1" spans="1:26">
      <c r="A363" s="11" t="s">
        <v>935</v>
      </c>
      <c r="B363" s="11" t="s">
        <v>937</v>
      </c>
      <c r="C363" s="14" t="s">
        <v>110</v>
      </c>
      <c r="D363" s="14" t="s">
        <v>938</v>
      </c>
      <c r="E363" s="14" t="s">
        <v>939</v>
      </c>
      <c r="F363" s="3" t="s">
        <v>941</v>
      </c>
      <c r="G363" s="4">
        <v>164</v>
      </c>
      <c r="H363" s="12">
        <v>22852.488</v>
      </c>
      <c r="I363" s="12">
        <v>3984.480409</v>
      </c>
      <c r="J363" s="13">
        <v>0.1743565256</v>
      </c>
      <c r="K363" s="13">
        <v>0.1743565256</v>
      </c>
      <c r="L363" s="12">
        <v>20.4918292682</v>
      </c>
      <c r="M363" s="13">
        <v>0.1070852181</v>
      </c>
      <c r="N363" s="13">
        <v>0.0421316117</v>
      </c>
      <c r="O363" s="13">
        <v>0.3537311123</v>
      </c>
      <c r="P363" s="13">
        <v>0.0498592538</v>
      </c>
      <c r="Q363" s="13">
        <v>0.0080396863</v>
      </c>
      <c r="R363" s="13">
        <v>0.1387229167</v>
      </c>
      <c r="S363" s="13">
        <v>0</v>
      </c>
      <c r="T363" s="13">
        <v>0.1094993245</v>
      </c>
      <c r="U363" s="13">
        <v>0.0110431639</v>
      </c>
      <c r="V363" s="13">
        <v>0.0001934143</v>
      </c>
      <c r="W363" s="13">
        <v>0</v>
      </c>
      <c r="X363" s="13">
        <v>0</v>
      </c>
      <c r="Y363" s="13">
        <v>0</v>
      </c>
      <c r="Z363" s="13">
        <v>0.0053377722</v>
      </c>
    </row>
    <row r="364" s="2" customFormat="1" hidden="1" spans="1:26">
      <c r="A364" s="11" t="s">
        <v>935</v>
      </c>
      <c r="B364" s="11" t="s">
        <v>937</v>
      </c>
      <c r="C364" s="14" t="s">
        <v>110</v>
      </c>
      <c r="D364" s="14" t="s">
        <v>938</v>
      </c>
      <c r="E364" s="14" t="s">
        <v>939</v>
      </c>
      <c r="F364" s="3" t="s">
        <v>942</v>
      </c>
      <c r="G364" s="4">
        <v>180.9999999997</v>
      </c>
      <c r="H364" s="12">
        <v>25356.792</v>
      </c>
      <c r="I364" s="12">
        <v>3989.557367</v>
      </c>
      <c r="J364" s="13">
        <v>0.1573368337</v>
      </c>
      <c r="K364" s="13">
        <v>0.1573368337</v>
      </c>
      <c r="L364" s="12">
        <v>20.601878453</v>
      </c>
      <c r="M364" s="13">
        <v>0.1042062508</v>
      </c>
      <c r="N364" s="13">
        <v>0.0202237367</v>
      </c>
      <c r="O364" s="13">
        <v>0.3423868445</v>
      </c>
      <c r="P364" s="13">
        <v>0.1536173818</v>
      </c>
      <c r="Q364" s="13">
        <v>0.0151556496</v>
      </c>
      <c r="R364" s="13">
        <v>0.0952168937</v>
      </c>
      <c r="S364" s="13">
        <v>0</v>
      </c>
      <c r="T364" s="13">
        <v>0.1041019699</v>
      </c>
      <c r="U364" s="13">
        <v>0.0107462703</v>
      </c>
      <c r="V364" s="13">
        <v>-0.002408191</v>
      </c>
      <c r="W364" s="13">
        <v>-0.007069886</v>
      </c>
      <c r="X364" s="13">
        <v>0</v>
      </c>
      <c r="Y364" s="13">
        <v>0</v>
      </c>
      <c r="Z364" s="13">
        <v>0.0064862457</v>
      </c>
    </row>
    <row r="365" s="2" customFormat="1" hidden="1" spans="1:26">
      <c r="A365" s="11" t="s">
        <v>935</v>
      </c>
      <c r="B365" s="11" t="s">
        <v>937</v>
      </c>
      <c r="C365" s="14" t="s">
        <v>110</v>
      </c>
      <c r="D365" s="14" t="s">
        <v>938</v>
      </c>
      <c r="E365" s="14" t="s">
        <v>939</v>
      </c>
      <c r="F365" s="3" t="s">
        <v>943</v>
      </c>
      <c r="G365" s="4">
        <v>143</v>
      </c>
      <c r="H365" s="12">
        <v>22620.676</v>
      </c>
      <c r="I365" s="12">
        <v>4809.318967</v>
      </c>
      <c r="J365" s="13">
        <v>0.2126072168</v>
      </c>
      <c r="K365" s="13">
        <v>0.2126072168</v>
      </c>
      <c r="L365" s="12">
        <v>23.2627272727</v>
      </c>
      <c r="M365" s="13">
        <v>0.0949086659</v>
      </c>
      <c r="N365" s="13">
        <v>0.0371184034</v>
      </c>
      <c r="O365" s="13">
        <v>0.3172456915</v>
      </c>
      <c r="P365" s="13">
        <v>0.0798720604</v>
      </c>
      <c r="Q365" s="13">
        <v>0.0117179417</v>
      </c>
      <c r="R365" s="13">
        <v>0.1137170459</v>
      </c>
      <c r="S365" s="13">
        <v>0</v>
      </c>
      <c r="T365" s="13">
        <v>0.1091544744</v>
      </c>
      <c r="U365" s="13">
        <v>0.0097874569</v>
      </c>
      <c r="V365" s="13">
        <v>-0.0030181237</v>
      </c>
      <c r="W365" s="13">
        <v>-0.0055395973</v>
      </c>
      <c r="X365" s="13">
        <v>0.0095533837</v>
      </c>
      <c r="Y365" s="13">
        <v>0</v>
      </c>
      <c r="Z365" s="13">
        <v>0.01287538</v>
      </c>
    </row>
    <row r="366" s="2" customFormat="1" spans="1:26">
      <c r="A366" s="11" t="s">
        <v>935</v>
      </c>
      <c r="B366" s="11" t="s">
        <v>937</v>
      </c>
      <c r="C366" s="14" t="s">
        <v>110</v>
      </c>
      <c r="D366" s="14" t="s">
        <v>938</v>
      </c>
      <c r="E366" s="14" t="s">
        <v>939</v>
      </c>
      <c r="F366" s="3" t="s">
        <v>944</v>
      </c>
      <c r="G366" s="4">
        <v>78</v>
      </c>
      <c r="H366" s="12">
        <v>12724.296</v>
      </c>
      <c r="I366" s="12">
        <v>3558.074538</v>
      </c>
      <c r="J366" s="13">
        <v>0.2796284005</v>
      </c>
      <c r="K366" s="13">
        <v>0.2796284005</v>
      </c>
      <c r="L366" s="12">
        <v>23.99</v>
      </c>
      <c r="M366" s="13">
        <v>0.092031447</v>
      </c>
      <c r="N366" s="13">
        <v>0.0361911272</v>
      </c>
      <c r="O366" s="13">
        <v>0.3088840435</v>
      </c>
      <c r="P366" s="13">
        <v>0.0507476405</v>
      </c>
      <c r="Q366" s="13">
        <v>0.0124750301</v>
      </c>
      <c r="R366" s="13">
        <v>0.1187199668</v>
      </c>
      <c r="S366" s="13">
        <v>0</v>
      </c>
      <c r="T366" s="13">
        <v>0.1153044537</v>
      </c>
      <c r="U366" s="13">
        <v>0.0094907436</v>
      </c>
      <c r="V366" s="13">
        <v>-0.028765725</v>
      </c>
      <c r="W366" s="13">
        <v>-0.0032877583</v>
      </c>
      <c r="X366" s="13">
        <v>0.0071758174</v>
      </c>
      <c r="Y366" s="13">
        <v>0</v>
      </c>
      <c r="Z366" s="13">
        <v>0.0014048124</v>
      </c>
    </row>
    <row r="367" s="2" customFormat="1" hidden="1" spans="1:26">
      <c r="A367" s="11" t="s">
        <v>935</v>
      </c>
      <c r="B367" s="11" t="s">
        <v>937</v>
      </c>
      <c r="C367" s="14" t="s">
        <v>110</v>
      </c>
      <c r="D367" s="14" t="s">
        <v>938</v>
      </c>
      <c r="E367" s="14" t="s">
        <v>939</v>
      </c>
      <c r="F367" s="3" t="s">
        <v>945</v>
      </c>
      <c r="G367" s="4">
        <v>1</v>
      </c>
      <c r="H367" s="12">
        <v>163.132</v>
      </c>
      <c r="I367" s="12">
        <v>11.513214</v>
      </c>
      <c r="J367" s="13">
        <v>0.0705760611</v>
      </c>
      <c r="K367" s="13">
        <v>0.0705760611</v>
      </c>
      <c r="L367" s="12">
        <v>23.99</v>
      </c>
      <c r="M367" s="13">
        <v>0.0920314469</v>
      </c>
      <c r="N367" s="13">
        <v>0.0361911274</v>
      </c>
      <c r="O367" s="13">
        <v>0.3272196748</v>
      </c>
      <c r="P367" s="13">
        <v>0</v>
      </c>
      <c r="Q367" s="13">
        <v>0</v>
      </c>
      <c r="R367" s="13">
        <v>0.3364181337</v>
      </c>
      <c r="S367" s="13">
        <v>0</v>
      </c>
      <c r="T367" s="13">
        <v>0.1200500208</v>
      </c>
      <c r="U367" s="13">
        <v>0.0094907436</v>
      </c>
      <c r="V367" s="13">
        <v>0</v>
      </c>
      <c r="W367" s="13">
        <v>0</v>
      </c>
      <c r="X367" s="13">
        <v>0.0080227913</v>
      </c>
      <c r="Y367" s="13">
        <v>0</v>
      </c>
      <c r="Z367" s="13">
        <v>0</v>
      </c>
    </row>
    <row r="368" s="2" customFormat="1" hidden="1" spans="1:26">
      <c r="A368" s="11" t="s">
        <v>935</v>
      </c>
      <c r="B368" s="11" t="s">
        <v>937</v>
      </c>
      <c r="C368" s="14" t="s">
        <v>114</v>
      </c>
      <c r="D368" s="14" t="s">
        <v>938</v>
      </c>
      <c r="E368" s="14" t="s">
        <v>939</v>
      </c>
      <c r="F368" s="3" t="s">
        <v>936</v>
      </c>
      <c r="G368" s="4">
        <v>73</v>
      </c>
      <c r="H368" s="12">
        <v>18191.904</v>
      </c>
      <c r="I368" s="12">
        <v>-2055.946049</v>
      </c>
      <c r="J368" s="13">
        <v>-0.1130143413</v>
      </c>
      <c r="K368" s="13">
        <v>-0.1130143413</v>
      </c>
      <c r="L368" s="12">
        <v>36.6476712328</v>
      </c>
      <c r="M368" s="13">
        <v>0.104211944</v>
      </c>
      <c r="N368" s="13">
        <v>0.072734257</v>
      </c>
      <c r="O368" s="13">
        <v>0.3094218175</v>
      </c>
      <c r="P368" s="13">
        <v>0.1136030621</v>
      </c>
      <c r="Q368" s="13">
        <v>0.0707387072</v>
      </c>
      <c r="R368" s="13">
        <v>0.3278676651</v>
      </c>
      <c r="S368" s="13">
        <v>0</v>
      </c>
      <c r="T368" s="13">
        <v>0.10567492</v>
      </c>
      <c r="U368" s="13">
        <v>0.0107468566</v>
      </c>
      <c r="V368" s="13">
        <v>-0.0178224335</v>
      </c>
      <c r="W368" s="13">
        <v>0</v>
      </c>
      <c r="X368" s="13">
        <v>0.009509285</v>
      </c>
      <c r="Y368" s="13">
        <v>0</v>
      </c>
      <c r="Z368" s="13">
        <v>0.0063282599</v>
      </c>
    </row>
    <row r="369" s="2" customFormat="1" hidden="1" spans="1:26">
      <c r="A369" s="11" t="s">
        <v>935</v>
      </c>
      <c r="B369" s="11" t="s">
        <v>937</v>
      </c>
      <c r="C369" s="14" t="s">
        <v>114</v>
      </c>
      <c r="D369" s="14" t="s">
        <v>938</v>
      </c>
      <c r="E369" s="14" t="s">
        <v>939</v>
      </c>
      <c r="F369" s="3" t="s">
        <v>941</v>
      </c>
      <c r="G369" s="4">
        <v>0</v>
      </c>
      <c r="H369" s="12">
        <v>0</v>
      </c>
      <c r="I369" s="12">
        <v>-33.932</v>
      </c>
      <c r="J369" s="13"/>
      <c r="K369" s="13"/>
      <c r="L369" s="12"/>
      <c r="M369" s="13"/>
      <c r="N369" s="13"/>
      <c r="O369" s="13"/>
      <c r="P369" s="13"/>
      <c r="Q369" s="13"/>
      <c r="R369" s="13"/>
      <c r="S369" s="13"/>
      <c r="T369" s="13"/>
      <c r="U369" s="13"/>
      <c r="V369" s="13"/>
      <c r="W369" s="13"/>
      <c r="X369" s="13"/>
      <c r="Y369" s="13"/>
      <c r="Z369" s="13"/>
    </row>
    <row r="370" s="2" customFormat="1" hidden="1" spans="1:26">
      <c r="A370" s="11" t="s">
        <v>935</v>
      </c>
      <c r="B370" s="11" t="s">
        <v>937</v>
      </c>
      <c r="C370" s="14" t="s">
        <v>114</v>
      </c>
      <c r="D370" s="14" t="s">
        <v>938</v>
      </c>
      <c r="E370" s="14" t="s">
        <v>939</v>
      </c>
      <c r="F370" s="3" t="s">
        <v>942</v>
      </c>
      <c r="G370" s="4">
        <v>21</v>
      </c>
      <c r="H370" s="12">
        <v>4364.172</v>
      </c>
      <c r="I370" s="12">
        <v>-811.000647</v>
      </c>
      <c r="J370" s="13">
        <v>-0.1858315041</v>
      </c>
      <c r="K370" s="13">
        <v>-0.1858315041</v>
      </c>
      <c r="L370" s="12">
        <v>30.5614285714</v>
      </c>
      <c r="M370" s="13">
        <v>0.1224098633</v>
      </c>
      <c r="N370" s="13">
        <v>0.0871335971</v>
      </c>
      <c r="O370" s="13">
        <v>0.3878838872</v>
      </c>
      <c r="P370" s="13">
        <v>0.0404961124</v>
      </c>
      <c r="Q370" s="13">
        <v>0.0368079363</v>
      </c>
      <c r="R370" s="13">
        <v>0.3758464389</v>
      </c>
      <c r="S370" s="13">
        <v>0</v>
      </c>
      <c r="T370" s="13">
        <v>0.11614391</v>
      </c>
      <c r="U370" s="13">
        <v>0.0126235196</v>
      </c>
      <c r="V370" s="13">
        <v>0</v>
      </c>
      <c r="W370" s="13">
        <v>0</v>
      </c>
      <c r="X370" s="13">
        <v>0</v>
      </c>
      <c r="Y370" s="13">
        <v>0</v>
      </c>
      <c r="Z370" s="13">
        <v>0.006486239</v>
      </c>
    </row>
    <row r="371" s="2" customFormat="1" hidden="1" spans="1:26">
      <c r="A371" s="11" t="s">
        <v>935</v>
      </c>
      <c r="B371" s="11" t="s">
        <v>937</v>
      </c>
      <c r="C371" s="14" t="s">
        <v>114</v>
      </c>
      <c r="D371" s="14" t="s">
        <v>938</v>
      </c>
      <c r="E371" s="14" t="s">
        <v>939</v>
      </c>
      <c r="F371" s="3" t="s">
        <v>943</v>
      </c>
      <c r="G371" s="4">
        <v>22</v>
      </c>
      <c r="H371" s="12">
        <v>5941.704</v>
      </c>
      <c r="I371" s="12">
        <v>-1061.906846</v>
      </c>
      <c r="J371" s="13">
        <v>-0.1787209268</v>
      </c>
      <c r="K371" s="13">
        <v>-0.1787209268</v>
      </c>
      <c r="L371" s="12">
        <v>39.7172727272</v>
      </c>
      <c r="M371" s="13">
        <v>0.0951839058</v>
      </c>
      <c r="N371" s="13">
        <v>0.0671394731</v>
      </c>
      <c r="O371" s="13">
        <v>0.2857698734</v>
      </c>
      <c r="P371" s="13">
        <v>0.1807777701</v>
      </c>
      <c r="Q371" s="13">
        <v>0.0907935987</v>
      </c>
      <c r="R371" s="13">
        <v>0.3219535065</v>
      </c>
      <c r="S371" s="13">
        <v>0</v>
      </c>
      <c r="T371" s="13">
        <v>0.1021195266</v>
      </c>
      <c r="U371" s="13">
        <v>0.0098158396</v>
      </c>
      <c r="V371" s="13">
        <v>0</v>
      </c>
      <c r="W371" s="13">
        <v>0</v>
      </c>
      <c r="X371" s="13">
        <v>0.0122920569</v>
      </c>
      <c r="Y371" s="13">
        <v>0</v>
      </c>
      <c r="Z371" s="13">
        <v>0.0128753756</v>
      </c>
    </row>
    <row r="372" s="2" customFormat="1" spans="1:26">
      <c r="A372" s="11" t="s">
        <v>935</v>
      </c>
      <c r="B372" s="11" t="s">
        <v>937</v>
      </c>
      <c r="C372" s="14" t="s">
        <v>114</v>
      </c>
      <c r="D372" s="14" t="s">
        <v>938</v>
      </c>
      <c r="E372" s="14" t="s">
        <v>939</v>
      </c>
      <c r="F372" s="3" t="s">
        <v>944</v>
      </c>
      <c r="G372" s="4">
        <v>28</v>
      </c>
      <c r="H372" s="12">
        <v>7342.164</v>
      </c>
      <c r="I372" s="12">
        <v>-324.548574</v>
      </c>
      <c r="J372" s="13">
        <v>-0.0442033948</v>
      </c>
      <c r="K372" s="13">
        <v>-0.0442033948</v>
      </c>
      <c r="L372" s="12">
        <v>38.5617857142</v>
      </c>
      <c r="M372" s="13">
        <v>0.1011925045</v>
      </c>
      <c r="N372" s="13">
        <v>0.069151278</v>
      </c>
      <c r="O372" s="13">
        <v>0.2838209552</v>
      </c>
      <c r="P372" s="13">
        <v>0.1111111111</v>
      </c>
      <c r="Q372" s="13">
        <v>0.0799174353</v>
      </c>
      <c r="R372" s="13">
        <v>0.3169483773</v>
      </c>
      <c r="S372" s="13">
        <v>0</v>
      </c>
      <c r="T372" s="13">
        <v>0.1012660572</v>
      </c>
      <c r="U372" s="13">
        <v>0.0104354759</v>
      </c>
      <c r="V372" s="13">
        <v>-0.0441591879</v>
      </c>
      <c r="W372" s="13">
        <v>0</v>
      </c>
      <c r="X372" s="13">
        <v>0.0131145753</v>
      </c>
      <c r="Y372" s="13">
        <v>0</v>
      </c>
      <c r="Z372" s="13">
        <v>0.0014048125</v>
      </c>
    </row>
    <row r="373" s="2" customFormat="1" hidden="1" spans="1:26">
      <c r="A373" s="11" t="s">
        <v>935</v>
      </c>
      <c r="B373" s="11" t="s">
        <v>937</v>
      </c>
      <c r="C373" s="14" t="s">
        <v>114</v>
      </c>
      <c r="D373" s="14" t="s">
        <v>938</v>
      </c>
      <c r="E373" s="14" t="s">
        <v>939</v>
      </c>
      <c r="F373" s="3" t="s">
        <v>945</v>
      </c>
      <c r="G373" s="4">
        <v>2</v>
      </c>
      <c r="H373" s="12">
        <v>543.864</v>
      </c>
      <c r="I373" s="12">
        <v>175.442018</v>
      </c>
      <c r="J373" s="13">
        <v>0.3225843556</v>
      </c>
      <c r="K373" s="13">
        <v>0.3225843556</v>
      </c>
      <c r="L373" s="12">
        <v>39.99</v>
      </c>
      <c r="M373" s="13">
        <v>0.0975784865</v>
      </c>
      <c r="N373" s="13">
        <v>0.0666815895</v>
      </c>
      <c r="O373" s="13">
        <v>0.2838209552</v>
      </c>
      <c r="P373" s="13">
        <v>0</v>
      </c>
      <c r="Q373" s="13">
        <v>0</v>
      </c>
      <c r="R373" s="13">
        <v>0.0924995623</v>
      </c>
      <c r="S373" s="13">
        <v>0</v>
      </c>
      <c r="T373" s="13">
        <v>0.1200300075</v>
      </c>
      <c r="U373" s="13">
        <v>0.0100627804</v>
      </c>
      <c r="V373" s="13">
        <v>0</v>
      </c>
      <c r="W373" s="13">
        <v>0</v>
      </c>
      <c r="X373" s="13">
        <v>0.0067422627</v>
      </c>
      <c r="Y373" s="13">
        <v>0</v>
      </c>
      <c r="Z373" s="13">
        <v>0</v>
      </c>
    </row>
    <row r="374" s="2" customFormat="1" hidden="1" spans="1:26">
      <c r="A374" s="11" t="s">
        <v>935</v>
      </c>
      <c r="B374" s="11" t="s">
        <v>937</v>
      </c>
      <c r="C374" s="14" t="s">
        <v>119</v>
      </c>
      <c r="D374" s="14" t="s">
        <v>938</v>
      </c>
      <c r="E374" s="14" t="s">
        <v>939</v>
      </c>
      <c r="F374" s="3" t="s">
        <v>936</v>
      </c>
      <c r="G374" s="4">
        <v>304.9999999998</v>
      </c>
      <c r="H374" s="12">
        <v>52684.564</v>
      </c>
      <c r="I374" s="12">
        <v>9980.598696</v>
      </c>
      <c r="J374" s="13">
        <v>0.1894406622</v>
      </c>
      <c r="K374" s="13">
        <v>0.1894406622</v>
      </c>
      <c r="L374" s="12">
        <v>25.4023934426</v>
      </c>
      <c r="M374" s="13">
        <v>0.1316857326</v>
      </c>
      <c r="N374" s="13">
        <v>0.0308752664</v>
      </c>
      <c r="O374" s="13">
        <v>0.2914827954</v>
      </c>
      <c r="P374" s="13">
        <v>0.0348308472</v>
      </c>
      <c r="Q374" s="13">
        <v>0.0131141177</v>
      </c>
      <c r="R374" s="13">
        <v>0.1779235586</v>
      </c>
      <c r="S374" s="13">
        <v>0</v>
      </c>
      <c r="T374" s="13">
        <v>0.1102748805</v>
      </c>
      <c r="U374" s="13">
        <v>0.0135800947</v>
      </c>
      <c r="V374" s="13">
        <v>0</v>
      </c>
      <c r="W374" s="13">
        <v>-0.0025893504</v>
      </c>
      <c r="X374" s="13">
        <v>0.0011719561</v>
      </c>
      <c r="Y374" s="13">
        <v>0</v>
      </c>
      <c r="Z374" s="13">
        <v>0.0082094384</v>
      </c>
    </row>
    <row r="375" s="2" customFormat="1" hidden="1" spans="1:26">
      <c r="A375" s="11" t="s">
        <v>935</v>
      </c>
      <c r="B375" s="11" t="s">
        <v>937</v>
      </c>
      <c r="C375" s="14" t="s">
        <v>119</v>
      </c>
      <c r="D375" s="14" t="s">
        <v>938</v>
      </c>
      <c r="E375" s="14" t="s">
        <v>939</v>
      </c>
      <c r="F375" s="3" t="s">
        <v>941</v>
      </c>
      <c r="G375" s="4">
        <v>1</v>
      </c>
      <c r="H375" s="12">
        <v>176.732</v>
      </c>
      <c r="I375" s="12">
        <v>54.846539</v>
      </c>
      <c r="J375" s="13">
        <v>0.3103373412</v>
      </c>
      <c r="K375" s="13">
        <v>0.3103373412</v>
      </c>
      <c r="L375" s="12">
        <v>25.99</v>
      </c>
      <c r="M375" s="13">
        <v>0.1287084568</v>
      </c>
      <c r="N375" s="13">
        <v>0.0367550698</v>
      </c>
      <c r="O375" s="13">
        <v>0.2654867256</v>
      </c>
      <c r="P375" s="13">
        <v>0</v>
      </c>
      <c r="Q375" s="13">
        <v>0.001791164</v>
      </c>
      <c r="R375" s="13">
        <v>0.1182640155</v>
      </c>
      <c r="S375" s="13">
        <v>0</v>
      </c>
      <c r="T375" s="13">
        <v>0.1200461716</v>
      </c>
      <c r="U375" s="13">
        <v>0.0132730631</v>
      </c>
      <c r="V375" s="13">
        <v>0</v>
      </c>
      <c r="W375" s="13">
        <v>0</v>
      </c>
      <c r="X375" s="13">
        <v>0</v>
      </c>
      <c r="Y375" s="13">
        <v>0</v>
      </c>
      <c r="Z375" s="13">
        <v>0.0053379919</v>
      </c>
    </row>
    <row r="376" s="2" customFormat="1" hidden="1" spans="1:26">
      <c r="A376" s="11" t="s">
        <v>935</v>
      </c>
      <c r="B376" s="11" t="s">
        <v>937</v>
      </c>
      <c r="C376" s="14" t="s">
        <v>119</v>
      </c>
      <c r="D376" s="14" t="s">
        <v>938</v>
      </c>
      <c r="E376" s="14" t="s">
        <v>939</v>
      </c>
      <c r="F376" s="3" t="s">
        <v>942</v>
      </c>
      <c r="G376" s="4">
        <v>123</v>
      </c>
      <c r="H376" s="12">
        <v>21738.036</v>
      </c>
      <c r="I376" s="12">
        <v>3894.792858</v>
      </c>
      <c r="J376" s="13">
        <v>0.1791694915</v>
      </c>
      <c r="K376" s="13">
        <v>0.1791694915</v>
      </c>
      <c r="L376" s="12">
        <v>25.99</v>
      </c>
      <c r="M376" s="13">
        <v>0.1287084568</v>
      </c>
      <c r="N376" s="13">
        <v>0.0367550698</v>
      </c>
      <c r="O376" s="13">
        <v>0.2842306453</v>
      </c>
      <c r="P376" s="13">
        <v>0.0243902439</v>
      </c>
      <c r="Q376" s="13">
        <v>0.0032239407</v>
      </c>
      <c r="R376" s="13">
        <v>0.2214001471</v>
      </c>
      <c r="S376" s="13">
        <v>0</v>
      </c>
      <c r="T376" s="13">
        <v>0.1023626973</v>
      </c>
      <c r="U376" s="13">
        <v>0.0132730631</v>
      </c>
      <c r="V376" s="13">
        <v>0</v>
      </c>
      <c r="W376" s="13">
        <v>0</v>
      </c>
      <c r="X376" s="13">
        <v>0</v>
      </c>
      <c r="Y376" s="13">
        <v>0</v>
      </c>
      <c r="Z376" s="13">
        <v>0.006486244</v>
      </c>
    </row>
    <row r="377" s="2" customFormat="1" hidden="1" spans="1:26">
      <c r="A377" s="11" t="s">
        <v>935</v>
      </c>
      <c r="B377" s="11" t="s">
        <v>937</v>
      </c>
      <c r="C377" s="14" t="s">
        <v>119</v>
      </c>
      <c r="D377" s="14" t="s">
        <v>938</v>
      </c>
      <c r="E377" s="14" t="s">
        <v>939</v>
      </c>
      <c r="F377" s="3" t="s">
        <v>943</v>
      </c>
      <c r="G377" s="4">
        <v>130.9999999998</v>
      </c>
      <c r="H377" s="12">
        <v>21589.932</v>
      </c>
      <c r="I377" s="12">
        <v>4260.891181</v>
      </c>
      <c r="J377" s="13">
        <v>0.1973554701</v>
      </c>
      <c r="K377" s="13">
        <v>0.1973554701</v>
      </c>
      <c r="L377" s="12">
        <v>24.2365648855</v>
      </c>
      <c r="M377" s="13">
        <v>0.1380200867</v>
      </c>
      <c r="N377" s="13">
        <v>0.0275280289</v>
      </c>
      <c r="O377" s="13">
        <v>0.3054529302</v>
      </c>
      <c r="P377" s="13">
        <v>0.0368347616</v>
      </c>
      <c r="Q377" s="13">
        <v>0.0189215734</v>
      </c>
      <c r="R377" s="13">
        <v>0.1343291454</v>
      </c>
      <c r="S377" s="13">
        <v>0</v>
      </c>
      <c r="T377" s="13">
        <v>0.1162617835</v>
      </c>
      <c r="U377" s="13">
        <v>0.014233325</v>
      </c>
      <c r="V377" s="13">
        <v>0</v>
      </c>
      <c r="W377" s="13">
        <v>-0.0025274521</v>
      </c>
      <c r="X377" s="13">
        <v>0.0007149629</v>
      </c>
      <c r="Y377" s="13">
        <v>0</v>
      </c>
      <c r="Z377" s="13">
        <v>0.0128753838</v>
      </c>
    </row>
    <row r="378" s="2" customFormat="1" spans="1:26">
      <c r="A378" s="11" t="s">
        <v>935</v>
      </c>
      <c r="B378" s="11" t="s">
        <v>937</v>
      </c>
      <c r="C378" s="14" t="s">
        <v>119</v>
      </c>
      <c r="D378" s="14" t="s">
        <v>938</v>
      </c>
      <c r="E378" s="14" t="s">
        <v>939</v>
      </c>
      <c r="F378" s="3" t="s">
        <v>944</v>
      </c>
      <c r="G378" s="4">
        <v>49</v>
      </c>
      <c r="H378" s="12">
        <v>8962.332</v>
      </c>
      <c r="I378" s="12">
        <v>1660.314427</v>
      </c>
      <c r="J378" s="13">
        <v>0.1852547335</v>
      </c>
      <c r="K378" s="13">
        <v>0.1852547335</v>
      </c>
      <c r="L378" s="12">
        <v>26.897755102</v>
      </c>
      <c r="M378" s="13">
        <v>0.1243647576</v>
      </c>
      <c r="N378" s="13">
        <v>0.0248044809</v>
      </c>
      <c r="O378" s="13">
        <v>0.2773465656</v>
      </c>
      <c r="P378" s="13">
        <v>0.0568593084</v>
      </c>
      <c r="Q378" s="13">
        <v>0.0236542672</v>
      </c>
      <c r="R378" s="13">
        <v>0.1829839145</v>
      </c>
      <c r="S378" s="13">
        <v>0</v>
      </c>
      <c r="T378" s="13">
        <v>0.1146139196</v>
      </c>
      <c r="U378" s="13">
        <v>0.012825119</v>
      </c>
      <c r="V378" s="13">
        <v>0</v>
      </c>
      <c r="W378" s="13">
        <v>-0.0091328105</v>
      </c>
      <c r="X378" s="13">
        <v>0.0050209281</v>
      </c>
      <c r="Y378" s="13">
        <v>0</v>
      </c>
      <c r="Z378" s="13">
        <v>0.0014048156</v>
      </c>
    </row>
    <row r="379" s="2" customFormat="1" hidden="1" spans="1:26">
      <c r="A379" s="11" t="s">
        <v>935</v>
      </c>
      <c r="B379" s="11" t="s">
        <v>937</v>
      </c>
      <c r="C379" s="14" t="s">
        <v>119</v>
      </c>
      <c r="D379" s="14" t="s">
        <v>938</v>
      </c>
      <c r="E379" s="14" t="s">
        <v>939</v>
      </c>
      <c r="F379" s="3" t="s">
        <v>945</v>
      </c>
      <c r="G379" s="4">
        <v>1</v>
      </c>
      <c r="H379" s="12">
        <v>217.532</v>
      </c>
      <c r="I379" s="12">
        <v>109.753691</v>
      </c>
      <c r="J379" s="13">
        <v>0.50454044</v>
      </c>
      <c r="K379" s="13">
        <v>0.50454044</v>
      </c>
      <c r="L379" s="12">
        <v>31.99</v>
      </c>
      <c r="M379" s="13">
        <v>0.1045680773</v>
      </c>
      <c r="N379" s="13">
        <v>0.0208560441</v>
      </c>
      <c r="O379" s="13">
        <v>0.2331978743</v>
      </c>
      <c r="P379" s="13">
        <v>0</v>
      </c>
      <c r="Q379" s="13">
        <v>0</v>
      </c>
      <c r="R379" s="13">
        <v>0</v>
      </c>
      <c r="S379" s="13">
        <v>0</v>
      </c>
      <c r="T379" s="13">
        <v>0.1200375117</v>
      </c>
      <c r="U379" s="13">
        <v>0.0107835858</v>
      </c>
      <c r="V379" s="13">
        <v>0</v>
      </c>
      <c r="W379" s="13">
        <v>0</v>
      </c>
      <c r="X379" s="13">
        <v>0.0060164665</v>
      </c>
      <c r="Y379" s="13">
        <v>0</v>
      </c>
      <c r="Z379" s="13">
        <v>0</v>
      </c>
    </row>
    <row r="380" s="2" customFormat="1" hidden="1" spans="1:26">
      <c r="A380" s="11" t="s">
        <v>935</v>
      </c>
      <c r="B380" s="11" t="s">
        <v>937</v>
      </c>
      <c r="C380" s="14" t="s">
        <v>123</v>
      </c>
      <c r="D380" s="14" t="s">
        <v>938</v>
      </c>
      <c r="E380" s="14" t="s">
        <v>939</v>
      </c>
      <c r="F380" s="3" t="s">
        <v>936</v>
      </c>
      <c r="G380" s="4">
        <v>103</v>
      </c>
      <c r="H380" s="12">
        <v>16144.628</v>
      </c>
      <c r="I380" s="12">
        <v>-4052.70692</v>
      </c>
      <c r="J380" s="13">
        <v>-0.2510251038</v>
      </c>
      <c r="K380" s="13">
        <v>-0.2510251038</v>
      </c>
      <c r="L380" s="12">
        <v>23.0505825242</v>
      </c>
      <c r="M380" s="13">
        <v>0.1702559788</v>
      </c>
      <c r="N380" s="13">
        <v>0.0471602909</v>
      </c>
      <c r="O380" s="13">
        <v>0.3288209551</v>
      </c>
      <c r="P380" s="13">
        <v>0.1162828898</v>
      </c>
      <c r="Q380" s="13">
        <v>0.0373331931</v>
      </c>
      <c r="R380" s="13">
        <v>0.4339898911</v>
      </c>
      <c r="S380" s="13">
        <v>0</v>
      </c>
      <c r="T380" s="13">
        <v>0.1045863676</v>
      </c>
      <c r="U380" s="13">
        <v>0.0175576514</v>
      </c>
      <c r="V380" s="13">
        <v>-0.006894925</v>
      </c>
      <c r="W380" s="13">
        <v>-0.0084069349</v>
      </c>
      <c r="X380" s="13">
        <v>0.0019122148</v>
      </c>
      <c r="Y380" s="13">
        <v>0</v>
      </c>
      <c r="Z380" s="13">
        <v>0.0084275305</v>
      </c>
    </row>
    <row r="381" s="2" customFormat="1" hidden="1" spans="1:26">
      <c r="A381" s="11" t="s">
        <v>935</v>
      </c>
      <c r="B381" s="11" t="s">
        <v>937</v>
      </c>
      <c r="C381" s="14" t="s">
        <v>123</v>
      </c>
      <c r="D381" s="14" t="s">
        <v>938</v>
      </c>
      <c r="E381" s="14" t="s">
        <v>939</v>
      </c>
      <c r="F381" s="3" t="s">
        <v>940</v>
      </c>
      <c r="G381" s="4">
        <v>2</v>
      </c>
      <c r="H381" s="12">
        <v>326.264</v>
      </c>
      <c r="I381" s="12">
        <v>-264.260792</v>
      </c>
      <c r="J381" s="13">
        <v>-0.8099600078</v>
      </c>
      <c r="K381" s="13">
        <v>-0.8099600078</v>
      </c>
      <c r="L381" s="12">
        <v>23.99</v>
      </c>
      <c r="M381" s="13">
        <v>0.1668283598</v>
      </c>
      <c r="N381" s="13">
        <v>0.0521502586</v>
      </c>
      <c r="O381" s="13">
        <v>0.307211338</v>
      </c>
      <c r="P381" s="13">
        <v>0</v>
      </c>
      <c r="Q381" s="13">
        <v>0.0008192537</v>
      </c>
      <c r="R381" s="13">
        <v>1.2529000625</v>
      </c>
      <c r="S381" s="13">
        <v>0</v>
      </c>
      <c r="T381" s="13">
        <v>0.0125052105</v>
      </c>
      <c r="U381" s="13">
        <v>0.0172041782</v>
      </c>
      <c r="V381" s="13">
        <v>0</v>
      </c>
      <c r="W381" s="13">
        <v>0</v>
      </c>
      <c r="X381" s="13">
        <v>0</v>
      </c>
      <c r="Y381" s="13">
        <v>0</v>
      </c>
      <c r="Z381" s="13">
        <v>0.0003413462</v>
      </c>
    </row>
    <row r="382" s="2" customFormat="1" hidden="1" spans="1:26">
      <c r="A382" s="11" t="s">
        <v>935</v>
      </c>
      <c r="B382" s="11" t="s">
        <v>937</v>
      </c>
      <c r="C382" s="14" t="s">
        <v>123</v>
      </c>
      <c r="D382" s="14" t="s">
        <v>938</v>
      </c>
      <c r="E382" s="14" t="s">
        <v>939</v>
      </c>
      <c r="F382" s="3" t="s">
        <v>941</v>
      </c>
      <c r="G382" s="4">
        <v>59</v>
      </c>
      <c r="H382" s="12">
        <v>8639.332</v>
      </c>
      <c r="I382" s="12">
        <v>-2390.59575</v>
      </c>
      <c r="J382" s="13">
        <v>-0.2767107167</v>
      </c>
      <c r="K382" s="13">
        <v>-0.2767107167</v>
      </c>
      <c r="L382" s="12">
        <v>21.5337288135</v>
      </c>
      <c r="M382" s="13">
        <v>0.1827077084</v>
      </c>
      <c r="N382" s="13">
        <v>0.0571141224</v>
      </c>
      <c r="O382" s="13">
        <v>0.3514864343</v>
      </c>
      <c r="P382" s="13">
        <v>0.0530582688</v>
      </c>
      <c r="Q382" s="13">
        <v>0.013754346</v>
      </c>
      <c r="R382" s="13">
        <v>0.4868245064</v>
      </c>
      <c r="S382" s="13">
        <v>0</v>
      </c>
      <c r="T382" s="13">
        <v>0.1111854481</v>
      </c>
      <c r="U382" s="13">
        <v>0.0188417363</v>
      </c>
      <c r="V382" s="13">
        <v>0.0005352265</v>
      </c>
      <c r="W382" s="13">
        <v>-0.0041348591</v>
      </c>
      <c r="X382" s="13">
        <v>0</v>
      </c>
      <c r="Y382" s="13">
        <v>0</v>
      </c>
      <c r="Z382" s="13">
        <v>0.005337778</v>
      </c>
    </row>
    <row r="383" s="2" customFormat="1" hidden="1" spans="1:26">
      <c r="A383" s="11" t="s">
        <v>935</v>
      </c>
      <c r="B383" s="11" t="s">
        <v>937</v>
      </c>
      <c r="C383" s="14" t="s">
        <v>123</v>
      </c>
      <c r="D383" s="14" t="s">
        <v>938</v>
      </c>
      <c r="E383" s="14" t="s">
        <v>939</v>
      </c>
      <c r="F383" s="3" t="s">
        <v>942</v>
      </c>
      <c r="G383" s="4">
        <v>22</v>
      </c>
      <c r="H383" s="12">
        <v>3538.04</v>
      </c>
      <c r="I383" s="12">
        <v>-966.721721</v>
      </c>
      <c r="J383" s="13">
        <v>-0.2732365154</v>
      </c>
      <c r="K383" s="13">
        <v>-0.2732365154</v>
      </c>
      <c r="L383" s="12">
        <v>23.65</v>
      </c>
      <c r="M383" s="13">
        <v>0.1615346135</v>
      </c>
      <c r="N383" s="13">
        <v>0.0363334295</v>
      </c>
      <c r="O383" s="13">
        <v>0.3144147607</v>
      </c>
      <c r="P383" s="13">
        <v>0.250355564</v>
      </c>
      <c r="Q383" s="13">
        <v>0.0613174712</v>
      </c>
      <c r="R383" s="13">
        <v>0.3643157657</v>
      </c>
      <c r="S383" s="13">
        <v>0</v>
      </c>
      <c r="T383" s="13">
        <v>0.095541034</v>
      </c>
      <c r="U383" s="13">
        <v>0.0166582605</v>
      </c>
      <c r="V383" s="13">
        <v>-0.014876033</v>
      </c>
      <c r="W383" s="13">
        <v>-0.0188445755</v>
      </c>
      <c r="X383" s="13">
        <v>0</v>
      </c>
      <c r="Y383" s="13">
        <v>0</v>
      </c>
      <c r="Z383" s="13">
        <v>0.0064862245</v>
      </c>
    </row>
    <row r="384" s="2" customFormat="1" hidden="1" spans="1:26">
      <c r="A384" s="11" t="s">
        <v>935</v>
      </c>
      <c r="B384" s="11" t="s">
        <v>937</v>
      </c>
      <c r="C384" s="14" t="s">
        <v>123</v>
      </c>
      <c r="D384" s="14" t="s">
        <v>938</v>
      </c>
      <c r="E384" s="14" t="s">
        <v>939</v>
      </c>
      <c r="F384" s="3" t="s">
        <v>943</v>
      </c>
      <c r="G384" s="4">
        <v>13</v>
      </c>
      <c r="H384" s="12">
        <v>2213.468</v>
      </c>
      <c r="I384" s="12">
        <v>-262.043508</v>
      </c>
      <c r="J384" s="13">
        <v>-0.1183859482</v>
      </c>
      <c r="K384" s="13">
        <v>-0.1183859482</v>
      </c>
      <c r="L384" s="12">
        <v>25.0392307692</v>
      </c>
      <c r="M384" s="13">
        <v>0.1598376719</v>
      </c>
      <c r="N384" s="13">
        <v>0.0359517422</v>
      </c>
      <c r="O384" s="13">
        <v>0.3111117938</v>
      </c>
      <c r="P384" s="13">
        <v>0.0890602439</v>
      </c>
      <c r="Q384" s="13">
        <v>0.0637926678</v>
      </c>
      <c r="R384" s="13">
        <v>0.3416153691</v>
      </c>
      <c r="S384" s="13">
        <v>0</v>
      </c>
      <c r="T384" s="13">
        <v>0.1114558692</v>
      </c>
      <c r="U384" s="13">
        <v>0.0164832633</v>
      </c>
      <c r="V384" s="13">
        <v>-0.0286012718</v>
      </c>
      <c r="W384" s="13">
        <v>0</v>
      </c>
      <c r="X384" s="13">
        <v>0.00480323</v>
      </c>
      <c r="Y384" s="13">
        <v>0</v>
      </c>
      <c r="Z384" s="13">
        <v>0.0128753684</v>
      </c>
    </row>
    <row r="385" s="2" customFormat="1" spans="1:26">
      <c r="A385" s="11" t="s">
        <v>935</v>
      </c>
      <c r="B385" s="11" t="s">
        <v>937</v>
      </c>
      <c r="C385" s="14" t="s">
        <v>123</v>
      </c>
      <c r="D385" s="14" t="s">
        <v>938</v>
      </c>
      <c r="E385" s="14" t="s">
        <v>939</v>
      </c>
      <c r="F385" s="3" t="s">
        <v>944</v>
      </c>
      <c r="G385" s="4">
        <v>7</v>
      </c>
      <c r="H385" s="12">
        <v>1427.524</v>
      </c>
      <c r="I385" s="12">
        <v>-169.085149</v>
      </c>
      <c r="J385" s="13">
        <v>-0.1184464492</v>
      </c>
      <c r="K385" s="13">
        <v>-0.1184464492</v>
      </c>
      <c r="L385" s="12">
        <v>29.99</v>
      </c>
      <c r="M385" s="13">
        <v>0.1334515622</v>
      </c>
      <c r="N385" s="13">
        <v>0.0299928946</v>
      </c>
      <c r="O385" s="13">
        <v>0.259753251</v>
      </c>
      <c r="P385" s="13">
        <v>0.2354118039</v>
      </c>
      <c r="Q385" s="13">
        <v>0.087906169</v>
      </c>
      <c r="R385" s="13">
        <v>0.2429886895</v>
      </c>
      <c r="S385" s="13">
        <v>0</v>
      </c>
      <c r="T385" s="13">
        <v>0.0974610584</v>
      </c>
      <c r="U385" s="13">
        <v>0.0137621952</v>
      </c>
      <c r="V385" s="13">
        <v>0</v>
      </c>
      <c r="W385" s="13">
        <v>-0.0233492081</v>
      </c>
      <c r="X385" s="13">
        <v>0.0141785371</v>
      </c>
      <c r="Y385" s="13">
        <v>0</v>
      </c>
      <c r="Z385" s="13">
        <v>0.026889496</v>
      </c>
    </row>
    <row r="386" s="2" customFormat="1" hidden="1" spans="1:26">
      <c r="A386" s="11" t="s">
        <v>935</v>
      </c>
      <c r="B386" s="11" t="s">
        <v>937</v>
      </c>
      <c r="C386" s="14" t="s">
        <v>127</v>
      </c>
      <c r="D386" s="14" t="s">
        <v>938</v>
      </c>
      <c r="E386" s="14" t="s">
        <v>939</v>
      </c>
      <c r="F386" s="3" t="s">
        <v>936</v>
      </c>
      <c r="G386" s="4">
        <v>408</v>
      </c>
      <c r="H386" s="12">
        <v>60874.416</v>
      </c>
      <c r="I386" s="12">
        <v>11988.696203</v>
      </c>
      <c r="J386" s="13">
        <v>0.1969414573</v>
      </c>
      <c r="K386" s="13">
        <v>0.1969414573</v>
      </c>
      <c r="L386" s="12">
        <v>21.9414705882</v>
      </c>
      <c r="M386" s="13">
        <v>0.0984077044</v>
      </c>
      <c r="N386" s="13">
        <v>0.0302670538</v>
      </c>
      <c r="O386" s="13">
        <v>0.3047401062</v>
      </c>
      <c r="P386" s="13">
        <v>0.0269310509</v>
      </c>
      <c r="Q386" s="13">
        <v>0.0090597303</v>
      </c>
      <c r="R386" s="13">
        <v>0.2081868525</v>
      </c>
      <c r="S386" s="13">
        <v>0</v>
      </c>
      <c r="T386" s="13">
        <v>0.1117657046</v>
      </c>
      <c r="U386" s="13">
        <v>0.0101482943</v>
      </c>
      <c r="V386" s="13">
        <v>-0.0017881797</v>
      </c>
      <c r="W386" s="13">
        <v>-0.0006167337</v>
      </c>
      <c r="X386" s="13">
        <v>0.0007607136</v>
      </c>
      <c r="Y386" s="13">
        <v>0</v>
      </c>
      <c r="Z386" s="13">
        <v>0.0051962449</v>
      </c>
    </row>
    <row r="387" s="2" customFormat="1" hidden="1" spans="1:26">
      <c r="A387" s="11" t="s">
        <v>935</v>
      </c>
      <c r="B387" s="11" t="s">
        <v>937</v>
      </c>
      <c r="C387" s="14" t="s">
        <v>127</v>
      </c>
      <c r="D387" s="14" t="s">
        <v>938</v>
      </c>
      <c r="E387" s="14" t="s">
        <v>939</v>
      </c>
      <c r="F387" s="3" t="s">
        <v>940</v>
      </c>
      <c r="G387" s="4">
        <v>9</v>
      </c>
      <c r="H387" s="12">
        <v>1468.188</v>
      </c>
      <c r="I387" s="12">
        <v>497.864023</v>
      </c>
      <c r="J387" s="13">
        <v>0.3391010027</v>
      </c>
      <c r="K387" s="13">
        <v>0.3391010027</v>
      </c>
      <c r="L387" s="12">
        <v>23.99</v>
      </c>
      <c r="M387" s="13">
        <v>0.0913479268</v>
      </c>
      <c r="N387" s="13">
        <v>0.0283155542</v>
      </c>
      <c r="O387" s="13">
        <v>0.2537168264</v>
      </c>
      <c r="P387" s="13">
        <v>0</v>
      </c>
      <c r="Q387" s="13">
        <v>0.0008192166</v>
      </c>
      <c r="R387" s="13">
        <v>0.1689761808</v>
      </c>
      <c r="S387" s="13">
        <v>0</v>
      </c>
      <c r="T387" s="13">
        <v>0.1079616506</v>
      </c>
      <c r="U387" s="13">
        <v>0.0094202547</v>
      </c>
      <c r="V387" s="13">
        <v>0</v>
      </c>
      <c r="W387" s="13">
        <v>0</v>
      </c>
      <c r="X387" s="13">
        <v>0</v>
      </c>
      <c r="Y387" s="13">
        <v>0</v>
      </c>
      <c r="Z387" s="13">
        <v>0.0003413867</v>
      </c>
    </row>
    <row r="388" s="2" customFormat="1" hidden="1" spans="1:26">
      <c r="A388" s="11" t="s">
        <v>935</v>
      </c>
      <c r="B388" s="11" t="s">
        <v>937</v>
      </c>
      <c r="C388" s="14" t="s">
        <v>127</v>
      </c>
      <c r="D388" s="14" t="s">
        <v>938</v>
      </c>
      <c r="E388" s="14" t="s">
        <v>939</v>
      </c>
      <c r="F388" s="3" t="s">
        <v>941</v>
      </c>
      <c r="G388" s="4">
        <v>380</v>
      </c>
      <c r="H388" s="12">
        <v>57097.56</v>
      </c>
      <c r="I388" s="12">
        <v>12256.881911</v>
      </c>
      <c r="J388" s="13">
        <v>0.2146655988</v>
      </c>
      <c r="K388" s="13">
        <v>0.2146655988</v>
      </c>
      <c r="L388" s="12">
        <v>22.0965789473</v>
      </c>
      <c r="M388" s="13">
        <v>0.0989143989</v>
      </c>
      <c r="N388" s="13">
        <v>0.0306609698</v>
      </c>
      <c r="O388" s="13">
        <v>0.3068693653</v>
      </c>
      <c r="P388" s="13">
        <v>0.0114282992</v>
      </c>
      <c r="Q388" s="13">
        <v>0.0052349461</v>
      </c>
      <c r="R388" s="13">
        <v>0.2036747413</v>
      </c>
      <c r="S388" s="13">
        <v>0</v>
      </c>
      <c r="T388" s="13">
        <v>0.1132742625</v>
      </c>
      <c r="U388" s="13">
        <v>0.0102005471</v>
      </c>
      <c r="V388" s="13">
        <v>8.09841e-5</v>
      </c>
      <c r="W388" s="13">
        <v>-0.0003418875</v>
      </c>
      <c r="X388" s="13">
        <v>0</v>
      </c>
      <c r="Y388" s="13">
        <v>0</v>
      </c>
      <c r="Z388" s="13">
        <v>0.0053377738</v>
      </c>
    </row>
    <row r="389" s="2" customFormat="1" hidden="1" spans="1:26">
      <c r="A389" s="11" t="s">
        <v>935</v>
      </c>
      <c r="B389" s="11" t="s">
        <v>937</v>
      </c>
      <c r="C389" s="14" t="s">
        <v>127</v>
      </c>
      <c r="D389" s="14" t="s">
        <v>938</v>
      </c>
      <c r="E389" s="14" t="s">
        <v>939</v>
      </c>
      <c r="F389" s="3" t="s">
        <v>942</v>
      </c>
      <c r="G389" s="4">
        <v>12</v>
      </c>
      <c r="H389" s="12">
        <v>1166.744</v>
      </c>
      <c r="I389" s="12">
        <v>-906.900241</v>
      </c>
      <c r="J389" s="13">
        <v>-0.7772915403</v>
      </c>
      <c r="K389" s="13">
        <v>-0.7772915403</v>
      </c>
      <c r="L389" s="12">
        <v>14.2983333333</v>
      </c>
      <c r="M389" s="13">
        <v>0.0894046937</v>
      </c>
      <c r="N389" s="13">
        <v>0.0187223349</v>
      </c>
      <c r="O389" s="13">
        <v>0.2815013404</v>
      </c>
      <c r="P389" s="13">
        <v>0.845844504</v>
      </c>
      <c r="Q389" s="13">
        <v>0.2092813547</v>
      </c>
      <c r="R389" s="13">
        <v>0.3243981525</v>
      </c>
      <c r="S389" s="13">
        <v>0</v>
      </c>
      <c r="T389" s="13">
        <v>0.0346194195</v>
      </c>
      <c r="U389" s="13">
        <v>0.0092198588</v>
      </c>
      <c r="V389" s="13">
        <v>-0.0267397132</v>
      </c>
      <c r="W389" s="13">
        <v>-0.0154467183</v>
      </c>
      <c r="X389" s="13">
        <v>0</v>
      </c>
      <c r="Y389" s="13">
        <v>0</v>
      </c>
      <c r="Z389" s="13">
        <v>0.0064863131</v>
      </c>
    </row>
    <row r="390" s="2" customFormat="1" hidden="1" spans="1:26">
      <c r="A390" s="11" t="s">
        <v>935</v>
      </c>
      <c r="B390" s="11" t="s">
        <v>937</v>
      </c>
      <c r="C390" s="14" t="s">
        <v>127</v>
      </c>
      <c r="D390" s="14" t="s">
        <v>938</v>
      </c>
      <c r="E390" s="14" t="s">
        <v>939</v>
      </c>
      <c r="F390" s="3" t="s">
        <v>943</v>
      </c>
      <c r="G390" s="4">
        <v>1</v>
      </c>
      <c r="H390" s="12">
        <v>163.132</v>
      </c>
      <c r="I390" s="12">
        <v>67.103846</v>
      </c>
      <c r="J390" s="13">
        <v>0.4113469215</v>
      </c>
      <c r="K390" s="13">
        <v>0.4113469215</v>
      </c>
      <c r="L390" s="12">
        <v>23.99</v>
      </c>
      <c r="M390" s="13">
        <v>0.0913479268</v>
      </c>
      <c r="N390" s="13">
        <v>0.0191292695</v>
      </c>
      <c r="O390" s="13">
        <v>0.2876198416</v>
      </c>
      <c r="P390" s="13">
        <v>0</v>
      </c>
      <c r="Q390" s="13">
        <v>0.0264164664</v>
      </c>
      <c r="R390" s="13">
        <v>0.2717521393</v>
      </c>
      <c r="S390" s="13">
        <v>0</v>
      </c>
      <c r="T390" s="13">
        <v>0.1200500208</v>
      </c>
      <c r="U390" s="13">
        <v>0.0094202547</v>
      </c>
      <c r="V390" s="13">
        <v>-0.5043768236</v>
      </c>
      <c r="W390" s="13">
        <v>0</v>
      </c>
      <c r="X390" s="13">
        <v>0.2544184831</v>
      </c>
      <c r="Y390" s="13">
        <v>0</v>
      </c>
      <c r="Z390" s="13">
        <v>0.0128754995</v>
      </c>
    </row>
    <row r="391" s="2" customFormat="1" spans="1:26">
      <c r="A391" s="11" t="s">
        <v>935</v>
      </c>
      <c r="B391" s="11" t="s">
        <v>937</v>
      </c>
      <c r="C391" s="14" t="s">
        <v>127</v>
      </c>
      <c r="D391" s="14" t="s">
        <v>938</v>
      </c>
      <c r="E391" s="14" t="s">
        <v>939</v>
      </c>
      <c r="F391" s="3" t="s">
        <v>944</v>
      </c>
      <c r="G391" s="4">
        <v>6</v>
      </c>
      <c r="H391" s="12">
        <v>978.792</v>
      </c>
      <c r="I391" s="12">
        <v>83.985574</v>
      </c>
      <c r="J391" s="13">
        <v>0.0858053335</v>
      </c>
      <c r="K391" s="13">
        <v>0.0858053335</v>
      </c>
      <c r="L391" s="12">
        <v>23.99</v>
      </c>
      <c r="M391" s="13">
        <v>0.0913479268</v>
      </c>
      <c r="N391" s="13">
        <v>0.0258332086</v>
      </c>
      <c r="O391" s="13">
        <v>0.2876198416</v>
      </c>
      <c r="P391" s="13">
        <v>0</v>
      </c>
      <c r="Q391" s="13">
        <v>0.0029763667</v>
      </c>
      <c r="R391" s="13">
        <v>0.3706339344</v>
      </c>
      <c r="S391" s="13">
        <v>0</v>
      </c>
      <c r="T391" s="13">
        <v>0.1200500208</v>
      </c>
      <c r="U391" s="13">
        <v>0.0094202547</v>
      </c>
      <c r="V391" s="13">
        <v>0</v>
      </c>
      <c r="W391" s="13">
        <v>0</v>
      </c>
      <c r="X391" s="13">
        <v>0.0049082981</v>
      </c>
      <c r="Y391" s="13">
        <v>0</v>
      </c>
      <c r="Z391" s="13">
        <v>0.0014048143</v>
      </c>
    </row>
    <row r="392" s="2" customFormat="1" hidden="1" spans="1:26">
      <c r="A392" s="11" t="s">
        <v>935</v>
      </c>
      <c r="B392" s="11" t="s">
        <v>937</v>
      </c>
      <c r="C392" s="14" t="s">
        <v>127</v>
      </c>
      <c r="D392" s="14" t="s">
        <v>938</v>
      </c>
      <c r="E392" s="14" t="s">
        <v>939</v>
      </c>
      <c r="F392" s="3" t="s">
        <v>945</v>
      </c>
      <c r="G392" s="4">
        <v>0</v>
      </c>
      <c r="H392" s="12">
        <v>0</v>
      </c>
      <c r="I392" s="12">
        <v>-10.23891</v>
      </c>
      <c r="J392" s="13"/>
      <c r="K392" s="13"/>
      <c r="L392" s="12"/>
      <c r="M392" s="13"/>
      <c r="N392" s="13"/>
      <c r="O392" s="13"/>
      <c r="P392" s="13"/>
      <c r="Q392" s="13"/>
      <c r="R392" s="13"/>
      <c r="S392" s="13"/>
      <c r="T392" s="13"/>
      <c r="U392" s="13"/>
      <c r="V392" s="13"/>
      <c r="W392" s="13"/>
      <c r="X392" s="13"/>
      <c r="Y392" s="13"/>
      <c r="Z392" s="13"/>
    </row>
    <row r="393" s="2" customFormat="1" hidden="1" spans="1:26">
      <c r="A393" s="11" t="s">
        <v>935</v>
      </c>
      <c r="B393" s="11" t="s">
        <v>937</v>
      </c>
      <c r="C393" s="14" t="s">
        <v>131</v>
      </c>
      <c r="D393" s="14" t="s">
        <v>938</v>
      </c>
      <c r="E393" s="14" t="s">
        <v>939</v>
      </c>
      <c r="F393" s="3" t="s">
        <v>936</v>
      </c>
      <c r="G393" s="4">
        <v>291</v>
      </c>
      <c r="H393" s="12">
        <v>49228.668</v>
      </c>
      <c r="I393" s="12">
        <v>11782.740948</v>
      </c>
      <c r="J393" s="13">
        <v>0.2393471411</v>
      </c>
      <c r="K393" s="13">
        <v>0.2393471411</v>
      </c>
      <c r="L393" s="12">
        <v>24.8780412371</v>
      </c>
      <c r="M393" s="13">
        <v>0.1185481252</v>
      </c>
      <c r="N393" s="13">
        <v>0.0451384133</v>
      </c>
      <c r="O393" s="13">
        <v>0.3200976309</v>
      </c>
      <c r="P393" s="13">
        <v>0.0170108197</v>
      </c>
      <c r="Q393" s="13">
        <v>0.0160085214</v>
      </c>
      <c r="R393" s="13">
        <v>0.1106317079</v>
      </c>
      <c r="S393" s="13">
        <v>0</v>
      </c>
      <c r="T393" s="13">
        <v>0.1153696866</v>
      </c>
      <c r="U393" s="13">
        <v>0.0122252745</v>
      </c>
      <c r="V393" s="13">
        <v>-0.0038988826</v>
      </c>
      <c r="W393" s="13">
        <v>0</v>
      </c>
      <c r="X393" s="13">
        <v>0.000545617</v>
      </c>
      <c r="Y393" s="13">
        <v>0</v>
      </c>
      <c r="Z393" s="13">
        <v>0.0089759445</v>
      </c>
    </row>
    <row r="394" s="2" customFormat="1" hidden="1" spans="1:26">
      <c r="A394" s="11" t="s">
        <v>935</v>
      </c>
      <c r="B394" s="11" t="s">
        <v>937</v>
      </c>
      <c r="C394" s="14" t="s">
        <v>131</v>
      </c>
      <c r="D394" s="14" t="s">
        <v>938</v>
      </c>
      <c r="E394" s="14" t="s">
        <v>939</v>
      </c>
      <c r="F394" s="3" t="s">
        <v>941</v>
      </c>
      <c r="G394" s="4">
        <v>55</v>
      </c>
      <c r="H394" s="12">
        <v>9693.06</v>
      </c>
      <c r="I394" s="12">
        <v>2150.098526</v>
      </c>
      <c r="J394" s="13">
        <v>0.2218183448</v>
      </c>
      <c r="K394" s="13">
        <v>0.2218183448</v>
      </c>
      <c r="L394" s="12">
        <v>25.9172727272</v>
      </c>
      <c r="M394" s="13">
        <v>0.1137945793</v>
      </c>
      <c r="N394" s="13">
        <v>0.0407340597</v>
      </c>
      <c r="O394" s="13">
        <v>0.3058613069</v>
      </c>
      <c r="P394" s="13">
        <v>0</v>
      </c>
      <c r="Q394" s="13">
        <v>0.005626297</v>
      </c>
      <c r="R394" s="13">
        <v>0.1846572743</v>
      </c>
      <c r="S394" s="13">
        <v>0</v>
      </c>
      <c r="T394" s="13">
        <v>0.1104353011</v>
      </c>
      <c r="U394" s="13">
        <v>0.011735065</v>
      </c>
      <c r="V394" s="13">
        <v>0</v>
      </c>
      <c r="W394" s="13">
        <v>0</v>
      </c>
      <c r="X394" s="13">
        <v>0</v>
      </c>
      <c r="Y394" s="13">
        <v>0</v>
      </c>
      <c r="Z394" s="13">
        <v>0.0053377714</v>
      </c>
    </row>
    <row r="395" s="2" customFormat="1" hidden="1" spans="1:26">
      <c r="A395" s="11" t="s">
        <v>935</v>
      </c>
      <c r="B395" s="11" t="s">
        <v>937</v>
      </c>
      <c r="C395" s="14" t="s">
        <v>131</v>
      </c>
      <c r="D395" s="14" t="s">
        <v>938</v>
      </c>
      <c r="E395" s="14" t="s">
        <v>939</v>
      </c>
      <c r="F395" s="3" t="s">
        <v>942</v>
      </c>
      <c r="G395" s="4">
        <v>107</v>
      </c>
      <c r="H395" s="12">
        <v>17291.992</v>
      </c>
      <c r="I395" s="12">
        <v>4239.61045</v>
      </c>
      <c r="J395" s="13">
        <v>0.2451776781</v>
      </c>
      <c r="K395" s="13">
        <v>0.2451776781</v>
      </c>
      <c r="L395" s="12">
        <v>23.7657943925</v>
      </c>
      <c r="M395" s="13">
        <v>0.1240962158</v>
      </c>
      <c r="N395" s="13">
        <v>0.0448076383</v>
      </c>
      <c r="O395" s="13">
        <v>0.3351396415</v>
      </c>
      <c r="P395" s="13">
        <v>0.0094339622</v>
      </c>
      <c r="Q395" s="13">
        <v>0.0182519983</v>
      </c>
      <c r="R395" s="13">
        <v>0.0878607276</v>
      </c>
      <c r="S395" s="13">
        <v>0</v>
      </c>
      <c r="T395" s="13">
        <v>0.115948469</v>
      </c>
      <c r="U395" s="13">
        <v>0.0127974213</v>
      </c>
      <c r="V395" s="13">
        <v>0</v>
      </c>
      <c r="W395" s="13">
        <v>0</v>
      </c>
      <c r="X395" s="13">
        <v>0</v>
      </c>
      <c r="Y395" s="13">
        <v>0</v>
      </c>
      <c r="Z395" s="13">
        <v>0.0064862472</v>
      </c>
    </row>
    <row r="396" s="2" customFormat="1" hidden="1" spans="1:26">
      <c r="A396" s="11" t="s">
        <v>935</v>
      </c>
      <c r="B396" s="11" t="s">
        <v>937</v>
      </c>
      <c r="C396" s="14" t="s">
        <v>131</v>
      </c>
      <c r="D396" s="14" t="s">
        <v>938</v>
      </c>
      <c r="E396" s="14" t="s">
        <v>939</v>
      </c>
      <c r="F396" s="3" t="s">
        <v>943</v>
      </c>
      <c r="G396" s="4">
        <v>125</v>
      </c>
      <c r="H396" s="12">
        <v>21509.488</v>
      </c>
      <c r="I396" s="12">
        <v>5958.964843</v>
      </c>
      <c r="J396" s="13">
        <v>0.2770388975</v>
      </c>
      <c r="K396" s="13">
        <v>0.2770388975</v>
      </c>
      <c r="L396" s="12">
        <v>25.30528</v>
      </c>
      <c r="M396" s="13">
        <v>0.1165466317</v>
      </c>
      <c r="N396" s="13">
        <v>0.045333901</v>
      </c>
      <c r="O396" s="13">
        <v>0.3151784923</v>
      </c>
      <c r="P396" s="13">
        <v>0.0142831851</v>
      </c>
      <c r="Q396" s="13">
        <v>0.0122212029</v>
      </c>
      <c r="R396" s="13">
        <v>0.075037255</v>
      </c>
      <c r="S396" s="13">
        <v>0</v>
      </c>
      <c r="T396" s="13">
        <v>0.1186060774</v>
      </c>
      <c r="U396" s="13">
        <v>0.0120188705</v>
      </c>
      <c r="V396" s="13">
        <v>0</v>
      </c>
      <c r="W396" s="13">
        <v>0</v>
      </c>
      <c r="X396" s="13">
        <v>0.0008600977</v>
      </c>
      <c r="Y396" s="13">
        <v>0</v>
      </c>
      <c r="Z396" s="13">
        <v>0.0128753882</v>
      </c>
    </row>
    <row r="397" s="2" customFormat="1" spans="1:26">
      <c r="A397" s="11" t="s">
        <v>935</v>
      </c>
      <c r="B397" s="11" t="s">
        <v>937</v>
      </c>
      <c r="C397" s="14" t="s">
        <v>131</v>
      </c>
      <c r="D397" s="14" t="s">
        <v>938</v>
      </c>
      <c r="E397" s="14" t="s">
        <v>939</v>
      </c>
      <c r="F397" s="3" t="s">
        <v>944</v>
      </c>
      <c r="G397" s="4">
        <v>4</v>
      </c>
      <c r="H397" s="12">
        <v>734.128</v>
      </c>
      <c r="I397" s="12">
        <v>-443.475507</v>
      </c>
      <c r="J397" s="13">
        <v>-0.6040847195</v>
      </c>
      <c r="K397" s="13">
        <v>-0.6040847195</v>
      </c>
      <c r="L397" s="12">
        <v>26.99</v>
      </c>
      <c r="M397" s="13">
        <v>0.1092717727</v>
      </c>
      <c r="N397" s="13">
        <v>0.1053548645</v>
      </c>
      <c r="O397" s="13">
        <v>0.2978881067</v>
      </c>
      <c r="P397" s="13">
        <v>0.5</v>
      </c>
      <c r="Q397" s="13">
        <v>0.2112123853</v>
      </c>
      <c r="R397" s="13">
        <v>0.5456817857</v>
      </c>
      <c r="S397" s="13">
        <v>0</v>
      </c>
      <c r="T397" s="13">
        <v>0.0720637273</v>
      </c>
      <c r="U397" s="13">
        <v>0.0112686506</v>
      </c>
      <c r="V397" s="13">
        <v>-0.2614486846</v>
      </c>
      <c r="W397" s="13">
        <v>0</v>
      </c>
      <c r="X397" s="13">
        <v>0.0113873016</v>
      </c>
      <c r="Y397" s="13">
        <v>0</v>
      </c>
      <c r="Z397" s="13">
        <v>0.0014048095</v>
      </c>
    </row>
    <row r="398" s="2" customFormat="1" hidden="1" spans="1:26">
      <c r="A398" s="11" t="s">
        <v>935</v>
      </c>
      <c r="B398" s="11" t="s">
        <v>937</v>
      </c>
      <c r="C398" s="14" t="s">
        <v>131</v>
      </c>
      <c r="D398" s="14" t="s">
        <v>938</v>
      </c>
      <c r="E398" s="14" t="s">
        <v>939</v>
      </c>
      <c r="F398" s="3" t="s">
        <v>945</v>
      </c>
      <c r="G398" s="4">
        <v>0</v>
      </c>
      <c r="H398" s="12">
        <v>0</v>
      </c>
      <c r="I398" s="12">
        <v>-122.457364</v>
      </c>
      <c r="J398" s="13"/>
      <c r="K398" s="13"/>
      <c r="L398" s="12"/>
      <c r="M398" s="13"/>
      <c r="N398" s="13"/>
      <c r="O398" s="13"/>
      <c r="P398" s="13"/>
      <c r="Q398" s="13"/>
      <c r="R398" s="13"/>
      <c r="S398" s="13"/>
      <c r="T398" s="13"/>
      <c r="U398" s="13"/>
      <c r="V398" s="13"/>
      <c r="W398" s="13"/>
      <c r="X398" s="13"/>
      <c r="Y398" s="13"/>
      <c r="Z398" s="13"/>
    </row>
    <row r="399" s="2" customFormat="1" hidden="1" spans="1:26">
      <c r="A399" s="11" t="s">
        <v>935</v>
      </c>
      <c r="B399" s="11" t="s">
        <v>937</v>
      </c>
      <c r="C399" s="14" t="s">
        <v>135</v>
      </c>
      <c r="D399" s="14" t="s">
        <v>938</v>
      </c>
      <c r="E399" s="14" t="s">
        <v>939</v>
      </c>
      <c r="F399" s="3" t="s">
        <v>936</v>
      </c>
      <c r="G399" s="4">
        <v>305.9999999988</v>
      </c>
      <c r="H399" s="12">
        <v>41670.468046</v>
      </c>
      <c r="I399" s="12">
        <v>1128.391034</v>
      </c>
      <c r="J399" s="13">
        <v>0.0270789143</v>
      </c>
      <c r="K399" s="13">
        <v>0.0270789143</v>
      </c>
      <c r="L399" s="12">
        <v>20.0261764927</v>
      </c>
      <c r="M399" s="13">
        <v>0.1415401088</v>
      </c>
      <c r="N399" s="13">
        <v>0.0245862961</v>
      </c>
      <c r="O399" s="13">
        <v>0.3417079848</v>
      </c>
      <c r="P399" s="13">
        <v>0.2216983977</v>
      </c>
      <c r="Q399" s="13">
        <v>0.0177925193</v>
      </c>
      <c r="R399" s="13">
        <v>0.1235160393</v>
      </c>
      <c r="S399" s="13">
        <v>0</v>
      </c>
      <c r="T399" s="13">
        <v>0.0938591806</v>
      </c>
      <c r="U399" s="13">
        <v>0.0145963276</v>
      </c>
      <c r="V399" s="13">
        <v>-0.015662507</v>
      </c>
      <c r="W399" s="13">
        <v>-0.0096594248</v>
      </c>
      <c r="X399" s="13">
        <v>0.0118537665</v>
      </c>
      <c r="Y399" s="13">
        <v>0</v>
      </c>
      <c r="Z399" s="13">
        <v>0.0070923962</v>
      </c>
    </row>
    <row r="400" s="2" customFormat="1" hidden="1" spans="1:26">
      <c r="A400" s="11" t="s">
        <v>935</v>
      </c>
      <c r="B400" s="11" t="s">
        <v>937</v>
      </c>
      <c r="C400" s="14" t="s">
        <v>135</v>
      </c>
      <c r="D400" s="14" t="s">
        <v>938</v>
      </c>
      <c r="E400" s="14" t="s">
        <v>939</v>
      </c>
      <c r="F400" s="3" t="s">
        <v>940</v>
      </c>
      <c r="G400" s="4">
        <v>3</v>
      </c>
      <c r="H400" s="12">
        <v>489.396</v>
      </c>
      <c r="I400" s="12">
        <v>-128.160909</v>
      </c>
      <c r="J400" s="13">
        <v>-0.2618756773</v>
      </c>
      <c r="K400" s="13">
        <v>-0.2618756773</v>
      </c>
      <c r="L400" s="12">
        <v>23.99</v>
      </c>
      <c r="M400" s="13">
        <v>0.1193235355</v>
      </c>
      <c r="N400" s="13">
        <v>0.0329181889</v>
      </c>
      <c r="O400" s="13">
        <v>0.2542726135</v>
      </c>
      <c r="P400" s="13">
        <v>0</v>
      </c>
      <c r="Q400" s="13">
        <v>0.0008192343</v>
      </c>
      <c r="R400" s="13">
        <v>0.7975714328</v>
      </c>
      <c r="S400" s="13">
        <v>0</v>
      </c>
      <c r="T400" s="13">
        <v>0.0443240238</v>
      </c>
      <c r="U400" s="13">
        <v>0.0123052436</v>
      </c>
      <c r="V400" s="13">
        <v>0</v>
      </c>
      <c r="W400" s="13">
        <v>0</v>
      </c>
      <c r="X400" s="13">
        <v>0</v>
      </c>
      <c r="Y400" s="13">
        <v>0</v>
      </c>
      <c r="Z400" s="13">
        <v>0.0003414045</v>
      </c>
    </row>
    <row r="401" s="2" customFormat="1" hidden="1" spans="1:26">
      <c r="A401" s="11" t="s">
        <v>935</v>
      </c>
      <c r="B401" s="11" t="s">
        <v>937</v>
      </c>
      <c r="C401" s="14" t="s">
        <v>135</v>
      </c>
      <c r="D401" s="14" t="s">
        <v>938</v>
      </c>
      <c r="E401" s="14" t="s">
        <v>939</v>
      </c>
      <c r="F401" s="3" t="s">
        <v>941</v>
      </c>
      <c r="G401" s="4">
        <v>58</v>
      </c>
      <c r="H401" s="12">
        <v>8678.296</v>
      </c>
      <c r="I401" s="12">
        <v>656.278713</v>
      </c>
      <c r="J401" s="13">
        <v>0.0756229924</v>
      </c>
      <c r="K401" s="13">
        <v>0.0756229924</v>
      </c>
      <c r="L401" s="12">
        <v>22.0037931034</v>
      </c>
      <c r="M401" s="13">
        <v>0.1300944616</v>
      </c>
      <c r="N401" s="13">
        <v>0.0358896009</v>
      </c>
      <c r="O401" s="13">
        <v>0.3280390528</v>
      </c>
      <c r="P401" s="13">
        <v>0.049246995</v>
      </c>
      <c r="Q401" s="13">
        <v>0.0174809365</v>
      </c>
      <c r="R401" s="13">
        <v>0.2485956837</v>
      </c>
      <c r="S401" s="13">
        <v>0</v>
      </c>
      <c r="T401" s="13">
        <v>0.096276504</v>
      </c>
      <c r="U401" s="13">
        <v>0.0134159957</v>
      </c>
      <c r="V401" s="13">
        <v>0</v>
      </c>
      <c r="W401" s="13">
        <v>0</v>
      </c>
      <c r="X401" s="13">
        <v>0</v>
      </c>
      <c r="Y401" s="13">
        <v>0</v>
      </c>
      <c r="Z401" s="13">
        <v>0.005337777</v>
      </c>
    </row>
    <row r="402" s="2" customFormat="1" hidden="1" spans="1:26">
      <c r="A402" s="11" t="s">
        <v>935</v>
      </c>
      <c r="B402" s="11" t="s">
        <v>937</v>
      </c>
      <c r="C402" s="14" t="s">
        <v>135</v>
      </c>
      <c r="D402" s="14" t="s">
        <v>938</v>
      </c>
      <c r="E402" s="14" t="s">
        <v>939</v>
      </c>
      <c r="F402" s="3" t="s">
        <v>942</v>
      </c>
      <c r="G402" s="4">
        <v>187.9999999988</v>
      </c>
      <c r="H402" s="12">
        <v>24468.644046</v>
      </c>
      <c r="I402" s="12">
        <v>3927.291607</v>
      </c>
      <c r="J402" s="13">
        <v>0.1605030339</v>
      </c>
      <c r="K402" s="13">
        <v>0.1605030339</v>
      </c>
      <c r="L402" s="12">
        <v>19.1400532275</v>
      </c>
      <c r="M402" s="13">
        <v>0.1471726472</v>
      </c>
      <c r="N402" s="13">
        <v>0.0217529281</v>
      </c>
      <c r="O402" s="13">
        <v>0.3570378337</v>
      </c>
      <c r="P402" s="13">
        <v>0.1063521131</v>
      </c>
      <c r="Q402" s="13">
        <v>0.0143310845</v>
      </c>
      <c r="R402" s="13">
        <v>0.064663268</v>
      </c>
      <c r="S402" s="13">
        <v>0</v>
      </c>
      <c r="T402" s="13">
        <v>0.1096703185</v>
      </c>
      <c r="U402" s="13">
        <v>0.0151771828</v>
      </c>
      <c r="V402" s="13">
        <v>0.0005057901</v>
      </c>
      <c r="W402" s="13">
        <v>-0.0036524448</v>
      </c>
      <c r="X402" s="13">
        <v>0</v>
      </c>
      <c r="Y402" s="13">
        <v>0</v>
      </c>
      <c r="Z402" s="13">
        <v>0.0064862443</v>
      </c>
    </row>
    <row r="403" s="2" customFormat="1" hidden="1" spans="1:26">
      <c r="A403" s="11" t="s">
        <v>935</v>
      </c>
      <c r="B403" s="11" t="s">
        <v>937</v>
      </c>
      <c r="C403" s="14" t="s">
        <v>135</v>
      </c>
      <c r="D403" s="14" t="s">
        <v>938</v>
      </c>
      <c r="E403" s="14" t="s">
        <v>939</v>
      </c>
      <c r="F403" s="3" t="s">
        <v>943</v>
      </c>
      <c r="G403" s="4">
        <v>49</v>
      </c>
      <c r="H403" s="12">
        <v>6892.208</v>
      </c>
      <c r="I403" s="12">
        <v>-2395.285851</v>
      </c>
      <c r="J403" s="13">
        <v>-0.34753534</v>
      </c>
      <c r="K403" s="13">
        <v>-0.34753534</v>
      </c>
      <c r="L403" s="12">
        <v>20.6848979591</v>
      </c>
      <c r="M403" s="13">
        <v>0.1383894483</v>
      </c>
      <c r="N403" s="13">
        <v>0.0204547213</v>
      </c>
      <c r="O403" s="13">
        <v>0.316902798</v>
      </c>
      <c r="P403" s="13">
        <v>0.6937132483</v>
      </c>
      <c r="Q403" s="13">
        <v>0.0290701246</v>
      </c>
      <c r="R403" s="13">
        <v>0.0718870737</v>
      </c>
      <c r="S403" s="13">
        <v>0</v>
      </c>
      <c r="T403" s="13">
        <v>0.0537215359</v>
      </c>
      <c r="U403" s="13">
        <v>0.0142714165</v>
      </c>
      <c r="V403" s="13">
        <v>-0.0115434705</v>
      </c>
      <c r="W403" s="13">
        <v>-0.0324171774</v>
      </c>
      <c r="X403" s="13">
        <v>0.0402102423</v>
      </c>
      <c r="Y403" s="13">
        <v>0</v>
      </c>
      <c r="Z403" s="13">
        <v>0.0128753788</v>
      </c>
    </row>
    <row r="404" s="2" customFormat="1" spans="1:26">
      <c r="A404" s="11" t="s">
        <v>935</v>
      </c>
      <c r="B404" s="11" t="s">
        <v>937</v>
      </c>
      <c r="C404" s="14" t="s">
        <v>135</v>
      </c>
      <c r="D404" s="14" t="s">
        <v>938</v>
      </c>
      <c r="E404" s="14" t="s">
        <v>939</v>
      </c>
      <c r="F404" s="3" t="s">
        <v>944</v>
      </c>
      <c r="G404" s="4">
        <v>8</v>
      </c>
      <c r="H404" s="12">
        <v>1141.924</v>
      </c>
      <c r="I404" s="12">
        <v>-1075.339482</v>
      </c>
      <c r="J404" s="13">
        <v>-0.9416909374</v>
      </c>
      <c r="K404" s="13">
        <v>-0.9416909374</v>
      </c>
      <c r="L404" s="12">
        <v>20.99125</v>
      </c>
      <c r="M404" s="13">
        <v>0.1363697549</v>
      </c>
      <c r="N404" s="13">
        <v>0.0207623344</v>
      </c>
      <c r="O404" s="13">
        <v>0.3042934556</v>
      </c>
      <c r="P404" s="13">
        <v>1.2499851128</v>
      </c>
      <c r="Q404" s="13">
        <v>0.0335375961</v>
      </c>
      <c r="R404" s="13">
        <v>0.4389957449</v>
      </c>
      <c r="S404" s="13">
        <v>0</v>
      </c>
      <c r="T404" s="13">
        <v>0.0001786458</v>
      </c>
      <c r="U404" s="13">
        <v>0.0140631355</v>
      </c>
      <c r="V404" s="13">
        <v>-0.3692014529</v>
      </c>
      <c r="W404" s="13">
        <v>-0.0785660446</v>
      </c>
      <c r="X404" s="13">
        <v>0.1898678423</v>
      </c>
      <c r="Y404" s="13">
        <v>0</v>
      </c>
      <c r="Z404" s="13">
        <v>0.0014048124</v>
      </c>
    </row>
    <row r="405" s="2" customFormat="1" hidden="1" spans="1:26">
      <c r="A405" s="11" t="s">
        <v>935</v>
      </c>
      <c r="B405" s="11" t="s">
        <v>937</v>
      </c>
      <c r="C405" s="14" t="s">
        <v>135</v>
      </c>
      <c r="D405" s="14" t="s">
        <v>938</v>
      </c>
      <c r="E405" s="14" t="s">
        <v>939</v>
      </c>
      <c r="F405" s="3" t="s">
        <v>945</v>
      </c>
      <c r="G405" s="4">
        <v>0</v>
      </c>
      <c r="H405" s="12">
        <v>0</v>
      </c>
      <c r="I405" s="12">
        <v>143.606956</v>
      </c>
      <c r="J405" s="13"/>
      <c r="K405" s="13"/>
      <c r="L405" s="12"/>
      <c r="M405" s="13"/>
      <c r="N405" s="13"/>
      <c r="O405" s="13"/>
      <c r="P405" s="13"/>
      <c r="Q405" s="13"/>
      <c r="R405" s="13"/>
      <c r="S405" s="13"/>
      <c r="T405" s="13"/>
      <c r="U405" s="13"/>
      <c r="V405" s="13"/>
      <c r="W405" s="13"/>
      <c r="X405" s="13"/>
      <c r="Y405" s="13"/>
      <c r="Z405" s="13"/>
    </row>
    <row r="406" s="2" customFormat="1" hidden="1" spans="1:26">
      <c r="A406" s="11" t="s">
        <v>935</v>
      </c>
      <c r="B406" s="11" t="s">
        <v>937</v>
      </c>
      <c r="C406" s="14" t="s">
        <v>139</v>
      </c>
      <c r="D406" s="14" t="s">
        <v>938</v>
      </c>
      <c r="E406" s="14" t="s">
        <v>939</v>
      </c>
      <c r="F406" s="3" t="s">
        <v>936</v>
      </c>
      <c r="G406" s="4">
        <v>190.9999999997</v>
      </c>
      <c r="H406" s="12">
        <v>33579.080003</v>
      </c>
      <c r="I406" s="12">
        <v>9612.037184</v>
      </c>
      <c r="J406" s="13">
        <v>0.2862507603</v>
      </c>
      <c r="K406" s="13">
        <v>0.2862507603</v>
      </c>
      <c r="L406" s="12">
        <v>25.8539267039</v>
      </c>
      <c r="M406" s="13">
        <v>0.0858948199</v>
      </c>
      <c r="N406" s="13">
        <v>0.0683024556</v>
      </c>
      <c r="O406" s="13">
        <v>0.2798647256</v>
      </c>
      <c r="P406" s="13">
        <v>0.0157894736</v>
      </c>
      <c r="Q406" s="13">
        <v>0.0124162793</v>
      </c>
      <c r="R406" s="13">
        <v>0.1293579638</v>
      </c>
      <c r="S406" s="13">
        <v>0</v>
      </c>
      <c r="T406" s="13">
        <v>0.1114335473</v>
      </c>
      <c r="U406" s="13">
        <v>0.0088579046</v>
      </c>
      <c r="V406" s="13">
        <v>-0.0043944027</v>
      </c>
      <c r="W406" s="13">
        <v>-0.0008535714</v>
      </c>
      <c r="X406" s="13">
        <v>0.0004596909</v>
      </c>
      <c r="Y406" s="13">
        <v>0</v>
      </c>
      <c r="Z406" s="13">
        <v>0.0066203526</v>
      </c>
    </row>
    <row r="407" s="2" customFormat="1" hidden="1" spans="1:26">
      <c r="A407" s="11" t="s">
        <v>935</v>
      </c>
      <c r="B407" s="11" t="s">
        <v>937</v>
      </c>
      <c r="C407" s="14" t="s">
        <v>139</v>
      </c>
      <c r="D407" s="14" t="s">
        <v>938</v>
      </c>
      <c r="E407" s="14" t="s">
        <v>939</v>
      </c>
      <c r="F407" s="3" t="s">
        <v>942</v>
      </c>
      <c r="G407" s="4">
        <v>37</v>
      </c>
      <c r="H407" s="12">
        <v>6539.084</v>
      </c>
      <c r="I407" s="12">
        <v>2191.394955</v>
      </c>
      <c r="J407" s="13">
        <v>0.3351226188</v>
      </c>
      <c r="K407" s="13">
        <v>0.3351226188</v>
      </c>
      <c r="L407" s="12">
        <v>25.99</v>
      </c>
      <c r="M407" s="13">
        <v>0.0854451089</v>
      </c>
      <c r="N407" s="13">
        <v>0.0313652083</v>
      </c>
      <c r="O407" s="13">
        <v>0.273202791</v>
      </c>
      <c r="P407" s="13">
        <v>0</v>
      </c>
      <c r="Q407" s="13">
        <v>0.0003234191</v>
      </c>
      <c r="R407" s="13">
        <v>0.1433877034</v>
      </c>
      <c r="S407" s="13">
        <v>0</v>
      </c>
      <c r="T407" s="13">
        <v>0.1158553705</v>
      </c>
      <c r="U407" s="13">
        <v>0.0088115281</v>
      </c>
      <c r="V407" s="13">
        <v>0</v>
      </c>
      <c r="W407" s="13">
        <v>0</v>
      </c>
      <c r="X407" s="13">
        <v>0</v>
      </c>
      <c r="Y407" s="13">
        <v>0</v>
      </c>
      <c r="Z407" s="13">
        <v>0.0064862512</v>
      </c>
    </row>
    <row r="408" s="2" customFormat="1" hidden="1" spans="1:26">
      <c r="A408" s="11" t="s">
        <v>935</v>
      </c>
      <c r="B408" s="11" t="s">
        <v>937</v>
      </c>
      <c r="C408" s="14" t="s">
        <v>139</v>
      </c>
      <c r="D408" s="14" t="s">
        <v>938</v>
      </c>
      <c r="E408" s="14" t="s">
        <v>939</v>
      </c>
      <c r="F408" s="3" t="s">
        <v>943</v>
      </c>
      <c r="G408" s="4">
        <v>70.9999999997</v>
      </c>
      <c r="H408" s="12">
        <v>12371.240003</v>
      </c>
      <c r="I408" s="12">
        <v>2997.88952</v>
      </c>
      <c r="J408" s="13">
        <v>0.2423273268</v>
      </c>
      <c r="K408" s="13">
        <v>0.2423273268</v>
      </c>
      <c r="L408" s="12">
        <v>25.6239436682</v>
      </c>
      <c r="M408" s="13">
        <v>0.0866657531</v>
      </c>
      <c r="N408" s="13">
        <v>0.0778296592</v>
      </c>
      <c r="O408" s="13">
        <v>0.2808662681</v>
      </c>
      <c r="P408" s="13">
        <v>0.0285714285</v>
      </c>
      <c r="Q408" s="13">
        <v>0.0205015545</v>
      </c>
      <c r="R408" s="13">
        <v>0.1353872034</v>
      </c>
      <c r="S408" s="13">
        <v>0</v>
      </c>
      <c r="T408" s="13">
        <v>0.1083548618</v>
      </c>
      <c r="U408" s="13">
        <v>0.0089374071</v>
      </c>
      <c r="V408" s="13">
        <v>0</v>
      </c>
      <c r="W408" s="13">
        <v>-0.0023168367</v>
      </c>
      <c r="X408" s="13">
        <v>0</v>
      </c>
      <c r="Y408" s="13">
        <v>0</v>
      </c>
      <c r="Z408" s="13">
        <v>0.0128753737</v>
      </c>
    </row>
    <row r="409" s="2" customFormat="1" spans="1:26">
      <c r="A409" s="11" t="s">
        <v>935</v>
      </c>
      <c r="B409" s="11" t="s">
        <v>937</v>
      </c>
      <c r="C409" s="14" t="s">
        <v>139</v>
      </c>
      <c r="D409" s="14" t="s">
        <v>938</v>
      </c>
      <c r="E409" s="14" t="s">
        <v>939</v>
      </c>
      <c r="F409" s="3" t="s">
        <v>944</v>
      </c>
      <c r="G409" s="4">
        <v>83</v>
      </c>
      <c r="H409" s="12">
        <v>14668.756</v>
      </c>
      <c r="I409" s="12">
        <v>4422.752709</v>
      </c>
      <c r="J409" s="13">
        <v>0.3015083698</v>
      </c>
      <c r="K409" s="13">
        <v>0.3015083698</v>
      </c>
      <c r="L409" s="12">
        <v>25.99</v>
      </c>
      <c r="M409" s="13">
        <v>0.0854451089</v>
      </c>
      <c r="N409" s="13">
        <v>0.0767334664</v>
      </c>
      <c r="O409" s="13">
        <v>0.2819898292</v>
      </c>
      <c r="P409" s="13">
        <v>0.0120481927</v>
      </c>
      <c r="Q409" s="13">
        <v>0.0109881655</v>
      </c>
      <c r="R409" s="13">
        <v>0.1180188416</v>
      </c>
      <c r="S409" s="13">
        <v>0</v>
      </c>
      <c r="T409" s="13">
        <v>0.1120588548</v>
      </c>
      <c r="U409" s="13">
        <v>0.0088115281</v>
      </c>
      <c r="V409" s="13">
        <v>-0.010059476</v>
      </c>
      <c r="W409" s="13">
        <v>0</v>
      </c>
      <c r="X409" s="13">
        <v>0.0010523045</v>
      </c>
      <c r="Y409" s="13">
        <v>0</v>
      </c>
      <c r="Z409" s="13">
        <v>0.0014048137</v>
      </c>
    </row>
    <row r="410" s="2" customFormat="1" hidden="1" spans="1:26">
      <c r="A410" s="11" t="s">
        <v>935</v>
      </c>
      <c r="B410" s="11" t="s">
        <v>937</v>
      </c>
      <c r="C410" s="14" t="s">
        <v>143</v>
      </c>
      <c r="D410" s="14" t="s">
        <v>938</v>
      </c>
      <c r="E410" s="14" t="s">
        <v>939</v>
      </c>
      <c r="F410" s="3" t="s">
        <v>936</v>
      </c>
      <c r="G410" s="4">
        <v>314</v>
      </c>
      <c r="H410" s="12">
        <v>50324.76</v>
      </c>
      <c r="I410" s="12">
        <v>9637.583986</v>
      </c>
      <c r="J410" s="13">
        <v>0.1915077982</v>
      </c>
      <c r="K410" s="13">
        <v>0.1915077982</v>
      </c>
      <c r="L410" s="12">
        <v>23.5691082802</v>
      </c>
      <c r="M410" s="13">
        <v>0.1229452351</v>
      </c>
      <c r="N410" s="13">
        <v>0.0312147345</v>
      </c>
      <c r="O410" s="13">
        <v>0.3073668707</v>
      </c>
      <c r="P410" s="13">
        <v>0.0199900009</v>
      </c>
      <c r="Q410" s="13">
        <v>0.0121403367</v>
      </c>
      <c r="R410" s="13">
        <v>0.1862898382</v>
      </c>
      <c r="S410" s="13">
        <v>0</v>
      </c>
      <c r="T410" s="13">
        <v>0.1130974097</v>
      </c>
      <c r="U410" s="13">
        <v>0.0126787284</v>
      </c>
      <c r="V410" s="13">
        <v>-0.0017833448</v>
      </c>
      <c r="W410" s="13">
        <v>-0.0014495284</v>
      </c>
      <c r="X410" s="13">
        <v>0.0003067277</v>
      </c>
      <c r="Y410" s="13">
        <v>0</v>
      </c>
      <c r="Z410" s="13">
        <v>0.0056951928</v>
      </c>
    </row>
    <row r="411" s="2" customFormat="1" hidden="1" spans="1:26">
      <c r="A411" s="11" t="s">
        <v>935</v>
      </c>
      <c r="B411" s="11" t="s">
        <v>937</v>
      </c>
      <c r="C411" s="14" t="s">
        <v>143</v>
      </c>
      <c r="D411" s="14" t="s">
        <v>938</v>
      </c>
      <c r="E411" s="14" t="s">
        <v>939</v>
      </c>
      <c r="F411" s="3" t="s">
        <v>940</v>
      </c>
      <c r="G411" s="4">
        <v>0</v>
      </c>
      <c r="H411" s="12">
        <v>0</v>
      </c>
      <c r="I411" s="12">
        <v>-28.56</v>
      </c>
      <c r="J411" s="13"/>
      <c r="K411" s="13"/>
      <c r="L411" s="12"/>
      <c r="M411" s="13"/>
      <c r="N411" s="13"/>
      <c r="O411" s="13"/>
      <c r="P411" s="13"/>
      <c r="Q411" s="13"/>
      <c r="R411" s="13"/>
      <c r="S411" s="13"/>
      <c r="T411" s="13"/>
      <c r="U411" s="13"/>
      <c r="V411" s="13"/>
      <c r="W411" s="13"/>
      <c r="X411" s="13"/>
      <c r="Y411" s="13"/>
      <c r="Z411" s="13"/>
    </row>
    <row r="412" s="2" customFormat="1" hidden="1" spans="1:26">
      <c r="A412" s="11" t="s">
        <v>935</v>
      </c>
      <c r="B412" s="11" t="s">
        <v>937</v>
      </c>
      <c r="C412" s="14" t="s">
        <v>143</v>
      </c>
      <c r="D412" s="14" t="s">
        <v>938</v>
      </c>
      <c r="E412" s="14" t="s">
        <v>939</v>
      </c>
      <c r="F412" s="3" t="s">
        <v>941</v>
      </c>
      <c r="G412" s="4">
        <v>163</v>
      </c>
      <c r="H412" s="12">
        <v>24699.028</v>
      </c>
      <c r="I412" s="12">
        <v>4788.593032</v>
      </c>
      <c r="J412" s="13">
        <v>0.1938777927</v>
      </c>
      <c r="K412" s="13">
        <v>0.1938777927</v>
      </c>
      <c r="L412" s="12">
        <v>22.2834969325</v>
      </c>
      <c r="M412" s="13">
        <v>0.1300383672</v>
      </c>
      <c r="N412" s="13">
        <v>0.0368858438</v>
      </c>
      <c r="O412" s="13">
        <v>0.323673466</v>
      </c>
      <c r="P412" s="13">
        <v>0.0132095886</v>
      </c>
      <c r="Q412" s="13">
        <v>0.0087691013</v>
      </c>
      <c r="R412" s="13">
        <v>0.1606909238</v>
      </c>
      <c r="S412" s="13">
        <v>0</v>
      </c>
      <c r="T412" s="13">
        <v>0.1151310083</v>
      </c>
      <c r="U412" s="13">
        <v>0.0134102077</v>
      </c>
      <c r="V412" s="13">
        <v>0</v>
      </c>
      <c r="W412" s="13">
        <v>-0.0010240749</v>
      </c>
      <c r="X412" s="13">
        <v>0</v>
      </c>
      <c r="Y412" s="13">
        <v>0</v>
      </c>
      <c r="Z412" s="13">
        <v>0.0053377749</v>
      </c>
    </row>
    <row r="413" s="2" customFormat="1" hidden="1" spans="1:26">
      <c r="A413" s="11" t="s">
        <v>935</v>
      </c>
      <c r="B413" s="11" t="s">
        <v>937</v>
      </c>
      <c r="C413" s="14" t="s">
        <v>143</v>
      </c>
      <c r="D413" s="14" t="s">
        <v>938</v>
      </c>
      <c r="E413" s="14" t="s">
        <v>939</v>
      </c>
      <c r="F413" s="3" t="s">
        <v>942</v>
      </c>
      <c r="G413" s="4">
        <v>136</v>
      </c>
      <c r="H413" s="12">
        <v>22974.752</v>
      </c>
      <c r="I413" s="12">
        <v>4617.94349</v>
      </c>
      <c r="J413" s="13">
        <v>0.2010007981</v>
      </c>
      <c r="K413" s="13">
        <v>0.2010007981</v>
      </c>
      <c r="L413" s="12">
        <v>24.8429411764</v>
      </c>
      <c r="M413" s="13">
        <v>0.1166411633</v>
      </c>
      <c r="N413" s="13">
        <v>0.0244023216</v>
      </c>
      <c r="O413" s="13">
        <v>0.2938460445</v>
      </c>
      <c r="P413" s="13">
        <v>0.0295858688</v>
      </c>
      <c r="Q413" s="13">
        <v>0.0141465257</v>
      </c>
      <c r="R413" s="13">
        <v>0.1950330118</v>
      </c>
      <c r="S413" s="13">
        <v>0</v>
      </c>
      <c r="T413" s="13">
        <v>0.1101093931</v>
      </c>
      <c r="U413" s="13">
        <v>0.0120286209</v>
      </c>
      <c r="V413" s="13">
        <v>-0.0022429143</v>
      </c>
      <c r="W413" s="13">
        <v>-0.0010370844</v>
      </c>
      <c r="X413" s="13">
        <v>0</v>
      </c>
      <c r="Y413" s="13">
        <v>0</v>
      </c>
      <c r="Z413" s="13">
        <v>0.0064862504</v>
      </c>
    </row>
    <row r="414" s="2" customFormat="1" hidden="1" spans="1:26">
      <c r="A414" s="11" t="s">
        <v>935</v>
      </c>
      <c r="B414" s="11" t="s">
        <v>937</v>
      </c>
      <c r="C414" s="14" t="s">
        <v>143</v>
      </c>
      <c r="D414" s="14" t="s">
        <v>938</v>
      </c>
      <c r="E414" s="14" t="s">
        <v>939</v>
      </c>
      <c r="F414" s="3" t="s">
        <v>943</v>
      </c>
      <c r="G414" s="4">
        <v>1</v>
      </c>
      <c r="H414" s="12">
        <v>176.732</v>
      </c>
      <c r="I414" s="12">
        <v>-230.271189</v>
      </c>
      <c r="J414" s="13">
        <v>-1.3029399825</v>
      </c>
      <c r="K414" s="13">
        <v>-1.3029399825</v>
      </c>
      <c r="L414" s="12">
        <v>25.99</v>
      </c>
      <c r="M414" s="13">
        <v>0.1114932496</v>
      </c>
      <c r="N414" s="13">
        <v>0.0233253344</v>
      </c>
      <c r="O414" s="13">
        <v>0.2808772604</v>
      </c>
      <c r="P414" s="13">
        <v>0</v>
      </c>
      <c r="Q414" s="13">
        <v>0.3742657413</v>
      </c>
      <c r="R414" s="13">
        <v>1.6594569404</v>
      </c>
      <c r="S414" s="13">
        <v>0</v>
      </c>
      <c r="T414" s="13">
        <v>0.1200461716</v>
      </c>
      <c r="U414" s="13">
        <v>0.0114977423</v>
      </c>
      <c r="V414" s="13">
        <v>-0.2162370142</v>
      </c>
      <c r="W414" s="13">
        <v>-0.134818584</v>
      </c>
      <c r="X414" s="13">
        <v>0.0601577303</v>
      </c>
      <c r="Y414" s="13">
        <v>0</v>
      </c>
      <c r="Z414" s="13">
        <v>0.0128754102</v>
      </c>
    </row>
    <row r="415" s="2" customFormat="1" spans="1:26">
      <c r="A415" s="11" t="s">
        <v>935</v>
      </c>
      <c r="B415" s="11" t="s">
        <v>937</v>
      </c>
      <c r="C415" s="14" t="s">
        <v>143</v>
      </c>
      <c r="D415" s="14" t="s">
        <v>938</v>
      </c>
      <c r="E415" s="14" t="s">
        <v>939</v>
      </c>
      <c r="F415" s="3" t="s">
        <v>944</v>
      </c>
      <c r="G415" s="4">
        <v>14</v>
      </c>
      <c r="H415" s="12">
        <v>2474.248</v>
      </c>
      <c r="I415" s="12">
        <v>606.465714</v>
      </c>
      <c r="J415" s="13">
        <v>0.2451111262</v>
      </c>
      <c r="K415" s="13">
        <v>0.2451111262</v>
      </c>
      <c r="L415" s="12">
        <v>25.99</v>
      </c>
      <c r="M415" s="13">
        <v>0.1114932496</v>
      </c>
      <c r="N415" s="13">
        <v>0.0384237602</v>
      </c>
      <c r="O415" s="13">
        <v>0.2720277029</v>
      </c>
      <c r="P415" s="13">
        <v>0</v>
      </c>
      <c r="Q415" s="13">
        <v>0.001298818</v>
      </c>
      <c r="R415" s="13">
        <v>0.1967549291</v>
      </c>
      <c r="S415" s="13">
        <v>0</v>
      </c>
      <c r="T415" s="13">
        <v>0.1200461716</v>
      </c>
      <c r="U415" s="13">
        <v>0.0114977423</v>
      </c>
      <c r="V415" s="13">
        <v>0</v>
      </c>
      <c r="W415" s="13">
        <v>0</v>
      </c>
      <c r="X415" s="13">
        <v>0.001941682</v>
      </c>
      <c r="Y415" s="13">
        <v>0</v>
      </c>
      <c r="Z415" s="13">
        <v>0.0014048175</v>
      </c>
    </row>
    <row r="416" s="2" customFormat="1" hidden="1" spans="1:26">
      <c r="A416" s="11" t="s">
        <v>935</v>
      </c>
      <c r="B416" s="11" t="s">
        <v>937</v>
      </c>
      <c r="C416" s="14" t="s">
        <v>143</v>
      </c>
      <c r="D416" s="14" t="s">
        <v>938</v>
      </c>
      <c r="E416" s="14" t="s">
        <v>939</v>
      </c>
      <c r="F416" s="3" t="s">
        <v>945</v>
      </c>
      <c r="G416" s="4">
        <v>0</v>
      </c>
      <c r="H416" s="12">
        <v>0</v>
      </c>
      <c r="I416" s="12">
        <v>-116.587061</v>
      </c>
      <c r="J416" s="13"/>
      <c r="K416" s="13"/>
      <c r="L416" s="12"/>
      <c r="M416" s="13"/>
      <c r="N416" s="13"/>
      <c r="O416" s="13"/>
      <c r="P416" s="13"/>
      <c r="Q416" s="13"/>
      <c r="R416" s="13"/>
      <c r="S416" s="13"/>
      <c r="T416" s="13"/>
      <c r="U416" s="13"/>
      <c r="V416" s="13"/>
      <c r="W416" s="13"/>
      <c r="X416" s="13"/>
      <c r="Y416" s="13"/>
      <c r="Z416" s="13"/>
    </row>
    <row r="417" s="2" customFormat="1" hidden="1" spans="1:26">
      <c r="A417" s="11" t="s">
        <v>935</v>
      </c>
      <c r="B417" s="11" t="s">
        <v>937</v>
      </c>
      <c r="C417" s="14" t="s">
        <v>147</v>
      </c>
      <c r="D417" s="14" t="s">
        <v>938</v>
      </c>
      <c r="E417" s="14" t="s">
        <v>939</v>
      </c>
      <c r="F417" s="3" t="s">
        <v>936</v>
      </c>
      <c r="G417" s="4">
        <v>6</v>
      </c>
      <c r="H417" s="12">
        <v>897.192</v>
      </c>
      <c r="I417" s="12">
        <v>-568.505289</v>
      </c>
      <c r="J417" s="13">
        <v>-0.6336495298</v>
      </c>
      <c r="K417" s="13">
        <v>-0.6336495298</v>
      </c>
      <c r="L417" s="12">
        <v>21.99</v>
      </c>
      <c r="M417" s="13">
        <v>0.1402428644</v>
      </c>
      <c r="N417" s="13">
        <v>0.1021620188</v>
      </c>
      <c r="O417" s="13">
        <v>0.3583447021</v>
      </c>
      <c r="P417" s="13">
        <v>0.1666666666</v>
      </c>
      <c r="Q417" s="13">
        <v>0.4301904698</v>
      </c>
      <c r="R417" s="13">
        <v>0.324532683</v>
      </c>
      <c r="S417" s="13">
        <v>0</v>
      </c>
      <c r="T417" s="13">
        <v>0.0958769137</v>
      </c>
      <c r="U417" s="13">
        <v>0.0144625431</v>
      </c>
      <c r="V417" s="13">
        <v>0</v>
      </c>
      <c r="W417" s="13">
        <v>0</v>
      </c>
      <c r="X417" s="13">
        <v>0</v>
      </c>
      <c r="Y417" s="13">
        <v>0</v>
      </c>
      <c r="Z417" s="13">
        <v>0.001170668</v>
      </c>
    </row>
    <row r="418" s="2" customFormat="1" hidden="1" spans="1:26">
      <c r="A418" s="11" t="s">
        <v>935</v>
      </c>
      <c r="B418" s="11" t="s">
        <v>937</v>
      </c>
      <c r="C418" s="14" t="s">
        <v>147</v>
      </c>
      <c r="D418" s="14" t="s">
        <v>938</v>
      </c>
      <c r="E418" s="14" t="s">
        <v>939</v>
      </c>
      <c r="F418" s="3" t="s">
        <v>942</v>
      </c>
      <c r="G418" s="4">
        <v>0</v>
      </c>
      <c r="H418" s="12">
        <v>0</v>
      </c>
      <c r="I418" s="12">
        <v>-26.792</v>
      </c>
      <c r="J418" s="13"/>
      <c r="K418" s="13"/>
      <c r="L418" s="12"/>
      <c r="M418" s="13"/>
      <c r="N418" s="13"/>
      <c r="O418" s="13"/>
      <c r="P418" s="13"/>
      <c r="Q418" s="13"/>
      <c r="R418" s="13"/>
      <c r="S418" s="13"/>
      <c r="T418" s="13"/>
      <c r="U418" s="13"/>
      <c r="V418" s="13"/>
      <c r="W418" s="13"/>
      <c r="X418" s="13"/>
      <c r="Y418" s="13"/>
      <c r="Z418" s="13"/>
    </row>
    <row r="419" s="2" customFormat="1" hidden="1" spans="1:26">
      <c r="A419" s="11" t="s">
        <v>935</v>
      </c>
      <c r="B419" s="11" t="s">
        <v>937</v>
      </c>
      <c r="C419" s="14" t="s">
        <v>147</v>
      </c>
      <c r="D419" s="14" t="s">
        <v>938</v>
      </c>
      <c r="E419" s="14" t="s">
        <v>939</v>
      </c>
      <c r="F419" s="3" t="s">
        <v>943</v>
      </c>
      <c r="G419" s="4">
        <v>0</v>
      </c>
      <c r="H419" s="12">
        <v>0</v>
      </c>
      <c r="I419" s="12">
        <v>-123.10789</v>
      </c>
      <c r="J419" s="13"/>
      <c r="K419" s="13"/>
      <c r="L419" s="12"/>
      <c r="M419" s="13"/>
      <c r="N419" s="13"/>
      <c r="O419" s="13"/>
      <c r="P419" s="13"/>
      <c r="Q419" s="13"/>
      <c r="R419" s="13"/>
      <c r="S419" s="13"/>
      <c r="T419" s="13"/>
      <c r="U419" s="13"/>
      <c r="V419" s="13"/>
      <c r="W419" s="13"/>
      <c r="X419" s="13"/>
      <c r="Y419" s="13"/>
      <c r="Z419" s="13"/>
    </row>
    <row r="420" s="2" customFormat="1" spans="1:26">
      <c r="A420" s="11" t="s">
        <v>935</v>
      </c>
      <c r="B420" s="11" t="s">
        <v>937</v>
      </c>
      <c r="C420" s="14" t="s">
        <v>147</v>
      </c>
      <c r="D420" s="14" t="s">
        <v>938</v>
      </c>
      <c r="E420" s="14" t="s">
        <v>939</v>
      </c>
      <c r="F420" s="3" t="s">
        <v>944</v>
      </c>
      <c r="G420" s="4">
        <v>5</v>
      </c>
      <c r="H420" s="12">
        <v>747.66</v>
      </c>
      <c r="I420" s="12">
        <v>-444.266581</v>
      </c>
      <c r="J420" s="13">
        <v>-0.5942093745</v>
      </c>
      <c r="K420" s="13">
        <v>-0.5942093745</v>
      </c>
      <c r="L420" s="12">
        <v>21.99</v>
      </c>
      <c r="M420" s="13">
        <v>0.1402428644</v>
      </c>
      <c r="N420" s="13">
        <v>0.1021620188</v>
      </c>
      <c r="O420" s="13">
        <v>0.3583447021</v>
      </c>
      <c r="P420" s="13">
        <v>0.2</v>
      </c>
      <c r="Q420" s="13">
        <v>0.404686031</v>
      </c>
      <c r="R420" s="13">
        <v>0.2818650308</v>
      </c>
      <c r="S420" s="13">
        <v>0</v>
      </c>
      <c r="T420" s="13">
        <v>0.0910413824</v>
      </c>
      <c r="U420" s="13">
        <v>0.0144625431</v>
      </c>
      <c r="V420" s="13">
        <v>0</v>
      </c>
      <c r="W420" s="13">
        <v>0</v>
      </c>
      <c r="X420" s="13">
        <v>0</v>
      </c>
      <c r="Y420" s="13">
        <v>0</v>
      </c>
      <c r="Z420" s="13">
        <v>0.0014048016</v>
      </c>
    </row>
    <row r="421" s="2" customFormat="1" hidden="1" spans="1:26">
      <c r="A421" s="11" t="s">
        <v>935</v>
      </c>
      <c r="B421" s="11" t="s">
        <v>937</v>
      </c>
      <c r="C421" s="14" t="s">
        <v>147</v>
      </c>
      <c r="D421" s="14" t="s">
        <v>938</v>
      </c>
      <c r="E421" s="14" t="s">
        <v>939</v>
      </c>
      <c r="F421" s="3" t="s">
        <v>945</v>
      </c>
      <c r="G421" s="4">
        <v>1</v>
      </c>
      <c r="H421" s="12">
        <v>149.532</v>
      </c>
      <c r="I421" s="12">
        <v>25.661182</v>
      </c>
      <c r="J421" s="13">
        <v>0.1716099697</v>
      </c>
      <c r="K421" s="13">
        <v>0.1716099697</v>
      </c>
      <c r="L421" s="12">
        <v>21.99</v>
      </c>
      <c r="M421" s="13">
        <v>0.1402428644</v>
      </c>
      <c r="N421" s="13">
        <v>0.1021620188</v>
      </c>
      <c r="O421" s="13">
        <v>0.3583447021</v>
      </c>
      <c r="P421" s="13">
        <v>0</v>
      </c>
      <c r="Q421" s="13">
        <v>0</v>
      </c>
      <c r="R421" s="13">
        <v>0.0931233314</v>
      </c>
      <c r="S421" s="13">
        <v>0</v>
      </c>
      <c r="T421" s="13">
        <v>0.1200545702</v>
      </c>
      <c r="U421" s="13">
        <v>0.0144625431</v>
      </c>
      <c r="V421" s="13">
        <v>0</v>
      </c>
      <c r="W421" s="13">
        <v>0</v>
      </c>
      <c r="X421" s="13">
        <v>0</v>
      </c>
      <c r="Y421" s="13">
        <v>0</v>
      </c>
      <c r="Z421" s="13">
        <v>0</v>
      </c>
    </row>
    <row r="422" s="2" customFormat="1" hidden="1" spans="1:26">
      <c r="A422" s="11" t="s">
        <v>935</v>
      </c>
      <c r="B422" s="11" t="s">
        <v>937</v>
      </c>
      <c r="C422" s="14" t="s">
        <v>151</v>
      </c>
      <c r="D422" s="14" t="s">
        <v>938</v>
      </c>
      <c r="E422" s="14" t="s">
        <v>939</v>
      </c>
      <c r="F422" s="3" t="s">
        <v>936</v>
      </c>
      <c r="G422" s="4">
        <v>399</v>
      </c>
      <c r="H422" s="12">
        <v>63040.216</v>
      </c>
      <c r="I422" s="12">
        <v>13112.395296</v>
      </c>
      <c r="J422" s="13">
        <v>0.2080004817</v>
      </c>
      <c r="K422" s="13">
        <v>0.2080004817</v>
      </c>
      <c r="L422" s="12">
        <v>23.2346365914</v>
      </c>
      <c r="M422" s="13">
        <v>0.0978022934</v>
      </c>
      <c r="N422" s="13">
        <v>0.0381783587</v>
      </c>
      <c r="O422" s="13">
        <v>0.3225091741</v>
      </c>
      <c r="P422" s="13">
        <v>0.022254175</v>
      </c>
      <c r="Q422" s="13">
        <v>0.0142722581</v>
      </c>
      <c r="R422" s="13">
        <v>0.1664811219</v>
      </c>
      <c r="S422" s="13">
        <v>0</v>
      </c>
      <c r="T422" s="13">
        <v>0.112358181</v>
      </c>
      <c r="U422" s="13">
        <v>0.0100858625</v>
      </c>
      <c r="V422" s="13">
        <v>-0.0006062161</v>
      </c>
      <c r="W422" s="13">
        <v>-0.0006850411</v>
      </c>
      <c r="X422" s="13">
        <v>0.0012242978</v>
      </c>
      <c r="Y422" s="13">
        <v>0</v>
      </c>
      <c r="Z422" s="13">
        <v>0.0081250527</v>
      </c>
    </row>
    <row r="423" s="2" customFormat="1" hidden="1" spans="1:26">
      <c r="A423" s="11" t="s">
        <v>935</v>
      </c>
      <c r="B423" s="11" t="s">
        <v>937</v>
      </c>
      <c r="C423" s="14" t="s">
        <v>151</v>
      </c>
      <c r="D423" s="14" t="s">
        <v>938</v>
      </c>
      <c r="E423" s="14" t="s">
        <v>939</v>
      </c>
      <c r="F423" s="3" t="s">
        <v>940</v>
      </c>
      <c r="G423" s="4">
        <v>10</v>
      </c>
      <c r="H423" s="12">
        <v>1468.12</v>
      </c>
      <c r="I423" s="12">
        <v>-764.12336</v>
      </c>
      <c r="J423" s="13">
        <v>-0.5204774541</v>
      </c>
      <c r="K423" s="13">
        <v>-0.5204774541</v>
      </c>
      <c r="L423" s="12">
        <v>21.59</v>
      </c>
      <c r="M423" s="13">
        <v>0.1055169195</v>
      </c>
      <c r="N423" s="13">
        <v>0.0482468599</v>
      </c>
      <c r="O423" s="13">
        <v>0.3332098193</v>
      </c>
      <c r="P423" s="13">
        <v>0</v>
      </c>
      <c r="Q423" s="13">
        <v>0.0008192204</v>
      </c>
      <c r="R423" s="13">
        <v>1.0075664904</v>
      </c>
      <c r="S423" s="13">
        <v>0</v>
      </c>
      <c r="T423" s="13">
        <v>0.0138953219</v>
      </c>
      <c r="U423" s="13">
        <v>0.0108814333</v>
      </c>
      <c r="V423" s="13">
        <v>0</v>
      </c>
      <c r="W423" s="13">
        <v>0</v>
      </c>
      <c r="X423" s="13">
        <v>0</v>
      </c>
      <c r="Y423" s="13">
        <v>0</v>
      </c>
      <c r="Z423" s="13">
        <v>0.0003413889</v>
      </c>
    </row>
    <row r="424" s="2" customFormat="1" hidden="1" spans="1:26">
      <c r="A424" s="11" t="s">
        <v>935</v>
      </c>
      <c r="B424" s="11" t="s">
        <v>937</v>
      </c>
      <c r="C424" s="14" t="s">
        <v>151</v>
      </c>
      <c r="D424" s="14" t="s">
        <v>938</v>
      </c>
      <c r="E424" s="14" t="s">
        <v>939</v>
      </c>
      <c r="F424" s="3" t="s">
        <v>941</v>
      </c>
      <c r="G424" s="4">
        <v>73</v>
      </c>
      <c r="H424" s="12">
        <v>10717.276</v>
      </c>
      <c r="I424" s="12">
        <v>1629.391844</v>
      </c>
      <c r="J424" s="13">
        <v>0.1520341403</v>
      </c>
      <c r="K424" s="13">
        <v>0.1520341403</v>
      </c>
      <c r="L424" s="12">
        <v>21.59</v>
      </c>
      <c r="M424" s="13">
        <v>0.1055169195</v>
      </c>
      <c r="N424" s="13">
        <v>0.0482468667</v>
      </c>
      <c r="O424" s="13">
        <v>0.3472244253</v>
      </c>
      <c r="P424" s="13">
        <v>0</v>
      </c>
      <c r="Q424" s="13">
        <v>0.0198597689</v>
      </c>
      <c r="R424" s="13">
        <v>0.1960497166</v>
      </c>
      <c r="S424" s="13">
        <v>0</v>
      </c>
      <c r="T424" s="13">
        <v>0.1148489597</v>
      </c>
      <c r="U424" s="13">
        <v>0.0108814333</v>
      </c>
      <c r="V424" s="13">
        <v>0</v>
      </c>
      <c r="W424" s="13">
        <v>0</v>
      </c>
      <c r="X424" s="13">
        <v>0</v>
      </c>
      <c r="Y424" s="13">
        <v>0</v>
      </c>
      <c r="Z424" s="13">
        <v>0.0053377692</v>
      </c>
    </row>
    <row r="425" s="2" customFormat="1" hidden="1" spans="1:26">
      <c r="A425" s="11" t="s">
        <v>935</v>
      </c>
      <c r="B425" s="11" t="s">
        <v>937</v>
      </c>
      <c r="C425" s="14" t="s">
        <v>151</v>
      </c>
      <c r="D425" s="14" t="s">
        <v>938</v>
      </c>
      <c r="E425" s="14" t="s">
        <v>939</v>
      </c>
      <c r="F425" s="3" t="s">
        <v>942</v>
      </c>
      <c r="G425" s="4">
        <v>180</v>
      </c>
      <c r="H425" s="12">
        <v>26294.24</v>
      </c>
      <c r="I425" s="12">
        <v>5109.430686</v>
      </c>
      <c r="J425" s="13">
        <v>0.1943174887</v>
      </c>
      <c r="K425" s="13">
        <v>0.1943174887</v>
      </c>
      <c r="L425" s="12">
        <v>21.4822222222</v>
      </c>
      <c r="M425" s="13">
        <v>0.1054571591</v>
      </c>
      <c r="N425" s="13">
        <v>0.0252161889</v>
      </c>
      <c r="O425" s="13">
        <v>0.349495707</v>
      </c>
      <c r="P425" s="13">
        <v>0.0335005689</v>
      </c>
      <c r="Q425" s="13">
        <v>0.0142183186</v>
      </c>
      <c r="R425" s="13">
        <v>0.1493755458</v>
      </c>
      <c r="S425" s="13">
        <v>0</v>
      </c>
      <c r="T425" s="13">
        <v>0.1116116685</v>
      </c>
      <c r="U425" s="13">
        <v>0.0108752705</v>
      </c>
      <c r="V425" s="13">
        <v>0.000175856</v>
      </c>
      <c r="W425" s="13">
        <v>-0.0007300187</v>
      </c>
      <c r="X425" s="13">
        <v>0</v>
      </c>
      <c r="Y425" s="13">
        <v>0</v>
      </c>
      <c r="Z425" s="13">
        <v>0.0064862462</v>
      </c>
    </row>
    <row r="426" s="2" customFormat="1" hidden="1" spans="1:26">
      <c r="A426" s="11" t="s">
        <v>935</v>
      </c>
      <c r="B426" s="11" t="s">
        <v>937</v>
      </c>
      <c r="C426" s="14" t="s">
        <v>151</v>
      </c>
      <c r="D426" s="14" t="s">
        <v>938</v>
      </c>
      <c r="E426" s="14" t="s">
        <v>939</v>
      </c>
      <c r="F426" s="3" t="s">
        <v>943</v>
      </c>
      <c r="G426" s="4">
        <v>121</v>
      </c>
      <c r="H426" s="12">
        <v>21746.4</v>
      </c>
      <c r="I426" s="12">
        <v>6636.615052</v>
      </c>
      <c r="J426" s="13">
        <v>0.3051822394</v>
      </c>
      <c r="K426" s="13">
        <v>0.3051822394</v>
      </c>
      <c r="L426" s="12">
        <v>26.4297520661</v>
      </c>
      <c r="M426" s="13">
        <v>0.0861949173</v>
      </c>
      <c r="N426" s="13">
        <v>0.0472879956</v>
      </c>
      <c r="O426" s="13">
        <v>0.2832989368</v>
      </c>
      <c r="P426" s="13">
        <v>0.0240056285</v>
      </c>
      <c r="Q426" s="13">
        <v>0.0102844226</v>
      </c>
      <c r="R426" s="13">
        <v>0.1037017375</v>
      </c>
      <c r="S426" s="13">
        <v>0</v>
      </c>
      <c r="T426" s="13">
        <v>0.1176954346</v>
      </c>
      <c r="U426" s="13">
        <v>0.0088888518</v>
      </c>
      <c r="V426" s="13">
        <v>0</v>
      </c>
      <c r="W426" s="13">
        <v>-0.0011031645</v>
      </c>
      <c r="X426" s="13">
        <v>0.0016876169</v>
      </c>
      <c r="Y426" s="13">
        <v>0</v>
      </c>
      <c r="Z426" s="13">
        <v>0.012875383</v>
      </c>
    </row>
    <row r="427" s="2" customFormat="1" spans="1:26">
      <c r="A427" s="11" t="s">
        <v>935</v>
      </c>
      <c r="B427" s="11" t="s">
        <v>937</v>
      </c>
      <c r="C427" s="14" t="s">
        <v>151</v>
      </c>
      <c r="D427" s="14" t="s">
        <v>938</v>
      </c>
      <c r="E427" s="14" t="s">
        <v>939</v>
      </c>
      <c r="F427" s="3" t="s">
        <v>944</v>
      </c>
      <c r="G427" s="4">
        <v>15</v>
      </c>
      <c r="H427" s="12">
        <v>2814.18</v>
      </c>
      <c r="I427" s="12">
        <v>562.651055</v>
      </c>
      <c r="J427" s="13">
        <v>0.199934281</v>
      </c>
      <c r="K427" s="13">
        <v>0.199934281</v>
      </c>
      <c r="L427" s="12">
        <v>27.59</v>
      </c>
      <c r="M427" s="13">
        <v>0.0825701447</v>
      </c>
      <c r="N427" s="13">
        <v>0.0452993838</v>
      </c>
      <c r="O427" s="13">
        <v>0.2736498731</v>
      </c>
      <c r="P427" s="13">
        <v>0</v>
      </c>
      <c r="Q427" s="13">
        <v>0.0313312751</v>
      </c>
      <c r="R427" s="13">
        <v>0.2381626456</v>
      </c>
      <c r="S427" s="13">
        <v>0</v>
      </c>
      <c r="T427" s="13">
        <v>0.1199710039</v>
      </c>
      <c r="U427" s="13">
        <v>0.008515047</v>
      </c>
      <c r="V427" s="13">
        <v>-0.0152229068</v>
      </c>
      <c r="W427" s="13">
        <v>0</v>
      </c>
      <c r="X427" s="13">
        <v>0.0143844412</v>
      </c>
      <c r="Y427" s="13">
        <v>0</v>
      </c>
      <c r="Z427" s="13">
        <v>0.0014048109</v>
      </c>
    </row>
    <row r="428" s="2" customFormat="1" hidden="1" spans="1:26">
      <c r="A428" s="11" t="s">
        <v>935</v>
      </c>
      <c r="B428" s="11" t="s">
        <v>937</v>
      </c>
      <c r="C428" s="14" t="s">
        <v>151</v>
      </c>
      <c r="D428" s="14" t="s">
        <v>938</v>
      </c>
      <c r="E428" s="14" t="s">
        <v>939</v>
      </c>
      <c r="F428" s="3" t="s">
        <v>945</v>
      </c>
      <c r="G428" s="4">
        <v>0</v>
      </c>
      <c r="H428" s="12">
        <v>0</v>
      </c>
      <c r="I428" s="12">
        <v>-61.569981</v>
      </c>
      <c r="J428" s="13"/>
      <c r="K428" s="13"/>
      <c r="L428" s="12"/>
      <c r="M428" s="13"/>
      <c r="N428" s="13"/>
      <c r="O428" s="13"/>
      <c r="P428" s="13"/>
      <c r="Q428" s="13"/>
      <c r="R428" s="13"/>
      <c r="S428" s="13"/>
      <c r="T428" s="13"/>
      <c r="U428" s="13"/>
      <c r="V428" s="13"/>
      <c r="W428" s="13"/>
      <c r="X428" s="13"/>
      <c r="Y428" s="13"/>
      <c r="Z428" s="13"/>
    </row>
    <row r="429" s="2" customFormat="1" hidden="1" spans="1:26">
      <c r="A429" s="11" t="s">
        <v>935</v>
      </c>
      <c r="B429" s="11" t="s">
        <v>937</v>
      </c>
      <c r="C429" s="14" t="s">
        <v>155</v>
      </c>
      <c r="D429" s="14" t="s">
        <v>938</v>
      </c>
      <c r="E429" s="14" t="s">
        <v>939</v>
      </c>
      <c r="F429" s="3" t="s">
        <v>936</v>
      </c>
      <c r="G429" s="4">
        <v>66</v>
      </c>
      <c r="H429" s="12">
        <v>9056.104</v>
      </c>
      <c r="I429" s="12">
        <v>-4038.996486</v>
      </c>
      <c r="J429" s="13">
        <v>-0.4459971402</v>
      </c>
      <c r="K429" s="13">
        <v>-0.4459971402</v>
      </c>
      <c r="L429" s="12">
        <v>20.1784848484</v>
      </c>
      <c r="M429" s="13">
        <v>0.1063204078</v>
      </c>
      <c r="N429" s="13">
        <v>0.0515368796</v>
      </c>
      <c r="O429" s="13">
        <v>0.3147141419</v>
      </c>
      <c r="P429" s="13">
        <v>0.1801348571</v>
      </c>
      <c r="Q429" s="13">
        <v>0.1239668707</v>
      </c>
      <c r="R429" s="13">
        <v>0.2218955966</v>
      </c>
      <c r="S429" s="13">
        <v>0</v>
      </c>
      <c r="T429" s="13">
        <v>0.0970881076</v>
      </c>
      <c r="U429" s="13">
        <v>0.0109642904</v>
      </c>
      <c r="V429" s="13">
        <v>-0.0234873627</v>
      </c>
      <c r="W429" s="13">
        <v>-0.0077436308</v>
      </c>
      <c r="X429" s="13">
        <v>0.0034089714</v>
      </c>
      <c r="Y429" s="13">
        <v>0</v>
      </c>
      <c r="Z429" s="13">
        <v>0.3671980101</v>
      </c>
    </row>
    <row r="430" s="2" customFormat="1" hidden="1" spans="1:26">
      <c r="A430" s="11" t="s">
        <v>935</v>
      </c>
      <c r="B430" s="11" t="s">
        <v>937</v>
      </c>
      <c r="C430" s="14" t="s">
        <v>155</v>
      </c>
      <c r="D430" s="14" t="s">
        <v>938</v>
      </c>
      <c r="E430" s="14" t="s">
        <v>939</v>
      </c>
      <c r="F430" s="3" t="s">
        <v>940</v>
      </c>
      <c r="G430" s="4">
        <v>1</v>
      </c>
      <c r="H430" s="12">
        <v>163.132</v>
      </c>
      <c r="I430" s="12">
        <v>16.139073</v>
      </c>
      <c r="J430" s="13">
        <v>0.0989326005</v>
      </c>
      <c r="K430" s="13">
        <v>0.0989326005</v>
      </c>
      <c r="L430" s="12">
        <v>23.99</v>
      </c>
      <c r="M430" s="13">
        <v>0.100038429</v>
      </c>
      <c r="N430" s="13">
        <v>0.0506160532</v>
      </c>
      <c r="O430" s="13">
        <v>0.3038766152</v>
      </c>
      <c r="P430" s="13">
        <v>0</v>
      </c>
      <c r="Q430" s="13">
        <v>0.0008191771</v>
      </c>
      <c r="R430" s="13">
        <v>0.3270976632</v>
      </c>
      <c r="S430" s="13">
        <v>0</v>
      </c>
      <c r="T430" s="13">
        <v>0.1079616506</v>
      </c>
      <c r="U430" s="13">
        <v>0.0103164615</v>
      </c>
      <c r="V430" s="13">
        <v>0</v>
      </c>
      <c r="W430" s="13">
        <v>0</v>
      </c>
      <c r="X430" s="13">
        <v>0</v>
      </c>
      <c r="Y430" s="13">
        <v>0</v>
      </c>
      <c r="Z430" s="13">
        <v>0.0003413493</v>
      </c>
    </row>
    <row r="431" s="2" customFormat="1" hidden="1" spans="1:26">
      <c r="A431" s="11" t="s">
        <v>935</v>
      </c>
      <c r="B431" s="11" t="s">
        <v>937</v>
      </c>
      <c r="C431" s="14" t="s">
        <v>155</v>
      </c>
      <c r="D431" s="14" t="s">
        <v>938</v>
      </c>
      <c r="E431" s="14" t="s">
        <v>939</v>
      </c>
      <c r="F431" s="3" t="s">
        <v>941</v>
      </c>
      <c r="G431" s="4">
        <v>55</v>
      </c>
      <c r="H431" s="12">
        <v>7558.132</v>
      </c>
      <c r="I431" s="12">
        <v>63.312666</v>
      </c>
      <c r="J431" s="13">
        <v>0.008376761</v>
      </c>
      <c r="K431" s="13">
        <v>0.008376761</v>
      </c>
      <c r="L431" s="12">
        <v>20.2089090908</v>
      </c>
      <c r="M431" s="13">
        <v>0.1079596717</v>
      </c>
      <c r="N431" s="13">
        <v>0.0546239335</v>
      </c>
      <c r="O431" s="13">
        <v>0.3144607688</v>
      </c>
      <c r="P431" s="13">
        <v>0.1726691198</v>
      </c>
      <c r="Q431" s="13">
        <v>0.029790439</v>
      </c>
      <c r="R431" s="13">
        <v>0.2023035827</v>
      </c>
      <c r="S431" s="13">
        <v>0</v>
      </c>
      <c r="T431" s="13">
        <v>0.0972028538</v>
      </c>
      <c r="U431" s="13">
        <v>0.0111333395</v>
      </c>
      <c r="V431" s="13">
        <v>0.002645098</v>
      </c>
      <c r="W431" s="13">
        <v>-0.0065033442</v>
      </c>
      <c r="X431" s="13">
        <v>0</v>
      </c>
      <c r="Y431" s="13">
        <v>0</v>
      </c>
      <c r="Z431" s="13">
        <v>0.0053377757</v>
      </c>
    </row>
    <row r="432" s="2" customFormat="1" hidden="1" spans="1:26">
      <c r="A432" s="11" t="s">
        <v>935</v>
      </c>
      <c r="B432" s="11" t="s">
        <v>937</v>
      </c>
      <c r="C432" s="14" t="s">
        <v>155</v>
      </c>
      <c r="D432" s="14" t="s">
        <v>938</v>
      </c>
      <c r="E432" s="14" t="s">
        <v>939</v>
      </c>
      <c r="F432" s="3" t="s">
        <v>942</v>
      </c>
      <c r="G432" s="4">
        <v>4</v>
      </c>
      <c r="H432" s="12">
        <v>356.048</v>
      </c>
      <c r="I432" s="12">
        <v>-2662.628378</v>
      </c>
      <c r="J432" s="13">
        <v>-7.4782848885</v>
      </c>
      <c r="K432" s="13">
        <v>-7.4782848885</v>
      </c>
      <c r="L432" s="12">
        <v>13.09</v>
      </c>
      <c r="M432" s="13">
        <v>0.0916700501</v>
      </c>
      <c r="N432" s="13">
        <v>0.0261454803</v>
      </c>
      <c r="O432" s="13">
        <v>0.2975553857</v>
      </c>
      <c r="P432" s="13">
        <v>0.9163483575</v>
      </c>
      <c r="Q432" s="13">
        <v>1.3769219964</v>
      </c>
      <c r="R432" s="13">
        <v>0.0374017941</v>
      </c>
      <c r="S432" s="13">
        <v>0</v>
      </c>
      <c r="T432" s="13">
        <v>0.0265469824</v>
      </c>
      <c r="U432" s="13">
        <v>0.0094534725</v>
      </c>
      <c r="V432" s="13">
        <v>0.0259740259</v>
      </c>
      <c r="W432" s="13">
        <v>-0.0589077652</v>
      </c>
      <c r="X432" s="13">
        <v>0</v>
      </c>
      <c r="Y432" s="13">
        <v>0</v>
      </c>
      <c r="Z432" s="13">
        <v>5.7291751083</v>
      </c>
    </row>
    <row r="433" s="2" customFormat="1" hidden="1" spans="1:26">
      <c r="A433" s="11" t="s">
        <v>935</v>
      </c>
      <c r="B433" s="11" t="s">
        <v>937</v>
      </c>
      <c r="C433" s="14" t="s">
        <v>155</v>
      </c>
      <c r="D433" s="14" t="s">
        <v>938</v>
      </c>
      <c r="E433" s="14" t="s">
        <v>939</v>
      </c>
      <c r="F433" s="3" t="s">
        <v>943</v>
      </c>
      <c r="G433" s="4">
        <v>1</v>
      </c>
      <c r="H433" s="12">
        <v>163.132</v>
      </c>
      <c r="I433" s="12">
        <v>-829.418591</v>
      </c>
      <c r="J433" s="13">
        <v>-5.0843402336</v>
      </c>
      <c r="K433" s="13">
        <v>-5.0843402336</v>
      </c>
      <c r="L433" s="12">
        <v>23.99</v>
      </c>
      <c r="M433" s="13">
        <v>0.100038429</v>
      </c>
      <c r="N433" s="13">
        <v>0.0370888789</v>
      </c>
      <c r="O433" s="13">
        <v>0.3247186327</v>
      </c>
      <c r="P433" s="13">
        <v>0</v>
      </c>
      <c r="Q433" s="13">
        <v>1.8901387894</v>
      </c>
      <c r="R433" s="13">
        <v>0.3705433023</v>
      </c>
      <c r="S433" s="13">
        <v>0</v>
      </c>
      <c r="T433" s="13">
        <v>0.1200500208</v>
      </c>
      <c r="U433" s="13">
        <v>0.0103164615</v>
      </c>
      <c r="V433" s="13">
        <v>-1.4831179658</v>
      </c>
      <c r="W433" s="13">
        <v>0</v>
      </c>
      <c r="X433" s="13">
        <v>0.1597957298</v>
      </c>
      <c r="Y433" s="13">
        <v>0</v>
      </c>
      <c r="Z433" s="13">
        <v>4.5547679546</v>
      </c>
    </row>
    <row r="434" s="2" customFormat="1" spans="1:26">
      <c r="A434" s="11" t="s">
        <v>935</v>
      </c>
      <c r="B434" s="11" t="s">
        <v>937</v>
      </c>
      <c r="C434" s="14" t="s">
        <v>155</v>
      </c>
      <c r="D434" s="14" t="s">
        <v>938</v>
      </c>
      <c r="E434" s="14" t="s">
        <v>939</v>
      </c>
      <c r="F434" s="3" t="s">
        <v>944</v>
      </c>
      <c r="G434" s="4">
        <v>2</v>
      </c>
      <c r="H434" s="12">
        <v>326.264</v>
      </c>
      <c r="I434" s="12">
        <v>-700.851375</v>
      </c>
      <c r="J434" s="13">
        <v>-2.1481112687</v>
      </c>
      <c r="K434" s="13">
        <v>-2.1481112687</v>
      </c>
      <c r="L434" s="12">
        <v>23.99</v>
      </c>
      <c r="M434" s="13">
        <v>0.100038429</v>
      </c>
      <c r="N434" s="13">
        <v>0.0370888789</v>
      </c>
      <c r="O434" s="13">
        <v>0.3247186327</v>
      </c>
      <c r="P434" s="13">
        <v>0</v>
      </c>
      <c r="Q434" s="13">
        <v>0.3027325264</v>
      </c>
      <c r="R434" s="13">
        <v>0.6995210259</v>
      </c>
      <c r="S434" s="13">
        <v>0</v>
      </c>
      <c r="T434" s="13">
        <v>0.1200500208</v>
      </c>
      <c r="U434" s="13">
        <v>0.0103164615</v>
      </c>
      <c r="V434" s="13">
        <v>0</v>
      </c>
      <c r="W434" s="13">
        <v>0</v>
      </c>
      <c r="X434" s="13">
        <v>0.0147248945</v>
      </c>
      <c r="Y434" s="13">
        <v>0</v>
      </c>
      <c r="Z434" s="13">
        <v>1.5389203987</v>
      </c>
    </row>
    <row r="435" s="2" customFormat="1" hidden="1" spans="1:26">
      <c r="A435" s="11" t="s">
        <v>935</v>
      </c>
      <c r="B435" s="11" t="s">
        <v>937</v>
      </c>
      <c r="C435" s="14" t="s">
        <v>155</v>
      </c>
      <c r="D435" s="14" t="s">
        <v>938</v>
      </c>
      <c r="E435" s="14" t="s">
        <v>939</v>
      </c>
      <c r="F435" s="3" t="s">
        <v>945</v>
      </c>
      <c r="G435" s="4">
        <v>3</v>
      </c>
      <c r="H435" s="12">
        <v>489.396</v>
      </c>
      <c r="I435" s="12">
        <v>74.450119</v>
      </c>
      <c r="J435" s="13">
        <v>0.1521265376</v>
      </c>
      <c r="K435" s="13">
        <v>0.1521265376</v>
      </c>
      <c r="L435" s="12">
        <v>23.99</v>
      </c>
      <c r="M435" s="13">
        <v>0.100038429</v>
      </c>
      <c r="N435" s="13">
        <v>0.0370888789</v>
      </c>
      <c r="O435" s="13">
        <v>0.3247186327</v>
      </c>
      <c r="P435" s="13">
        <v>0</v>
      </c>
      <c r="Q435" s="13">
        <v>0</v>
      </c>
      <c r="R435" s="13">
        <v>0.2556610393</v>
      </c>
      <c r="S435" s="13">
        <v>0</v>
      </c>
      <c r="T435" s="13">
        <v>0.1200500208</v>
      </c>
      <c r="U435" s="13">
        <v>0.0103164615</v>
      </c>
      <c r="V435" s="13">
        <v>0</v>
      </c>
      <c r="W435" s="13">
        <v>0</v>
      </c>
      <c r="X435" s="13">
        <v>0</v>
      </c>
      <c r="Y435" s="13">
        <v>0</v>
      </c>
      <c r="Z435" s="13">
        <v>0</v>
      </c>
    </row>
    <row r="436" s="2" customFormat="1" hidden="1" spans="1:26">
      <c r="A436" s="11" t="s">
        <v>935</v>
      </c>
      <c r="B436" s="11" t="s">
        <v>937</v>
      </c>
      <c r="C436" s="14" t="s">
        <v>159</v>
      </c>
      <c r="D436" s="14" t="s">
        <v>938</v>
      </c>
      <c r="E436" s="14" t="s">
        <v>939</v>
      </c>
      <c r="F436" s="3" t="s">
        <v>936</v>
      </c>
      <c r="G436" s="4">
        <v>161</v>
      </c>
      <c r="H436" s="12">
        <v>23240.156</v>
      </c>
      <c r="I436" s="12">
        <v>-2847.771106</v>
      </c>
      <c r="J436" s="13">
        <v>-0.1225366605</v>
      </c>
      <c r="K436" s="13">
        <v>-0.1225366605</v>
      </c>
      <c r="L436" s="12">
        <v>21.2277639751</v>
      </c>
      <c r="M436" s="13">
        <v>0.1200234127</v>
      </c>
      <c r="N436" s="13">
        <v>0.0225491774</v>
      </c>
      <c r="O436" s="13">
        <v>0.2952157464</v>
      </c>
      <c r="P436" s="13">
        <v>0.2951074855</v>
      </c>
      <c r="Q436" s="13">
        <v>0.0516972614</v>
      </c>
      <c r="R436" s="13">
        <v>0.2449497257</v>
      </c>
      <c r="S436" s="13">
        <v>0</v>
      </c>
      <c r="T436" s="13">
        <v>0.0847097584</v>
      </c>
      <c r="U436" s="13">
        <v>0.012377416</v>
      </c>
      <c r="V436" s="13">
        <v>0.0009567922</v>
      </c>
      <c r="W436" s="13">
        <v>-0.0209460597</v>
      </c>
      <c r="X436" s="13">
        <v>0.0092987327</v>
      </c>
      <c r="Y436" s="13">
        <v>0</v>
      </c>
      <c r="Z436" s="13">
        <v>0.0065972115</v>
      </c>
    </row>
    <row r="437" s="2" customFormat="1" hidden="1" spans="1:26">
      <c r="A437" s="11" t="s">
        <v>935</v>
      </c>
      <c r="B437" s="11" t="s">
        <v>937</v>
      </c>
      <c r="C437" s="14" t="s">
        <v>159</v>
      </c>
      <c r="D437" s="14" t="s">
        <v>938</v>
      </c>
      <c r="E437" s="14" t="s">
        <v>939</v>
      </c>
      <c r="F437" s="3" t="s">
        <v>940</v>
      </c>
      <c r="G437" s="4">
        <v>0</v>
      </c>
      <c r="H437" s="12">
        <v>0</v>
      </c>
      <c r="I437" s="12">
        <v>-72.352</v>
      </c>
      <c r="J437" s="13"/>
      <c r="K437" s="13"/>
      <c r="L437" s="12"/>
      <c r="M437" s="13"/>
      <c r="N437" s="13"/>
      <c r="O437" s="13"/>
      <c r="P437" s="13"/>
      <c r="Q437" s="13"/>
      <c r="R437" s="13"/>
      <c r="S437" s="13"/>
      <c r="T437" s="13"/>
      <c r="U437" s="13"/>
      <c r="V437" s="13"/>
      <c r="W437" s="13"/>
      <c r="X437" s="13"/>
      <c r="Y437" s="13"/>
      <c r="Z437" s="13"/>
    </row>
    <row r="438" s="2" customFormat="1" hidden="1" spans="1:26">
      <c r="A438" s="11" t="s">
        <v>935</v>
      </c>
      <c r="B438" s="11" t="s">
        <v>937</v>
      </c>
      <c r="C438" s="14" t="s">
        <v>159</v>
      </c>
      <c r="D438" s="14" t="s">
        <v>938</v>
      </c>
      <c r="E438" s="14" t="s">
        <v>939</v>
      </c>
      <c r="F438" s="3" t="s">
        <v>941</v>
      </c>
      <c r="G438" s="4">
        <v>21</v>
      </c>
      <c r="H438" s="12">
        <v>3019.2</v>
      </c>
      <c r="I438" s="12">
        <v>-610.356753</v>
      </c>
      <c r="J438" s="13">
        <v>-0.202158437</v>
      </c>
      <c r="K438" s="13">
        <v>-0.202158437</v>
      </c>
      <c r="L438" s="12">
        <v>21.1428571428</v>
      </c>
      <c r="M438" s="13">
        <v>0.1125232144</v>
      </c>
      <c r="N438" s="13">
        <v>0.0330430465</v>
      </c>
      <c r="O438" s="13">
        <v>0.3084459459</v>
      </c>
      <c r="P438" s="13">
        <v>0.3241891891</v>
      </c>
      <c r="Q438" s="13">
        <v>0.0563460426</v>
      </c>
      <c r="R438" s="13">
        <v>0.2789650132</v>
      </c>
      <c r="S438" s="13">
        <v>0</v>
      </c>
      <c r="T438" s="13">
        <v>0.0840315315</v>
      </c>
      <c r="U438" s="13">
        <v>0.011603958</v>
      </c>
      <c r="V438" s="13">
        <v>0.0029954954</v>
      </c>
      <c r="W438" s="13">
        <v>-0.0153227643</v>
      </c>
      <c r="X438" s="13">
        <v>0</v>
      </c>
      <c r="Y438" s="13">
        <v>0</v>
      </c>
      <c r="Z438" s="13">
        <v>0.0053377643</v>
      </c>
    </row>
    <row r="439" s="2" customFormat="1" hidden="1" spans="1:26">
      <c r="A439" s="11" t="s">
        <v>935</v>
      </c>
      <c r="B439" s="11" t="s">
        <v>937</v>
      </c>
      <c r="C439" s="14" t="s">
        <v>159</v>
      </c>
      <c r="D439" s="14" t="s">
        <v>938</v>
      </c>
      <c r="E439" s="14" t="s">
        <v>939</v>
      </c>
      <c r="F439" s="3" t="s">
        <v>942</v>
      </c>
      <c r="G439" s="4">
        <v>41</v>
      </c>
      <c r="H439" s="12">
        <v>5525.34</v>
      </c>
      <c r="I439" s="12">
        <v>-854.253923</v>
      </c>
      <c r="J439" s="13">
        <v>-0.1546065804</v>
      </c>
      <c r="K439" s="13">
        <v>-0.1546065804</v>
      </c>
      <c r="L439" s="12">
        <v>19.8182926829</v>
      </c>
      <c r="M439" s="13">
        <v>0.1229716502</v>
      </c>
      <c r="N439" s="13">
        <v>0.0212990132</v>
      </c>
      <c r="O439" s="13">
        <v>0.3234262506</v>
      </c>
      <c r="P439" s="13">
        <v>0.2423358562</v>
      </c>
      <c r="Q439" s="13">
        <v>0.0698275738</v>
      </c>
      <c r="R439" s="13">
        <v>0.2827703386</v>
      </c>
      <c r="S439" s="13">
        <v>0</v>
      </c>
      <c r="T439" s="13">
        <v>0.0856070395</v>
      </c>
      <c r="U439" s="13">
        <v>0.012681453</v>
      </c>
      <c r="V439" s="13">
        <v>0.0023875453</v>
      </c>
      <c r="W439" s="13">
        <v>-0.0151863856</v>
      </c>
      <c r="X439" s="13">
        <v>0</v>
      </c>
      <c r="Y439" s="13">
        <v>0</v>
      </c>
      <c r="Z439" s="13">
        <v>0.006486245</v>
      </c>
    </row>
    <row r="440" s="2" customFormat="1" hidden="1" spans="1:26">
      <c r="A440" s="11" t="s">
        <v>935</v>
      </c>
      <c r="B440" s="11" t="s">
        <v>937</v>
      </c>
      <c r="C440" s="14" t="s">
        <v>159</v>
      </c>
      <c r="D440" s="14" t="s">
        <v>938</v>
      </c>
      <c r="E440" s="14" t="s">
        <v>939</v>
      </c>
      <c r="F440" s="3" t="s">
        <v>943</v>
      </c>
      <c r="G440" s="4">
        <v>50</v>
      </c>
      <c r="H440" s="12">
        <v>7137.144</v>
      </c>
      <c r="I440" s="12">
        <v>-258.678172</v>
      </c>
      <c r="J440" s="13">
        <v>-0.0362439334</v>
      </c>
      <c r="K440" s="13">
        <v>-0.0362439334</v>
      </c>
      <c r="L440" s="12">
        <v>20.9916</v>
      </c>
      <c r="M440" s="13">
        <v>0.125263908</v>
      </c>
      <c r="N440" s="13">
        <v>0.0216960383</v>
      </c>
      <c r="O440" s="13">
        <v>0.2780159682</v>
      </c>
      <c r="P440" s="13">
        <v>0.237142476</v>
      </c>
      <c r="Q440" s="13">
        <v>0.0495013101</v>
      </c>
      <c r="R440" s="13">
        <v>0.221051313</v>
      </c>
      <c r="S440" s="13">
        <v>0</v>
      </c>
      <c r="T440" s="13">
        <v>0.0895596333</v>
      </c>
      <c r="U440" s="13">
        <v>0.0129178422</v>
      </c>
      <c r="V440" s="13">
        <v>0</v>
      </c>
      <c r="W440" s="13">
        <v>-0.0205743925</v>
      </c>
      <c r="X440" s="13">
        <v>0.0087944686</v>
      </c>
      <c r="Y440" s="13">
        <v>0</v>
      </c>
      <c r="Z440" s="13">
        <v>0.0128753676</v>
      </c>
    </row>
    <row r="441" s="2" customFormat="1" spans="1:26">
      <c r="A441" s="11" t="s">
        <v>935</v>
      </c>
      <c r="B441" s="11" t="s">
        <v>937</v>
      </c>
      <c r="C441" s="14" t="s">
        <v>159</v>
      </c>
      <c r="D441" s="14" t="s">
        <v>938</v>
      </c>
      <c r="E441" s="14" t="s">
        <v>939</v>
      </c>
      <c r="F441" s="3" t="s">
        <v>944</v>
      </c>
      <c r="G441" s="4">
        <v>44</v>
      </c>
      <c r="H441" s="12">
        <v>6742.812</v>
      </c>
      <c r="I441" s="12">
        <v>-1304.039073</v>
      </c>
      <c r="J441" s="13">
        <v>-0.19339692</v>
      </c>
      <c r="K441" s="13">
        <v>-0.19339692</v>
      </c>
      <c r="L441" s="12">
        <v>22.5361363636</v>
      </c>
      <c r="M441" s="13">
        <v>0.1166788224</v>
      </c>
      <c r="N441" s="13">
        <v>0.0202090789</v>
      </c>
      <c r="O441" s="13">
        <v>0.2852993676</v>
      </c>
      <c r="P441" s="13">
        <v>0.4223822345</v>
      </c>
      <c r="Q441" s="13">
        <v>0.0433370205</v>
      </c>
      <c r="R441" s="13">
        <v>0.2265240559</v>
      </c>
      <c r="S441" s="13">
        <v>0</v>
      </c>
      <c r="T441" s="13">
        <v>0.0748696537</v>
      </c>
      <c r="U441" s="13">
        <v>0.0120325051</v>
      </c>
      <c r="V441" s="13">
        <v>0</v>
      </c>
      <c r="W441" s="13">
        <v>-0.0311108866</v>
      </c>
      <c r="X441" s="13">
        <v>0.0217702551</v>
      </c>
      <c r="Y441" s="13">
        <v>0</v>
      </c>
      <c r="Z441" s="13">
        <v>0.0014048124</v>
      </c>
    </row>
    <row r="442" s="2" customFormat="1" hidden="1" spans="1:26">
      <c r="A442" s="11" t="s">
        <v>935</v>
      </c>
      <c r="B442" s="11" t="s">
        <v>937</v>
      </c>
      <c r="C442" s="14" t="s">
        <v>159</v>
      </c>
      <c r="D442" s="14" t="s">
        <v>938</v>
      </c>
      <c r="E442" s="14" t="s">
        <v>939</v>
      </c>
      <c r="F442" s="3" t="s">
        <v>945</v>
      </c>
      <c r="G442" s="4">
        <v>5</v>
      </c>
      <c r="H442" s="12">
        <v>815.66</v>
      </c>
      <c r="I442" s="12">
        <v>251.908815</v>
      </c>
      <c r="J442" s="13">
        <v>0.3088404666</v>
      </c>
      <c r="K442" s="13">
        <v>0.3088404666</v>
      </c>
      <c r="L442" s="12">
        <v>23.99</v>
      </c>
      <c r="M442" s="13">
        <v>0.1096077471</v>
      </c>
      <c r="N442" s="13">
        <v>0.01898435</v>
      </c>
      <c r="O442" s="13">
        <v>0.2876198416</v>
      </c>
      <c r="P442" s="13">
        <v>0</v>
      </c>
      <c r="Q442" s="13">
        <v>0</v>
      </c>
      <c r="R442" s="13">
        <v>0.1355714795</v>
      </c>
      <c r="S442" s="13">
        <v>0</v>
      </c>
      <c r="T442" s="13">
        <v>0.1200500208</v>
      </c>
      <c r="U442" s="13">
        <v>0.0113033003</v>
      </c>
      <c r="V442" s="13">
        <v>0</v>
      </c>
      <c r="W442" s="13">
        <v>0</v>
      </c>
      <c r="X442" s="13">
        <v>0.0080227938</v>
      </c>
      <c r="Y442" s="13">
        <v>0</v>
      </c>
      <c r="Z442" s="13">
        <v>0</v>
      </c>
    </row>
    <row r="443" s="2" customFormat="1" hidden="1" spans="1:26">
      <c r="A443" s="11" t="s">
        <v>935</v>
      </c>
      <c r="B443" s="11" t="s">
        <v>937</v>
      </c>
      <c r="C443" s="14" t="s">
        <v>163</v>
      </c>
      <c r="D443" s="14" t="s">
        <v>938</v>
      </c>
      <c r="E443" s="14" t="s">
        <v>939</v>
      </c>
      <c r="F443" s="3" t="s">
        <v>936</v>
      </c>
      <c r="G443" s="4">
        <v>63</v>
      </c>
      <c r="H443" s="12">
        <v>10105.956</v>
      </c>
      <c r="I443" s="12">
        <v>1885.72267</v>
      </c>
      <c r="J443" s="13">
        <v>0.1865951791</v>
      </c>
      <c r="K443" s="13">
        <v>0.1865951791</v>
      </c>
      <c r="L443" s="12">
        <v>23.59</v>
      </c>
      <c r="M443" s="13">
        <v>0.106650157</v>
      </c>
      <c r="N443" s="13">
        <v>0.010692702</v>
      </c>
      <c r="O443" s="13">
        <v>0.3022803582</v>
      </c>
      <c r="P443" s="13">
        <v>0</v>
      </c>
      <c r="Q443" s="13">
        <v>0.014902938</v>
      </c>
      <c r="R443" s="13">
        <v>0.2605110403</v>
      </c>
      <c r="S443" s="13">
        <v>0</v>
      </c>
      <c r="T443" s="13">
        <v>0.1029088193</v>
      </c>
      <c r="U443" s="13">
        <v>0.0109982981</v>
      </c>
      <c r="V443" s="13">
        <v>0</v>
      </c>
      <c r="W443" s="13">
        <v>0</v>
      </c>
      <c r="X443" s="13">
        <v>0</v>
      </c>
      <c r="Y443" s="13">
        <v>0</v>
      </c>
      <c r="Z443" s="13">
        <v>0.0044605076</v>
      </c>
    </row>
    <row r="444" s="2" customFormat="1" hidden="1" spans="1:26">
      <c r="A444" s="11" t="s">
        <v>935</v>
      </c>
      <c r="B444" s="11" t="s">
        <v>937</v>
      </c>
      <c r="C444" s="14" t="s">
        <v>163</v>
      </c>
      <c r="D444" s="14" t="s">
        <v>938</v>
      </c>
      <c r="E444" s="14" t="s">
        <v>939</v>
      </c>
      <c r="F444" s="3" t="s">
        <v>942</v>
      </c>
      <c r="G444" s="4">
        <v>9</v>
      </c>
      <c r="H444" s="12">
        <v>1443.708</v>
      </c>
      <c r="I444" s="12">
        <v>-541.413173</v>
      </c>
      <c r="J444" s="13">
        <v>-0.3750157046</v>
      </c>
      <c r="K444" s="13">
        <v>-0.3750157046</v>
      </c>
      <c r="L444" s="12">
        <v>23.59</v>
      </c>
      <c r="M444" s="13">
        <v>0.106650157</v>
      </c>
      <c r="N444" s="13">
        <v>0.0345562426</v>
      </c>
      <c r="O444" s="13">
        <v>0.2746926663</v>
      </c>
      <c r="P444" s="13">
        <v>0</v>
      </c>
      <c r="Q444" s="13">
        <v>0.0003234234</v>
      </c>
      <c r="R444" s="13">
        <v>0.9166748815</v>
      </c>
      <c r="S444" s="13">
        <v>0</v>
      </c>
      <c r="T444" s="13">
        <v>0.0246337902</v>
      </c>
      <c r="U444" s="13">
        <v>0.0109982981</v>
      </c>
      <c r="V444" s="13">
        <v>0</v>
      </c>
      <c r="W444" s="13">
        <v>0</v>
      </c>
      <c r="X444" s="13">
        <v>0</v>
      </c>
      <c r="Y444" s="13">
        <v>0</v>
      </c>
      <c r="Z444" s="13">
        <v>0.0064862451</v>
      </c>
    </row>
    <row r="445" s="2" customFormat="1" hidden="1" spans="1:26">
      <c r="A445" s="11" t="s">
        <v>935</v>
      </c>
      <c r="B445" s="11" t="s">
        <v>937</v>
      </c>
      <c r="C445" s="14" t="s">
        <v>163</v>
      </c>
      <c r="D445" s="14" t="s">
        <v>938</v>
      </c>
      <c r="E445" s="14" t="s">
        <v>939</v>
      </c>
      <c r="F445" s="3" t="s">
        <v>943</v>
      </c>
      <c r="G445" s="4">
        <v>13</v>
      </c>
      <c r="H445" s="12">
        <v>2112.556</v>
      </c>
      <c r="I445" s="12">
        <v>424.5606</v>
      </c>
      <c r="J445" s="13">
        <v>0.2009701044</v>
      </c>
      <c r="K445" s="13">
        <v>0.2009701044</v>
      </c>
      <c r="L445" s="12">
        <v>23.8976923076</v>
      </c>
      <c r="M445" s="13">
        <v>0.1052769938</v>
      </c>
      <c r="N445" s="13">
        <v>0.0066289811</v>
      </c>
      <c r="O445" s="13">
        <v>0.2949109988</v>
      </c>
      <c r="P445" s="13">
        <v>0</v>
      </c>
      <c r="Q445" s="13">
        <v>0.0216002756</v>
      </c>
      <c r="R445" s="13">
        <v>0.2432980374</v>
      </c>
      <c r="S445" s="13">
        <v>0</v>
      </c>
      <c r="T445" s="13">
        <v>0.1035825795</v>
      </c>
      <c r="U445" s="13">
        <v>0.0108566906</v>
      </c>
      <c r="V445" s="13">
        <v>0</v>
      </c>
      <c r="W445" s="13">
        <v>0</v>
      </c>
      <c r="X445" s="13">
        <v>0</v>
      </c>
      <c r="Y445" s="13">
        <v>0</v>
      </c>
      <c r="Z445" s="13">
        <v>0.0128753382</v>
      </c>
    </row>
    <row r="446" s="2" customFormat="1" spans="1:26">
      <c r="A446" s="11" t="s">
        <v>935</v>
      </c>
      <c r="B446" s="11" t="s">
        <v>937</v>
      </c>
      <c r="C446" s="14" t="s">
        <v>163</v>
      </c>
      <c r="D446" s="14" t="s">
        <v>938</v>
      </c>
      <c r="E446" s="14" t="s">
        <v>939</v>
      </c>
      <c r="F446" s="3" t="s">
        <v>944</v>
      </c>
      <c r="G446" s="4">
        <v>38</v>
      </c>
      <c r="H446" s="12">
        <v>6060.296</v>
      </c>
      <c r="I446" s="12">
        <v>1846.160394</v>
      </c>
      <c r="J446" s="13">
        <v>0.3046320499</v>
      </c>
      <c r="K446" s="13">
        <v>0.3046320499</v>
      </c>
      <c r="L446" s="12">
        <v>23.4531578947</v>
      </c>
      <c r="M446" s="13">
        <v>0.1072724286</v>
      </c>
      <c r="N446" s="13">
        <v>0.0067546278</v>
      </c>
      <c r="O446" s="13">
        <v>0.3112587239</v>
      </c>
      <c r="P446" s="13">
        <v>0</v>
      </c>
      <c r="Q446" s="13">
        <v>0.0172449852</v>
      </c>
      <c r="R446" s="13">
        <v>0.1204331864</v>
      </c>
      <c r="S446" s="13">
        <v>0</v>
      </c>
      <c r="T446" s="13">
        <v>0.1199367159</v>
      </c>
      <c r="U446" s="13">
        <v>0.0110624698</v>
      </c>
      <c r="V446" s="13">
        <v>0</v>
      </c>
      <c r="W446" s="13">
        <v>0</v>
      </c>
      <c r="X446" s="13">
        <v>0</v>
      </c>
      <c r="Y446" s="13">
        <v>0</v>
      </c>
      <c r="Z446" s="13">
        <v>0.001404812</v>
      </c>
    </row>
    <row r="447" s="2" customFormat="1" hidden="1" spans="1:26">
      <c r="A447" s="11" t="s">
        <v>935</v>
      </c>
      <c r="B447" s="11" t="s">
        <v>937</v>
      </c>
      <c r="C447" s="14" t="s">
        <v>163</v>
      </c>
      <c r="D447" s="14" t="s">
        <v>938</v>
      </c>
      <c r="E447" s="14" t="s">
        <v>939</v>
      </c>
      <c r="F447" s="3" t="s">
        <v>945</v>
      </c>
      <c r="G447" s="4">
        <v>3</v>
      </c>
      <c r="H447" s="12">
        <v>489.396</v>
      </c>
      <c r="I447" s="12">
        <v>156.414849</v>
      </c>
      <c r="J447" s="13">
        <v>0.3196079432</v>
      </c>
      <c r="K447" s="13">
        <v>0.3196079432</v>
      </c>
      <c r="L447" s="12">
        <v>23.99</v>
      </c>
      <c r="M447" s="13">
        <v>0.1048719135</v>
      </c>
      <c r="N447" s="13">
        <v>0.0066034744</v>
      </c>
      <c r="O447" s="13">
        <v>0.3042934556</v>
      </c>
      <c r="P447" s="13">
        <v>0</v>
      </c>
      <c r="Q447" s="13">
        <v>0</v>
      </c>
      <c r="R447" s="13">
        <v>0.1337582755</v>
      </c>
      <c r="S447" s="13">
        <v>0</v>
      </c>
      <c r="T447" s="13">
        <v>0.1200500208</v>
      </c>
      <c r="U447" s="13">
        <v>0.0108149167</v>
      </c>
      <c r="V447" s="13">
        <v>0</v>
      </c>
      <c r="W447" s="13">
        <v>0</v>
      </c>
      <c r="X447" s="13">
        <v>0</v>
      </c>
      <c r="Y447" s="13">
        <v>0</v>
      </c>
      <c r="Z447" s="13">
        <v>0</v>
      </c>
    </row>
    <row r="448" s="2" customFormat="1" hidden="1" spans="1:26">
      <c r="A448" s="11" t="s">
        <v>935</v>
      </c>
      <c r="B448" s="11" t="s">
        <v>937</v>
      </c>
      <c r="C448" s="14" t="s">
        <v>167</v>
      </c>
      <c r="D448" s="14" t="s">
        <v>938</v>
      </c>
      <c r="E448" s="14" t="s">
        <v>939</v>
      </c>
      <c r="F448" s="3" t="s">
        <v>936</v>
      </c>
      <c r="G448" s="4">
        <v>126</v>
      </c>
      <c r="H448" s="12">
        <v>20350.632</v>
      </c>
      <c r="I448" s="12">
        <v>5901.301065</v>
      </c>
      <c r="J448" s="13">
        <v>0.2899812185</v>
      </c>
      <c r="K448" s="13">
        <v>0.2899812185</v>
      </c>
      <c r="L448" s="12">
        <v>23.7519047618</v>
      </c>
      <c r="M448" s="13">
        <v>0.1062683626</v>
      </c>
      <c r="N448" s="13">
        <v>0.0147293759</v>
      </c>
      <c r="O448" s="13">
        <v>0.2569117263</v>
      </c>
      <c r="P448" s="13">
        <v>0.0312623214</v>
      </c>
      <c r="Q448" s="13">
        <v>0.0054139328</v>
      </c>
      <c r="R448" s="13">
        <v>0.1705133133</v>
      </c>
      <c r="S448" s="13">
        <v>0</v>
      </c>
      <c r="T448" s="13">
        <v>0.1140226013</v>
      </c>
      <c r="U448" s="13">
        <v>0.0109589229</v>
      </c>
      <c r="V448" s="13">
        <v>-0.0028134752</v>
      </c>
      <c r="W448" s="13">
        <v>-0.0028356099</v>
      </c>
      <c r="X448" s="13">
        <v>0.0005112371</v>
      </c>
      <c r="Y448" s="13">
        <v>0</v>
      </c>
      <c r="Z448" s="13">
        <v>0.0050760724</v>
      </c>
    </row>
    <row r="449" s="2" customFormat="1" hidden="1" spans="1:26">
      <c r="A449" s="11" t="s">
        <v>935</v>
      </c>
      <c r="B449" s="11" t="s">
        <v>937</v>
      </c>
      <c r="C449" s="14" t="s">
        <v>167</v>
      </c>
      <c r="D449" s="14" t="s">
        <v>938</v>
      </c>
      <c r="E449" s="14" t="s">
        <v>939</v>
      </c>
      <c r="F449" s="3" t="s">
        <v>940</v>
      </c>
      <c r="G449" s="4">
        <v>12</v>
      </c>
      <c r="H449" s="12">
        <v>2025.584</v>
      </c>
      <c r="I449" s="12">
        <v>482.601722</v>
      </c>
      <c r="J449" s="13">
        <v>0.2382531269</v>
      </c>
      <c r="K449" s="13">
        <v>0.2382531269</v>
      </c>
      <c r="L449" s="12">
        <v>24.8233333333</v>
      </c>
      <c r="M449" s="13">
        <v>0.101681591</v>
      </c>
      <c r="N449" s="13">
        <v>0.0273649851</v>
      </c>
      <c r="O449" s="13">
        <v>0.238485296</v>
      </c>
      <c r="P449" s="13">
        <v>0</v>
      </c>
      <c r="Q449" s="13">
        <v>0.0008192323</v>
      </c>
      <c r="R449" s="13">
        <v>0.2810175104</v>
      </c>
      <c r="S449" s="13">
        <v>0</v>
      </c>
      <c r="T449" s="13">
        <v>0.1015509601</v>
      </c>
      <c r="U449" s="13">
        <v>0.0104859122</v>
      </c>
      <c r="V449" s="13">
        <v>0</v>
      </c>
      <c r="W449" s="13">
        <v>0</v>
      </c>
      <c r="X449" s="13">
        <v>0</v>
      </c>
      <c r="Y449" s="13">
        <v>0</v>
      </c>
      <c r="Z449" s="13">
        <v>0.0003413854</v>
      </c>
    </row>
    <row r="450" s="2" customFormat="1" hidden="1" spans="1:26">
      <c r="A450" s="11" t="s">
        <v>935</v>
      </c>
      <c r="B450" s="11" t="s">
        <v>937</v>
      </c>
      <c r="C450" s="14" t="s">
        <v>167</v>
      </c>
      <c r="D450" s="14" t="s">
        <v>938</v>
      </c>
      <c r="E450" s="14" t="s">
        <v>939</v>
      </c>
      <c r="F450" s="3" t="s">
        <v>941</v>
      </c>
      <c r="G450" s="4">
        <v>66</v>
      </c>
      <c r="H450" s="12">
        <v>10358.712</v>
      </c>
      <c r="I450" s="12">
        <v>2686.81072</v>
      </c>
      <c r="J450" s="13">
        <v>0.2593769109</v>
      </c>
      <c r="K450" s="13">
        <v>0.2593769109</v>
      </c>
      <c r="L450" s="12">
        <v>23.0809090908</v>
      </c>
      <c r="M450" s="13">
        <v>0.1093577388</v>
      </c>
      <c r="N450" s="13">
        <v>0.0114712641</v>
      </c>
      <c r="O450" s="13">
        <v>0.2618653747</v>
      </c>
      <c r="P450" s="13">
        <v>0.0314965798</v>
      </c>
      <c r="Q450" s="13">
        <v>0.0039581034</v>
      </c>
      <c r="R450" s="13">
        <v>0.1948248854</v>
      </c>
      <c r="S450" s="13">
        <v>0</v>
      </c>
      <c r="T450" s="13">
        <v>0.1146953405</v>
      </c>
      <c r="U450" s="13">
        <v>0.0112775148</v>
      </c>
      <c r="V450" s="13">
        <v>0</v>
      </c>
      <c r="W450" s="13">
        <v>-0.0036614849</v>
      </c>
      <c r="X450" s="13">
        <v>0</v>
      </c>
      <c r="Y450" s="13">
        <v>0</v>
      </c>
      <c r="Z450" s="13">
        <v>0.0053377719</v>
      </c>
    </row>
    <row r="451" s="2" customFormat="1" hidden="1" spans="1:26">
      <c r="A451" s="11" t="s">
        <v>935</v>
      </c>
      <c r="B451" s="11" t="s">
        <v>937</v>
      </c>
      <c r="C451" s="14" t="s">
        <v>167</v>
      </c>
      <c r="D451" s="14" t="s">
        <v>938</v>
      </c>
      <c r="E451" s="14" t="s">
        <v>939</v>
      </c>
      <c r="F451" s="3" t="s">
        <v>942</v>
      </c>
      <c r="G451" s="4">
        <v>42</v>
      </c>
      <c r="H451" s="12">
        <v>6905.944</v>
      </c>
      <c r="I451" s="12">
        <v>2278.491671</v>
      </c>
      <c r="J451" s="13">
        <v>0.3299319645</v>
      </c>
      <c r="K451" s="13">
        <v>0.3299319645</v>
      </c>
      <c r="L451" s="12">
        <v>24.1804761904</v>
      </c>
      <c r="M451" s="13">
        <v>0.1043848768</v>
      </c>
      <c r="N451" s="13">
        <v>0.0159004616</v>
      </c>
      <c r="O451" s="13">
        <v>0.2581185135</v>
      </c>
      <c r="P451" s="13">
        <v>0.0448807577</v>
      </c>
      <c r="Q451" s="13">
        <v>0.00831432</v>
      </c>
      <c r="R451" s="13">
        <v>0.1083354514</v>
      </c>
      <c r="S451" s="13">
        <v>0</v>
      </c>
      <c r="T451" s="13">
        <v>0.1157466669</v>
      </c>
      <c r="U451" s="13">
        <v>0.0107646885</v>
      </c>
      <c r="V451" s="13">
        <v>0</v>
      </c>
      <c r="W451" s="13">
        <v>-0.0028639366</v>
      </c>
      <c r="X451" s="13">
        <v>0</v>
      </c>
      <c r="Y451" s="13">
        <v>0</v>
      </c>
      <c r="Z451" s="13">
        <v>0.0064862351</v>
      </c>
    </row>
    <row r="452" s="2" customFormat="1" hidden="1" spans="1:26">
      <c r="A452" s="11" t="s">
        <v>935</v>
      </c>
      <c r="B452" s="11" t="s">
        <v>937</v>
      </c>
      <c r="C452" s="14" t="s">
        <v>167</v>
      </c>
      <c r="D452" s="14" t="s">
        <v>938</v>
      </c>
      <c r="E452" s="14" t="s">
        <v>939</v>
      </c>
      <c r="F452" s="3" t="s">
        <v>943</v>
      </c>
      <c r="G452" s="4">
        <v>1</v>
      </c>
      <c r="H452" s="12">
        <v>176.732</v>
      </c>
      <c r="I452" s="12">
        <v>126.963243</v>
      </c>
      <c r="J452" s="13">
        <v>0.7183941957</v>
      </c>
      <c r="K452" s="13">
        <v>0.7183941957</v>
      </c>
      <c r="L452" s="12">
        <v>25.99</v>
      </c>
      <c r="M452" s="13">
        <v>0.0971172</v>
      </c>
      <c r="N452" s="13">
        <v>0.0147934103</v>
      </c>
      <c r="O452" s="13">
        <v>0.2358599461</v>
      </c>
      <c r="P452" s="13">
        <v>0</v>
      </c>
      <c r="Q452" s="13">
        <v>0.0510259771</v>
      </c>
      <c r="R452" s="13">
        <v>0.0049744471</v>
      </c>
      <c r="S452" s="13">
        <v>0</v>
      </c>
      <c r="T452" s="13">
        <v>0.1200461716</v>
      </c>
      <c r="U452" s="13">
        <v>0.0100152094</v>
      </c>
      <c r="V452" s="13">
        <v>-0.3239707579</v>
      </c>
      <c r="W452" s="13">
        <v>0</v>
      </c>
      <c r="X452" s="13">
        <v>0.05886879</v>
      </c>
      <c r="Y452" s="13">
        <v>0</v>
      </c>
      <c r="Z452" s="13">
        <v>0.0128754102</v>
      </c>
    </row>
    <row r="453" s="2" customFormat="1" spans="1:26">
      <c r="A453" s="11" t="s">
        <v>935</v>
      </c>
      <c r="B453" s="11" t="s">
        <v>937</v>
      </c>
      <c r="C453" s="14" t="s">
        <v>167</v>
      </c>
      <c r="D453" s="14" t="s">
        <v>938</v>
      </c>
      <c r="E453" s="14" t="s">
        <v>939</v>
      </c>
      <c r="F453" s="3" t="s">
        <v>944</v>
      </c>
      <c r="G453" s="4">
        <v>1</v>
      </c>
      <c r="H453" s="12">
        <v>176.732</v>
      </c>
      <c r="I453" s="12">
        <v>-16.626419</v>
      </c>
      <c r="J453" s="13">
        <v>-0.0940770149</v>
      </c>
      <c r="K453" s="13">
        <v>-0.0940770149</v>
      </c>
      <c r="L453" s="12">
        <v>25.99</v>
      </c>
      <c r="M453" s="13">
        <v>0.0971172</v>
      </c>
      <c r="N453" s="13">
        <v>0.0147934103</v>
      </c>
      <c r="O453" s="13">
        <v>0.2358599461</v>
      </c>
      <c r="P453" s="13">
        <v>0</v>
      </c>
      <c r="Q453" s="13">
        <v>0.0061139239</v>
      </c>
      <c r="R453" s="13">
        <v>0.6087264219</v>
      </c>
      <c r="S453" s="13">
        <v>0</v>
      </c>
      <c r="T453" s="13">
        <v>0.1200461716</v>
      </c>
      <c r="U453" s="13">
        <v>0.0100152094</v>
      </c>
      <c r="V453" s="13">
        <v>0</v>
      </c>
      <c r="W453" s="13">
        <v>0</v>
      </c>
      <c r="X453" s="13">
        <v>0</v>
      </c>
      <c r="Y453" s="13">
        <v>0</v>
      </c>
      <c r="Z453" s="13">
        <v>0.0014047314</v>
      </c>
    </row>
    <row r="454" s="2" customFormat="1" hidden="1" spans="1:26">
      <c r="A454" s="11" t="s">
        <v>935</v>
      </c>
      <c r="B454" s="11" t="s">
        <v>937</v>
      </c>
      <c r="C454" s="14" t="s">
        <v>167</v>
      </c>
      <c r="D454" s="14" t="s">
        <v>938</v>
      </c>
      <c r="E454" s="14" t="s">
        <v>939</v>
      </c>
      <c r="F454" s="3" t="s">
        <v>945</v>
      </c>
      <c r="G454" s="4">
        <v>4</v>
      </c>
      <c r="H454" s="12">
        <v>706.928</v>
      </c>
      <c r="I454" s="12">
        <v>343.060128</v>
      </c>
      <c r="J454" s="13">
        <v>0.4852829821</v>
      </c>
      <c r="K454" s="13">
        <v>0.4852829821</v>
      </c>
      <c r="L454" s="12">
        <v>25.99</v>
      </c>
      <c r="M454" s="13">
        <v>0.0971172</v>
      </c>
      <c r="N454" s="13">
        <v>0.0147934103</v>
      </c>
      <c r="O454" s="13">
        <v>0.2358599461</v>
      </c>
      <c r="P454" s="13">
        <v>0</v>
      </c>
      <c r="Q454" s="13">
        <v>0</v>
      </c>
      <c r="R454" s="13">
        <v>0.0368850802</v>
      </c>
      <c r="S454" s="13">
        <v>0</v>
      </c>
      <c r="T454" s="13">
        <v>0.1200461716</v>
      </c>
      <c r="U454" s="13">
        <v>0.0100152094</v>
      </c>
      <c r="V454" s="13">
        <v>0</v>
      </c>
      <c r="W454" s="13">
        <v>0</v>
      </c>
      <c r="X454" s="13">
        <v>0</v>
      </c>
      <c r="Y454" s="13">
        <v>0</v>
      </c>
      <c r="Z454" s="13">
        <v>0</v>
      </c>
    </row>
    <row r="455" s="2" customFormat="1" hidden="1" spans="1:26">
      <c r="A455" s="11" t="s">
        <v>935</v>
      </c>
      <c r="B455" s="11" t="s">
        <v>937</v>
      </c>
      <c r="C455" s="14" t="s">
        <v>171</v>
      </c>
      <c r="D455" s="14" t="s">
        <v>938</v>
      </c>
      <c r="E455" s="14" t="s">
        <v>939</v>
      </c>
      <c r="F455" s="3" t="s">
        <v>936</v>
      </c>
      <c r="G455" s="4">
        <v>192</v>
      </c>
      <c r="H455" s="12">
        <v>34000.612</v>
      </c>
      <c r="I455" s="12">
        <v>8438.121117</v>
      </c>
      <c r="J455" s="13">
        <v>0.2481755656</v>
      </c>
      <c r="K455" s="13">
        <v>0.2481755656</v>
      </c>
      <c r="L455" s="12">
        <v>26.0421354166</v>
      </c>
      <c r="M455" s="13">
        <v>0.1045236809</v>
      </c>
      <c r="N455" s="13">
        <v>0.0514315621</v>
      </c>
      <c r="O455" s="13">
        <v>0.2773790071</v>
      </c>
      <c r="P455" s="13">
        <v>0.0259895321</v>
      </c>
      <c r="Q455" s="13">
        <v>0.0108934739</v>
      </c>
      <c r="R455" s="13">
        <v>0.1555895635</v>
      </c>
      <c r="S455" s="13">
        <v>0</v>
      </c>
      <c r="T455" s="13">
        <v>0.1119059856</v>
      </c>
      <c r="U455" s="13">
        <v>0.0107790078</v>
      </c>
      <c r="V455" s="13">
        <v>-0.0062278878</v>
      </c>
      <c r="W455" s="13">
        <v>-0.0008435342</v>
      </c>
      <c r="X455" s="13">
        <v>0.0009079835</v>
      </c>
      <c r="Y455" s="13">
        <v>0</v>
      </c>
      <c r="Z455" s="13">
        <v>0.0094960592</v>
      </c>
    </row>
    <row r="456" s="2" customFormat="1" hidden="1" spans="1:26">
      <c r="A456" s="11" t="s">
        <v>935</v>
      </c>
      <c r="B456" s="11" t="s">
        <v>937</v>
      </c>
      <c r="C456" s="14" t="s">
        <v>171</v>
      </c>
      <c r="D456" s="14" t="s">
        <v>938</v>
      </c>
      <c r="E456" s="14" t="s">
        <v>939</v>
      </c>
      <c r="F456" s="3" t="s">
        <v>942</v>
      </c>
      <c r="G456" s="4">
        <v>49</v>
      </c>
      <c r="H456" s="12">
        <v>8659.868</v>
      </c>
      <c r="I456" s="12">
        <v>1565.88479</v>
      </c>
      <c r="J456" s="13">
        <v>0.1808208612</v>
      </c>
      <c r="K456" s="13">
        <v>0.1808208612</v>
      </c>
      <c r="L456" s="12">
        <v>25.99</v>
      </c>
      <c r="M456" s="13">
        <v>0.1047333533</v>
      </c>
      <c r="N456" s="13">
        <v>0.0339796697</v>
      </c>
      <c r="O456" s="13">
        <v>0.2750822529</v>
      </c>
      <c r="P456" s="13">
        <v>0.0204081632</v>
      </c>
      <c r="Q456" s="13">
        <v>0.0003234191</v>
      </c>
      <c r="R456" s="13">
        <v>0.2714258335</v>
      </c>
      <c r="S456" s="13">
        <v>0</v>
      </c>
      <c r="T456" s="13">
        <v>0.0959395685</v>
      </c>
      <c r="U456" s="13">
        <v>0.0108006303</v>
      </c>
      <c r="V456" s="13">
        <v>0</v>
      </c>
      <c r="W456" s="13">
        <v>0</v>
      </c>
      <c r="X456" s="13">
        <v>0</v>
      </c>
      <c r="Y456" s="13">
        <v>0</v>
      </c>
      <c r="Z456" s="13">
        <v>0.0064862477</v>
      </c>
    </row>
    <row r="457" s="2" customFormat="1" hidden="1" spans="1:26">
      <c r="A457" s="11" t="s">
        <v>935</v>
      </c>
      <c r="B457" s="11" t="s">
        <v>937</v>
      </c>
      <c r="C457" s="14" t="s">
        <v>171</v>
      </c>
      <c r="D457" s="14" t="s">
        <v>938</v>
      </c>
      <c r="E457" s="14" t="s">
        <v>939</v>
      </c>
      <c r="F457" s="3" t="s">
        <v>943</v>
      </c>
      <c r="G457" s="4">
        <v>115</v>
      </c>
      <c r="H457" s="12">
        <v>20147.448</v>
      </c>
      <c r="I457" s="12">
        <v>5510.838536</v>
      </c>
      <c r="J457" s="13">
        <v>0.2735253882</v>
      </c>
      <c r="K457" s="13">
        <v>0.2735253882</v>
      </c>
      <c r="L457" s="12">
        <v>25.764</v>
      </c>
      <c r="M457" s="13">
        <v>0.1056520669</v>
      </c>
      <c r="N457" s="13">
        <v>0.0580549295</v>
      </c>
      <c r="O457" s="13">
        <v>0.2808772604</v>
      </c>
      <c r="P457" s="13">
        <v>0.0175438596</v>
      </c>
      <c r="Q457" s="13">
        <v>0.012526328</v>
      </c>
      <c r="R457" s="13">
        <v>0.1096907958</v>
      </c>
      <c r="S457" s="13">
        <v>0</v>
      </c>
      <c r="T457" s="13">
        <v>0.1183586129</v>
      </c>
      <c r="U457" s="13">
        <v>0.0108953727</v>
      </c>
      <c r="V457" s="13">
        <v>0</v>
      </c>
      <c r="W457" s="13">
        <v>0</v>
      </c>
      <c r="X457" s="13">
        <v>0</v>
      </c>
      <c r="Y457" s="13">
        <v>0</v>
      </c>
      <c r="Z457" s="13">
        <v>0.0128753854</v>
      </c>
    </row>
    <row r="458" s="2" customFormat="1" spans="1:26">
      <c r="A458" s="11" t="s">
        <v>935</v>
      </c>
      <c r="B458" s="11" t="s">
        <v>937</v>
      </c>
      <c r="C458" s="14" t="s">
        <v>171</v>
      </c>
      <c r="D458" s="14" t="s">
        <v>938</v>
      </c>
      <c r="E458" s="14" t="s">
        <v>939</v>
      </c>
      <c r="F458" s="3" t="s">
        <v>944</v>
      </c>
      <c r="G458" s="4">
        <v>28</v>
      </c>
      <c r="H458" s="12">
        <v>5193.296</v>
      </c>
      <c r="I458" s="12">
        <v>1256.830565</v>
      </c>
      <c r="J458" s="13">
        <v>0.2420101925</v>
      </c>
      <c r="K458" s="13">
        <v>0.2420101925</v>
      </c>
      <c r="L458" s="12">
        <v>27.2757142857</v>
      </c>
      <c r="M458" s="13">
        <v>0.0997964645</v>
      </c>
      <c r="N458" s="13">
        <v>0.0548373248</v>
      </c>
      <c r="O458" s="13">
        <v>0.267637354</v>
      </c>
      <c r="P458" s="13">
        <v>0.0680615932</v>
      </c>
      <c r="Q458" s="13">
        <v>0.0221844605</v>
      </c>
      <c r="R458" s="13">
        <v>0.1404963029</v>
      </c>
      <c r="S458" s="13">
        <v>0</v>
      </c>
      <c r="T458" s="13">
        <v>0.1134970931</v>
      </c>
      <c r="U458" s="13">
        <v>0.0102915135</v>
      </c>
      <c r="V458" s="13">
        <v>-0.0203870528</v>
      </c>
      <c r="W458" s="13">
        <v>-0.0055226353</v>
      </c>
      <c r="X458" s="13">
        <v>0.0056925744</v>
      </c>
      <c r="Y458" s="13">
        <v>0</v>
      </c>
      <c r="Z458" s="13">
        <v>0.0014048143</v>
      </c>
    </row>
    <row r="459" s="2" customFormat="1" hidden="1" spans="1:26">
      <c r="A459" s="11" t="s">
        <v>935</v>
      </c>
      <c r="B459" s="11" t="s">
        <v>937</v>
      </c>
      <c r="C459" s="14" t="s">
        <v>171</v>
      </c>
      <c r="D459" s="14" t="s">
        <v>938</v>
      </c>
      <c r="E459" s="14" t="s">
        <v>939</v>
      </c>
      <c r="F459" s="3" t="s">
        <v>945</v>
      </c>
      <c r="G459" s="4">
        <v>0</v>
      </c>
      <c r="H459" s="12">
        <v>0</v>
      </c>
      <c r="I459" s="12">
        <v>104.567226</v>
      </c>
      <c r="J459" s="13"/>
      <c r="K459" s="13"/>
      <c r="L459" s="12"/>
      <c r="M459" s="13"/>
      <c r="N459" s="13"/>
      <c r="O459" s="13"/>
      <c r="P459" s="13"/>
      <c r="Q459" s="13"/>
      <c r="R459" s="13"/>
      <c r="S459" s="13"/>
      <c r="T459" s="13"/>
      <c r="U459" s="13"/>
      <c r="V459" s="13"/>
      <c r="W459" s="13"/>
      <c r="X459" s="13"/>
      <c r="Y459" s="13"/>
      <c r="Z459" s="13"/>
    </row>
    <row r="460" s="2" customFormat="1" hidden="1" spans="1:26">
      <c r="A460" s="11" t="s">
        <v>935</v>
      </c>
      <c r="B460" s="11" t="s">
        <v>937</v>
      </c>
      <c r="C460" s="14" t="s">
        <v>175</v>
      </c>
      <c r="D460" s="14" t="s">
        <v>938</v>
      </c>
      <c r="E460" s="14" t="s">
        <v>939</v>
      </c>
      <c r="F460" s="3" t="s">
        <v>936</v>
      </c>
      <c r="G460" s="4">
        <v>121</v>
      </c>
      <c r="H460" s="12">
        <v>20342.812</v>
      </c>
      <c r="I460" s="12">
        <v>4558.767024</v>
      </c>
      <c r="J460" s="13">
        <v>0.2240971908</v>
      </c>
      <c r="K460" s="13">
        <v>0.2240971908</v>
      </c>
      <c r="L460" s="12">
        <v>24.7238842975</v>
      </c>
      <c r="M460" s="13">
        <v>0.1380946987</v>
      </c>
      <c r="N460" s="13">
        <v>0.0414244886</v>
      </c>
      <c r="O460" s="13">
        <v>0.2991653267</v>
      </c>
      <c r="P460" s="13">
        <v>0</v>
      </c>
      <c r="Q460" s="13">
        <v>0.0148760025</v>
      </c>
      <c r="R460" s="13">
        <v>0.1441501471</v>
      </c>
      <c r="S460" s="13">
        <v>0</v>
      </c>
      <c r="T460" s="13">
        <v>0.1174358785</v>
      </c>
      <c r="U460" s="13">
        <v>0.0142410161</v>
      </c>
      <c r="V460" s="13">
        <v>0</v>
      </c>
      <c r="W460" s="13">
        <v>0</v>
      </c>
      <c r="X460" s="13">
        <v>0</v>
      </c>
      <c r="Y460" s="13">
        <v>0</v>
      </c>
      <c r="Z460" s="13">
        <v>0.0065152504</v>
      </c>
    </row>
    <row r="461" s="2" customFormat="1" hidden="1" spans="1:26">
      <c r="A461" s="11" t="s">
        <v>935</v>
      </c>
      <c r="B461" s="11" t="s">
        <v>937</v>
      </c>
      <c r="C461" s="14" t="s">
        <v>175</v>
      </c>
      <c r="D461" s="14" t="s">
        <v>938</v>
      </c>
      <c r="E461" s="14" t="s">
        <v>939</v>
      </c>
      <c r="F461" s="3" t="s">
        <v>940</v>
      </c>
      <c r="G461" s="4">
        <v>2</v>
      </c>
      <c r="H461" s="12">
        <v>326.264</v>
      </c>
      <c r="I461" s="12">
        <v>-26.568092</v>
      </c>
      <c r="J461" s="13">
        <v>-0.0814312703</v>
      </c>
      <c r="K461" s="13">
        <v>-0.0814312703</v>
      </c>
      <c r="L461" s="12">
        <v>23.99</v>
      </c>
      <c r="M461" s="13">
        <v>0.1423191893</v>
      </c>
      <c r="N461" s="13">
        <v>0.0415711019</v>
      </c>
      <c r="O461" s="13">
        <v>0.3359733222</v>
      </c>
      <c r="P461" s="13">
        <v>0</v>
      </c>
      <c r="Q461" s="13">
        <v>0.0008192353</v>
      </c>
      <c r="R461" s="13">
        <v>0.4377687577</v>
      </c>
      <c r="S461" s="13">
        <v>0</v>
      </c>
      <c r="T461" s="13">
        <v>0.1079616506</v>
      </c>
      <c r="U461" s="13">
        <v>0.0146766667</v>
      </c>
      <c r="V461" s="13">
        <v>0</v>
      </c>
      <c r="W461" s="13">
        <v>0</v>
      </c>
      <c r="X461" s="13">
        <v>0</v>
      </c>
      <c r="Y461" s="13">
        <v>0</v>
      </c>
      <c r="Z461" s="13">
        <v>0.0003413462</v>
      </c>
    </row>
    <row r="462" s="2" customFormat="1" hidden="1" spans="1:26">
      <c r="A462" s="11" t="s">
        <v>935</v>
      </c>
      <c r="B462" s="11" t="s">
        <v>937</v>
      </c>
      <c r="C462" s="14" t="s">
        <v>175</v>
      </c>
      <c r="D462" s="14" t="s">
        <v>938</v>
      </c>
      <c r="E462" s="14" t="s">
        <v>939</v>
      </c>
      <c r="F462" s="3" t="s">
        <v>941</v>
      </c>
      <c r="G462" s="4">
        <v>57</v>
      </c>
      <c r="H462" s="12">
        <v>8988.444</v>
      </c>
      <c r="I462" s="12">
        <v>1669.846295</v>
      </c>
      <c r="J462" s="13">
        <v>0.1857770149</v>
      </c>
      <c r="K462" s="13">
        <v>0.1857770149</v>
      </c>
      <c r="L462" s="12">
        <v>23.19</v>
      </c>
      <c r="M462" s="13">
        <v>0.1472288638</v>
      </c>
      <c r="N462" s="13">
        <v>0.0412410902</v>
      </c>
      <c r="O462" s="13">
        <v>0.3153204269</v>
      </c>
      <c r="P462" s="13">
        <v>0</v>
      </c>
      <c r="Q462" s="13">
        <v>0.0071767274</v>
      </c>
      <c r="R462" s="13">
        <v>0.1681515584</v>
      </c>
      <c r="S462" s="13">
        <v>0</v>
      </c>
      <c r="T462" s="13">
        <v>0.1145835697</v>
      </c>
      <c r="U462" s="13">
        <v>0.0151829769</v>
      </c>
      <c r="V462" s="13">
        <v>0</v>
      </c>
      <c r="W462" s="13">
        <v>0</v>
      </c>
      <c r="X462" s="13">
        <v>0</v>
      </c>
      <c r="Y462" s="13">
        <v>0</v>
      </c>
      <c r="Z462" s="13">
        <v>0.0053377713</v>
      </c>
    </row>
    <row r="463" s="2" customFormat="1" hidden="1" spans="1:26">
      <c r="A463" s="11" t="s">
        <v>935</v>
      </c>
      <c r="B463" s="11" t="s">
        <v>937</v>
      </c>
      <c r="C463" s="14" t="s">
        <v>175</v>
      </c>
      <c r="D463" s="14" t="s">
        <v>938</v>
      </c>
      <c r="E463" s="14" t="s">
        <v>939</v>
      </c>
      <c r="F463" s="3" t="s">
        <v>942</v>
      </c>
      <c r="G463" s="4">
        <v>29</v>
      </c>
      <c r="H463" s="12">
        <v>4971.548</v>
      </c>
      <c r="I463" s="12">
        <v>1202.431425</v>
      </c>
      <c r="J463" s="13">
        <v>0.2418625798</v>
      </c>
      <c r="K463" s="13">
        <v>0.2418625798</v>
      </c>
      <c r="L463" s="12">
        <v>25.2106896551</v>
      </c>
      <c r="M463" s="13">
        <v>0.1354281616</v>
      </c>
      <c r="N463" s="13">
        <v>0.040748506</v>
      </c>
      <c r="O463" s="13">
        <v>0.2959062247</v>
      </c>
      <c r="P463" s="13">
        <v>0</v>
      </c>
      <c r="Q463" s="13">
        <v>0.0269889036</v>
      </c>
      <c r="R463" s="13">
        <v>0.1185767016</v>
      </c>
      <c r="S463" s="13">
        <v>0</v>
      </c>
      <c r="T463" s="13">
        <v>0.1200366565</v>
      </c>
      <c r="U463" s="13">
        <v>0.0139660294</v>
      </c>
      <c r="V463" s="13">
        <v>0</v>
      </c>
      <c r="W463" s="13">
        <v>0</v>
      </c>
      <c r="X463" s="13">
        <v>0</v>
      </c>
      <c r="Y463" s="13">
        <v>0</v>
      </c>
      <c r="Z463" s="13">
        <v>0.0064862362</v>
      </c>
    </row>
    <row r="464" s="2" customFormat="1" hidden="1" spans="1:26">
      <c r="A464" s="11" t="s">
        <v>935</v>
      </c>
      <c r="B464" s="11" t="s">
        <v>937</v>
      </c>
      <c r="C464" s="14" t="s">
        <v>175</v>
      </c>
      <c r="D464" s="14" t="s">
        <v>938</v>
      </c>
      <c r="E464" s="14" t="s">
        <v>939</v>
      </c>
      <c r="F464" s="3" t="s">
        <v>943</v>
      </c>
      <c r="G464" s="4">
        <v>21</v>
      </c>
      <c r="H464" s="12">
        <v>3854.172</v>
      </c>
      <c r="I464" s="12">
        <v>1052.195247</v>
      </c>
      <c r="J464" s="13">
        <v>0.2730016322</v>
      </c>
      <c r="K464" s="13">
        <v>0.2730016322</v>
      </c>
      <c r="L464" s="12">
        <v>26.99</v>
      </c>
      <c r="M464" s="13">
        <v>0.1265000871</v>
      </c>
      <c r="N464" s="13">
        <v>0.0422436523</v>
      </c>
      <c r="O464" s="13">
        <v>0.2763986661</v>
      </c>
      <c r="P464" s="13">
        <v>0</v>
      </c>
      <c r="Q464" s="13">
        <v>0.0195523871</v>
      </c>
      <c r="R464" s="13">
        <v>0.116338401</v>
      </c>
      <c r="S464" s="13">
        <v>0</v>
      </c>
      <c r="T464" s="13">
        <v>0.1200444609</v>
      </c>
      <c r="U464" s="13">
        <v>0.0130453217</v>
      </c>
      <c r="V464" s="13">
        <v>0</v>
      </c>
      <c r="W464" s="13">
        <v>0</v>
      </c>
      <c r="X464" s="13">
        <v>0</v>
      </c>
      <c r="Y464" s="13">
        <v>0</v>
      </c>
      <c r="Z464" s="13">
        <v>0.0128753911</v>
      </c>
    </row>
    <row r="465" s="2" customFormat="1" spans="1:26">
      <c r="A465" s="11" t="s">
        <v>935</v>
      </c>
      <c r="B465" s="11" t="s">
        <v>937</v>
      </c>
      <c r="C465" s="14" t="s">
        <v>175</v>
      </c>
      <c r="D465" s="14" t="s">
        <v>938</v>
      </c>
      <c r="E465" s="14" t="s">
        <v>939</v>
      </c>
      <c r="F465" s="3" t="s">
        <v>944</v>
      </c>
      <c r="G465" s="4">
        <v>10</v>
      </c>
      <c r="H465" s="12">
        <v>1835.32</v>
      </c>
      <c r="I465" s="12">
        <v>539.635962</v>
      </c>
      <c r="J465" s="13">
        <v>0.2940282686</v>
      </c>
      <c r="K465" s="13">
        <v>0.2940282686</v>
      </c>
      <c r="L465" s="12">
        <v>26.99</v>
      </c>
      <c r="M465" s="13">
        <v>0.1265000871</v>
      </c>
      <c r="N465" s="13">
        <v>0.0422436523</v>
      </c>
      <c r="O465" s="13">
        <v>0.2755464987</v>
      </c>
      <c r="P465" s="13">
        <v>0</v>
      </c>
      <c r="Q465" s="13">
        <v>0.0154250653</v>
      </c>
      <c r="R465" s="13">
        <v>0.1117618322</v>
      </c>
      <c r="S465" s="13">
        <v>0</v>
      </c>
      <c r="T465" s="13">
        <v>0.1200444609</v>
      </c>
      <c r="U465" s="13">
        <v>0.0130453217</v>
      </c>
      <c r="V465" s="13">
        <v>0</v>
      </c>
      <c r="W465" s="13">
        <v>0</v>
      </c>
      <c r="X465" s="13">
        <v>0</v>
      </c>
      <c r="Y465" s="13">
        <v>0</v>
      </c>
      <c r="Z465" s="13">
        <v>0.0014048127</v>
      </c>
    </row>
    <row r="466" s="2" customFormat="1" hidden="1" spans="1:26">
      <c r="A466" s="11" t="s">
        <v>935</v>
      </c>
      <c r="B466" s="11" t="s">
        <v>937</v>
      </c>
      <c r="C466" s="14" t="s">
        <v>175</v>
      </c>
      <c r="D466" s="14" t="s">
        <v>938</v>
      </c>
      <c r="E466" s="14" t="s">
        <v>939</v>
      </c>
      <c r="F466" s="3" t="s">
        <v>945</v>
      </c>
      <c r="G466" s="4">
        <v>2</v>
      </c>
      <c r="H466" s="12">
        <v>367.064</v>
      </c>
      <c r="I466" s="12">
        <v>121.226187</v>
      </c>
      <c r="J466" s="13">
        <v>0.3302589929</v>
      </c>
      <c r="K466" s="13">
        <v>0.3302589929</v>
      </c>
      <c r="L466" s="12">
        <v>26.99</v>
      </c>
      <c r="M466" s="13">
        <v>0.1265000871</v>
      </c>
      <c r="N466" s="13">
        <v>0.0422436523</v>
      </c>
      <c r="O466" s="13">
        <v>0.2721378288</v>
      </c>
      <c r="P466" s="13">
        <v>0</v>
      </c>
      <c r="Q466" s="13">
        <v>0</v>
      </c>
      <c r="R466" s="13">
        <v>0.0957696559</v>
      </c>
      <c r="S466" s="13">
        <v>0</v>
      </c>
      <c r="T466" s="13">
        <v>0.1200444609</v>
      </c>
      <c r="U466" s="13">
        <v>0.0130453217</v>
      </c>
      <c r="V466" s="13">
        <v>0</v>
      </c>
      <c r="W466" s="13">
        <v>0</v>
      </c>
      <c r="X466" s="13">
        <v>0</v>
      </c>
      <c r="Y466" s="13">
        <v>0</v>
      </c>
      <c r="Z466" s="13">
        <v>0</v>
      </c>
    </row>
    <row r="467" s="2" customFormat="1" hidden="1" spans="1:26">
      <c r="A467" s="11" t="s">
        <v>935</v>
      </c>
      <c r="B467" s="11" t="s">
        <v>937</v>
      </c>
      <c r="C467" s="14" t="s">
        <v>179</v>
      </c>
      <c r="D467" s="14" t="s">
        <v>938</v>
      </c>
      <c r="E467" s="14" t="s">
        <v>939</v>
      </c>
      <c r="F467" s="3" t="s">
        <v>936</v>
      </c>
      <c r="G467" s="4">
        <v>268</v>
      </c>
      <c r="H467" s="12">
        <v>42083.704</v>
      </c>
      <c r="I467" s="12">
        <v>3193.116893</v>
      </c>
      <c r="J467" s="13">
        <v>0.0758753766</v>
      </c>
      <c r="K467" s="13">
        <v>0.0758753766</v>
      </c>
      <c r="L467" s="12">
        <v>23.0924626865</v>
      </c>
      <c r="M467" s="13">
        <v>0.1171965219</v>
      </c>
      <c r="N467" s="13">
        <v>0.0435356614</v>
      </c>
      <c r="O467" s="13">
        <v>0.3288838834</v>
      </c>
      <c r="P467" s="13">
        <v>0.0425495816</v>
      </c>
      <c r="Q467" s="13">
        <v>0.0170505605</v>
      </c>
      <c r="R467" s="13">
        <v>0.2497800748</v>
      </c>
      <c r="S467" s="13">
        <v>0</v>
      </c>
      <c r="T467" s="13">
        <v>0.1064733275</v>
      </c>
      <c r="U467" s="13">
        <v>0.0120858927</v>
      </c>
      <c r="V467" s="13">
        <v>0.0001874359</v>
      </c>
      <c r="W467" s="13">
        <v>-0.0017558936</v>
      </c>
      <c r="X467" s="13">
        <v>0.0022007568</v>
      </c>
      <c r="Y467" s="13">
        <v>0</v>
      </c>
      <c r="Z467" s="13">
        <v>0.0059368198</v>
      </c>
    </row>
    <row r="468" s="2" customFormat="1" hidden="1" spans="1:26">
      <c r="A468" s="11" t="s">
        <v>935</v>
      </c>
      <c r="B468" s="11" t="s">
        <v>937</v>
      </c>
      <c r="C468" s="14" t="s">
        <v>179</v>
      </c>
      <c r="D468" s="14" t="s">
        <v>938</v>
      </c>
      <c r="E468" s="14" t="s">
        <v>939</v>
      </c>
      <c r="F468" s="3" t="s">
        <v>940</v>
      </c>
      <c r="G468" s="4">
        <v>1</v>
      </c>
      <c r="H468" s="12">
        <v>163.132</v>
      </c>
      <c r="I468" s="12">
        <v>21.047257</v>
      </c>
      <c r="J468" s="13">
        <v>0.1290197937</v>
      </c>
      <c r="K468" s="13">
        <v>0.1290197937</v>
      </c>
      <c r="L468" s="12">
        <v>23.99</v>
      </c>
      <c r="M468" s="13">
        <v>0.1136600605</v>
      </c>
      <c r="N468" s="13">
        <v>0.0480202106</v>
      </c>
      <c r="O468" s="13">
        <v>0.3005418924</v>
      </c>
      <c r="P468" s="13">
        <v>0</v>
      </c>
      <c r="Q468" s="13">
        <v>0.0008191771</v>
      </c>
      <c r="R468" s="13">
        <v>0.2879146702</v>
      </c>
      <c r="S468" s="13">
        <v>0</v>
      </c>
      <c r="T468" s="13">
        <v>0.1079616506</v>
      </c>
      <c r="U468" s="13">
        <v>0.0117211951</v>
      </c>
      <c r="V468" s="13">
        <v>0</v>
      </c>
      <c r="W468" s="13">
        <v>0</v>
      </c>
      <c r="X468" s="13">
        <v>0</v>
      </c>
      <c r="Y468" s="13">
        <v>0</v>
      </c>
      <c r="Z468" s="13">
        <v>0.0003413493</v>
      </c>
    </row>
    <row r="469" s="2" customFormat="1" hidden="1" spans="1:26">
      <c r="A469" s="11" t="s">
        <v>935</v>
      </c>
      <c r="B469" s="11" t="s">
        <v>937</v>
      </c>
      <c r="C469" s="14" t="s">
        <v>179</v>
      </c>
      <c r="D469" s="14" t="s">
        <v>938</v>
      </c>
      <c r="E469" s="14" t="s">
        <v>939</v>
      </c>
      <c r="F469" s="3" t="s">
        <v>941</v>
      </c>
      <c r="G469" s="4">
        <v>117</v>
      </c>
      <c r="H469" s="12">
        <v>17225.964</v>
      </c>
      <c r="I469" s="12">
        <v>1212.323635</v>
      </c>
      <c r="J469" s="13">
        <v>0.0703776946</v>
      </c>
      <c r="K469" s="13">
        <v>0.0703776946</v>
      </c>
      <c r="L469" s="12">
        <v>21.6515384615</v>
      </c>
      <c r="M469" s="13">
        <v>0.1259358478</v>
      </c>
      <c r="N469" s="13">
        <v>0.0532066049</v>
      </c>
      <c r="O469" s="13">
        <v>0.3532288817</v>
      </c>
      <c r="P469" s="13">
        <v>0.0284103693</v>
      </c>
      <c r="Q469" s="13">
        <v>0.0137015772</v>
      </c>
      <c r="R469" s="13">
        <v>0.2231450055</v>
      </c>
      <c r="S469" s="13">
        <v>0</v>
      </c>
      <c r="T469" s="13">
        <v>0.1136691101</v>
      </c>
      <c r="U469" s="13">
        <v>0.0129871358</v>
      </c>
      <c r="V469" s="13">
        <v>0</v>
      </c>
      <c r="W469" s="13">
        <v>0</v>
      </c>
      <c r="X469" s="13">
        <v>0</v>
      </c>
      <c r="Y469" s="13">
        <v>0</v>
      </c>
      <c r="Z469" s="13">
        <v>0.0053377726</v>
      </c>
    </row>
    <row r="470" s="2" customFormat="1" hidden="1" spans="1:26">
      <c r="A470" s="11" t="s">
        <v>935</v>
      </c>
      <c r="B470" s="11" t="s">
        <v>937</v>
      </c>
      <c r="C470" s="14" t="s">
        <v>179</v>
      </c>
      <c r="D470" s="14" t="s">
        <v>938</v>
      </c>
      <c r="E470" s="14" t="s">
        <v>939</v>
      </c>
      <c r="F470" s="3" t="s">
        <v>942</v>
      </c>
      <c r="G470" s="4">
        <v>141</v>
      </c>
      <c r="H470" s="12">
        <v>23117.62</v>
      </c>
      <c r="I470" s="12">
        <v>1760.812632</v>
      </c>
      <c r="J470" s="13">
        <v>0.0761675566</v>
      </c>
      <c r="K470" s="13">
        <v>0.0761675566</v>
      </c>
      <c r="L470" s="12">
        <v>24.1109929077</v>
      </c>
      <c r="M470" s="13">
        <v>0.1114855866</v>
      </c>
      <c r="N470" s="13">
        <v>0.0366169826</v>
      </c>
      <c r="O470" s="13">
        <v>0.3129675113</v>
      </c>
      <c r="P470" s="13">
        <v>0.0486432426</v>
      </c>
      <c r="Q470" s="13">
        <v>0.0173381411</v>
      </c>
      <c r="R470" s="13">
        <v>0.2807426383</v>
      </c>
      <c r="S470" s="13">
        <v>0</v>
      </c>
      <c r="T470" s="13">
        <v>0.1009103878</v>
      </c>
      <c r="U470" s="13">
        <v>0.0114969524</v>
      </c>
      <c r="V470" s="13">
        <v>0.0003412115</v>
      </c>
      <c r="W470" s="13">
        <v>-0.0031964583</v>
      </c>
      <c r="X470" s="13">
        <v>0</v>
      </c>
      <c r="Y470" s="13">
        <v>0</v>
      </c>
      <c r="Z470" s="13">
        <v>0.0064862468</v>
      </c>
    </row>
    <row r="471" s="2" customFormat="1" hidden="1" spans="1:26">
      <c r="A471" s="11" t="s">
        <v>935</v>
      </c>
      <c r="B471" s="11" t="s">
        <v>937</v>
      </c>
      <c r="C471" s="14" t="s">
        <v>179</v>
      </c>
      <c r="D471" s="14" t="s">
        <v>938</v>
      </c>
      <c r="E471" s="14" t="s">
        <v>939</v>
      </c>
      <c r="F471" s="3" t="s">
        <v>943</v>
      </c>
      <c r="G471" s="4">
        <v>3</v>
      </c>
      <c r="H471" s="12">
        <v>516.596</v>
      </c>
      <c r="I471" s="12">
        <v>2.379793</v>
      </c>
      <c r="J471" s="13">
        <v>0.004606681</v>
      </c>
      <c r="K471" s="13">
        <v>0.004606681</v>
      </c>
      <c r="L471" s="12">
        <v>25.3233333333</v>
      </c>
      <c r="M471" s="13">
        <v>0.1076755898</v>
      </c>
      <c r="N471" s="13">
        <v>0.0353656048</v>
      </c>
      <c r="O471" s="13">
        <v>0.3044622877</v>
      </c>
      <c r="P471" s="13">
        <v>0</v>
      </c>
      <c r="Q471" s="13">
        <v>0.1416817319</v>
      </c>
      <c r="R471" s="13">
        <v>0.0828998734</v>
      </c>
      <c r="S471" s="13">
        <v>0</v>
      </c>
      <c r="T471" s="13">
        <v>0.1200473871</v>
      </c>
      <c r="U471" s="13">
        <v>0.0111040464</v>
      </c>
      <c r="V471" s="13">
        <v>0</v>
      </c>
      <c r="W471" s="13">
        <v>0</v>
      </c>
      <c r="X471" s="13">
        <v>0.1792812952</v>
      </c>
      <c r="Y471" s="13">
        <v>0</v>
      </c>
      <c r="Z471" s="13">
        <v>0.0128755023</v>
      </c>
    </row>
    <row r="472" s="2" customFormat="1" spans="1:26">
      <c r="A472" s="11" t="s">
        <v>935</v>
      </c>
      <c r="B472" s="11" t="s">
        <v>937</v>
      </c>
      <c r="C472" s="14" t="s">
        <v>179</v>
      </c>
      <c r="D472" s="14" t="s">
        <v>938</v>
      </c>
      <c r="E472" s="14" t="s">
        <v>939</v>
      </c>
      <c r="F472" s="3" t="s">
        <v>944</v>
      </c>
      <c r="G472" s="4">
        <v>5</v>
      </c>
      <c r="H472" s="12">
        <v>883.66</v>
      </c>
      <c r="I472" s="12">
        <v>140.063048</v>
      </c>
      <c r="J472" s="13">
        <v>0.1585033248</v>
      </c>
      <c r="K472" s="13">
        <v>0.1585033248</v>
      </c>
      <c r="L472" s="12">
        <v>25.99</v>
      </c>
      <c r="M472" s="13">
        <v>0.1049136149</v>
      </c>
      <c r="N472" s="13">
        <v>0.040556679</v>
      </c>
      <c r="O472" s="13">
        <v>0.2966525586</v>
      </c>
      <c r="P472" s="13">
        <v>0.2</v>
      </c>
      <c r="Q472" s="13">
        <v>0.0083578073</v>
      </c>
      <c r="R472" s="13">
        <v>0.0779839746</v>
      </c>
      <c r="S472" s="13">
        <v>0</v>
      </c>
      <c r="T472" s="13">
        <v>0.100808003</v>
      </c>
      <c r="U472" s="13">
        <v>0.0108192177</v>
      </c>
      <c r="V472" s="13">
        <v>0</v>
      </c>
      <c r="W472" s="13">
        <v>0</v>
      </c>
      <c r="X472" s="13">
        <v>0</v>
      </c>
      <c r="Y472" s="13">
        <v>0</v>
      </c>
      <c r="Z472" s="13">
        <v>0.0014048197</v>
      </c>
    </row>
    <row r="473" s="2" customFormat="1" hidden="1" spans="1:26">
      <c r="A473" s="11" t="s">
        <v>935</v>
      </c>
      <c r="B473" s="11" t="s">
        <v>937</v>
      </c>
      <c r="C473" s="14" t="s">
        <v>179</v>
      </c>
      <c r="D473" s="14" t="s">
        <v>938</v>
      </c>
      <c r="E473" s="14" t="s">
        <v>939</v>
      </c>
      <c r="F473" s="3" t="s">
        <v>945</v>
      </c>
      <c r="G473" s="4">
        <v>1</v>
      </c>
      <c r="H473" s="12">
        <v>176.732</v>
      </c>
      <c r="I473" s="12">
        <v>56.490528</v>
      </c>
      <c r="J473" s="13">
        <v>0.3196394993</v>
      </c>
      <c r="K473" s="13">
        <v>0.3196394993</v>
      </c>
      <c r="L473" s="12">
        <v>25.99</v>
      </c>
      <c r="M473" s="13">
        <v>0.1049136149</v>
      </c>
      <c r="N473" s="13">
        <v>0.040556679</v>
      </c>
      <c r="O473" s="13">
        <v>0.2966525586</v>
      </c>
      <c r="P473" s="13">
        <v>0</v>
      </c>
      <c r="Q473" s="13">
        <v>0</v>
      </c>
      <c r="R473" s="13">
        <v>0.1073722585</v>
      </c>
      <c r="S473" s="13">
        <v>0</v>
      </c>
      <c r="T473" s="13">
        <v>0.1200461716</v>
      </c>
      <c r="U473" s="13">
        <v>0.0108192177</v>
      </c>
      <c r="V473" s="13">
        <v>0</v>
      </c>
      <c r="W473" s="13">
        <v>0</v>
      </c>
      <c r="X473" s="13">
        <v>0</v>
      </c>
      <c r="Y473" s="13">
        <v>0</v>
      </c>
      <c r="Z473" s="13">
        <v>0</v>
      </c>
    </row>
    <row r="474" s="2" customFormat="1" hidden="1" spans="1:26">
      <c r="A474" s="11" t="s">
        <v>935</v>
      </c>
      <c r="B474" s="11" t="s">
        <v>937</v>
      </c>
      <c r="C474" s="14" t="s">
        <v>183</v>
      </c>
      <c r="D474" s="14" t="s">
        <v>938</v>
      </c>
      <c r="E474" s="14" t="s">
        <v>939</v>
      </c>
      <c r="F474" s="3" t="s">
        <v>936</v>
      </c>
      <c r="G474" s="4">
        <v>159</v>
      </c>
      <c r="H474" s="12">
        <v>28398.228</v>
      </c>
      <c r="I474" s="12">
        <v>6741.993361</v>
      </c>
      <c r="J474" s="13">
        <v>0.2374089454</v>
      </c>
      <c r="K474" s="13">
        <v>0.2374089454</v>
      </c>
      <c r="L474" s="12">
        <v>26.2654716981</v>
      </c>
      <c r="M474" s="13">
        <v>0.0985066742</v>
      </c>
      <c r="N474" s="13">
        <v>0.0815186551</v>
      </c>
      <c r="O474" s="13">
        <v>0.2904954492</v>
      </c>
      <c r="P474" s="13">
        <v>0.0064627976</v>
      </c>
      <c r="Q474" s="13">
        <v>0.0158622284</v>
      </c>
      <c r="R474" s="13">
        <v>0.1417990149</v>
      </c>
      <c r="S474" s="13">
        <v>0</v>
      </c>
      <c r="T474" s="13">
        <v>0.1124440581</v>
      </c>
      <c r="U474" s="13">
        <v>0.0101584999</v>
      </c>
      <c r="V474" s="13">
        <v>0</v>
      </c>
      <c r="W474" s="13">
        <v>0</v>
      </c>
      <c r="X474" s="13">
        <v>0</v>
      </c>
      <c r="Y474" s="13">
        <v>0</v>
      </c>
      <c r="Z474" s="13">
        <v>0.0053436768</v>
      </c>
    </row>
    <row r="475" s="2" customFormat="1" hidden="1" spans="1:26">
      <c r="A475" s="11" t="s">
        <v>935</v>
      </c>
      <c r="B475" s="11" t="s">
        <v>937</v>
      </c>
      <c r="C475" s="14" t="s">
        <v>183</v>
      </c>
      <c r="D475" s="14" t="s">
        <v>938</v>
      </c>
      <c r="E475" s="14" t="s">
        <v>939</v>
      </c>
      <c r="F475" s="3" t="s">
        <v>942</v>
      </c>
      <c r="G475" s="4">
        <v>15</v>
      </c>
      <c r="H475" s="12">
        <v>2100.18</v>
      </c>
      <c r="I475" s="12">
        <v>-623.711461</v>
      </c>
      <c r="J475" s="13">
        <v>-0.2969800021</v>
      </c>
      <c r="K475" s="13">
        <v>-0.2969800021</v>
      </c>
      <c r="L475" s="12">
        <v>20.59</v>
      </c>
      <c r="M475" s="13">
        <v>0.1256592649</v>
      </c>
      <c r="N475" s="13">
        <v>0.0556777776</v>
      </c>
      <c r="O475" s="13">
        <v>0.370568237</v>
      </c>
      <c r="P475" s="13">
        <v>0</v>
      </c>
      <c r="Q475" s="13">
        <v>0.0003234118</v>
      </c>
      <c r="R475" s="13">
        <v>0.6756059894</v>
      </c>
      <c r="S475" s="13">
        <v>0</v>
      </c>
      <c r="T475" s="13">
        <v>0.0497005018</v>
      </c>
      <c r="U475" s="13">
        <v>0.0129586106</v>
      </c>
      <c r="V475" s="13">
        <v>0</v>
      </c>
      <c r="W475" s="13">
        <v>0</v>
      </c>
      <c r="X475" s="13">
        <v>0</v>
      </c>
      <c r="Y475" s="13">
        <v>0</v>
      </c>
      <c r="Z475" s="13">
        <v>0.0064862088</v>
      </c>
    </row>
    <row r="476" s="2" customFormat="1" hidden="1" spans="1:26">
      <c r="A476" s="11" t="s">
        <v>935</v>
      </c>
      <c r="B476" s="11" t="s">
        <v>937</v>
      </c>
      <c r="C476" s="14" t="s">
        <v>183</v>
      </c>
      <c r="D476" s="14" t="s">
        <v>938</v>
      </c>
      <c r="E476" s="14" t="s">
        <v>939</v>
      </c>
      <c r="F476" s="3" t="s">
        <v>943</v>
      </c>
      <c r="G476" s="4">
        <v>50</v>
      </c>
      <c r="H476" s="12">
        <v>9046.04</v>
      </c>
      <c r="I476" s="12">
        <v>2465.112018</v>
      </c>
      <c r="J476" s="13">
        <v>0.272507309</v>
      </c>
      <c r="K476" s="13">
        <v>0.272507309</v>
      </c>
      <c r="L476" s="12">
        <v>26.606</v>
      </c>
      <c r="M476" s="13">
        <v>0.0972458943</v>
      </c>
      <c r="N476" s="13">
        <v>0.0843697905</v>
      </c>
      <c r="O476" s="13">
        <v>0.2867774186</v>
      </c>
      <c r="P476" s="13">
        <v>0</v>
      </c>
      <c r="Q476" s="13">
        <v>0.0174650251</v>
      </c>
      <c r="R476" s="13">
        <v>0.1035236069</v>
      </c>
      <c r="S476" s="13">
        <v>0</v>
      </c>
      <c r="T476" s="13">
        <v>0.1152070961</v>
      </c>
      <c r="U476" s="13">
        <v>0.010028482</v>
      </c>
      <c r="V476" s="13">
        <v>0</v>
      </c>
      <c r="W476" s="13">
        <v>0</v>
      </c>
      <c r="X476" s="13">
        <v>0</v>
      </c>
      <c r="Y476" s="13">
        <v>0</v>
      </c>
      <c r="Z476" s="13">
        <v>0.012875377</v>
      </c>
    </row>
    <row r="477" s="2" customFormat="1" spans="1:26">
      <c r="A477" s="11" t="s">
        <v>935</v>
      </c>
      <c r="B477" s="11" t="s">
        <v>937</v>
      </c>
      <c r="C477" s="14" t="s">
        <v>183</v>
      </c>
      <c r="D477" s="14" t="s">
        <v>938</v>
      </c>
      <c r="E477" s="14" t="s">
        <v>939</v>
      </c>
      <c r="F477" s="3" t="s">
        <v>944</v>
      </c>
      <c r="G477" s="4">
        <v>84</v>
      </c>
      <c r="H477" s="12">
        <v>15416.688</v>
      </c>
      <c r="I477" s="12">
        <v>4251.634811</v>
      </c>
      <c r="J477" s="13">
        <v>0.2757813358</v>
      </c>
      <c r="K477" s="13">
        <v>0.2757813358</v>
      </c>
      <c r="L477" s="12">
        <v>26.99</v>
      </c>
      <c r="M477" s="13">
        <v>0.0958623291</v>
      </c>
      <c r="N477" s="13">
        <v>0.08316942</v>
      </c>
      <c r="O477" s="13">
        <v>0.2826972952</v>
      </c>
      <c r="P477" s="13">
        <v>0.0119047619</v>
      </c>
      <c r="Q477" s="13">
        <v>0.0189269342</v>
      </c>
      <c r="R477" s="13">
        <v>0.1019019152</v>
      </c>
      <c r="S477" s="13">
        <v>0</v>
      </c>
      <c r="T477" s="13">
        <v>0.1184653928</v>
      </c>
      <c r="U477" s="13">
        <v>0.0098858019</v>
      </c>
      <c r="V477" s="13">
        <v>0</v>
      </c>
      <c r="W477" s="13">
        <v>0</v>
      </c>
      <c r="X477" s="13">
        <v>0</v>
      </c>
      <c r="Y477" s="13">
        <v>0</v>
      </c>
      <c r="Z477" s="13">
        <v>0.0014048134</v>
      </c>
    </row>
    <row r="478" s="2" customFormat="1" hidden="1" spans="1:26">
      <c r="A478" s="11" t="s">
        <v>935</v>
      </c>
      <c r="B478" s="11" t="s">
        <v>937</v>
      </c>
      <c r="C478" s="14" t="s">
        <v>183</v>
      </c>
      <c r="D478" s="14" t="s">
        <v>938</v>
      </c>
      <c r="E478" s="14" t="s">
        <v>939</v>
      </c>
      <c r="F478" s="3" t="s">
        <v>945</v>
      </c>
      <c r="G478" s="4">
        <v>10</v>
      </c>
      <c r="H478" s="12">
        <v>1835.32</v>
      </c>
      <c r="I478" s="12">
        <v>648.957993</v>
      </c>
      <c r="J478" s="13">
        <v>0.3535939198</v>
      </c>
      <c r="K478" s="13">
        <v>0.3535939198</v>
      </c>
      <c r="L478" s="12">
        <v>26.99</v>
      </c>
      <c r="M478" s="13">
        <v>0.0958623291</v>
      </c>
      <c r="N478" s="13">
        <v>0.08316942</v>
      </c>
      <c r="O478" s="13">
        <v>0.2826972952</v>
      </c>
      <c r="P478" s="13">
        <v>0</v>
      </c>
      <c r="Q478" s="13">
        <v>0</v>
      </c>
      <c r="R478" s="13">
        <v>0.0547467727</v>
      </c>
      <c r="S478" s="13">
        <v>0</v>
      </c>
      <c r="T478" s="13">
        <v>0.1200444609</v>
      </c>
      <c r="U478" s="13">
        <v>0.0098858019</v>
      </c>
      <c r="V478" s="13">
        <v>0</v>
      </c>
      <c r="W478" s="13">
        <v>0</v>
      </c>
      <c r="X478" s="13">
        <v>0</v>
      </c>
      <c r="Y478" s="13">
        <v>0</v>
      </c>
      <c r="Z478" s="13">
        <v>0</v>
      </c>
    </row>
    <row r="479" s="2" customFormat="1" hidden="1" spans="1:26">
      <c r="A479" s="11" t="s">
        <v>935</v>
      </c>
      <c r="B479" s="11" t="s">
        <v>937</v>
      </c>
      <c r="C479" s="14" t="s">
        <v>187</v>
      </c>
      <c r="D479" s="14" t="s">
        <v>938</v>
      </c>
      <c r="E479" s="14" t="s">
        <v>939</v>
      </c>
      <c r="F479" s="3" t="s">
        <v>936</v>
      </c>
      <c r="G479" s="4">
        <v>19</v>
      </c>
      <c r="H479" s="12">
        <v>3289.908</v>
      </c>
      <c r="I479" s="12">
        <v>410.875504</v>
      </c>
      <c r="J479" s="13">
        <v>0.1248896637</v>
      </c>
      <c r="K479" s="13">
        <v>0.1248896637</v>
      </c>
      <c r="L479" s="12">
        <v>25.4636842105</v>
      </c>
      <c r="M479" s="13">
        <v>0.1166035752</v>
      </c>
      <c r="N479" s="13">
        <v>0.0764984802</v>
      </c>
      <c r="O479" s="13">
        <v>0.2871788512</v>
      </c>
      <c r="P479" s="13">
        <v>0</v>
      </c>
      <c r="Q479" s="13">
        <v>0.0434003355</v>
      </c>
      <c r="R479" s="13">
        <v>0.225880164</v>
      </c>
      <c r="S479" s="13">
        <v>0</v>
      </c>
      <c r="T479" s="13">
        <v>0.1078315867</v>
      </c>
      <c r="U479" s="13">
        <v>0.0120247432</v>
      </c>
      <c r="V479" s="13">
        <v>0</v>
      </c>
      <c r="W479" s="13">
        <v>0</v>
      </c>
      <c r="X479" s="13">
        <v>0</v>
      </c>
      <c r="Y479" s="13">
        <v>0</v>
      </c>
      <c r="Z479" s="13">
        <v>0.0056925999</v>
      </c>
    </row>
    <row r="480" s="2" customFormat="1" hidden="1" spans="1:26">
      <c r="A480" s="11" t="s">
        <v>935</v>
      </c>
      <c r="B480" s="11" t="s">
        <v>937</v>
      </c>
      <c r="C480" s="14" t="s">
        <v>187</v>
      </c>
      <c r="D480" s="14" t="s">
        <v>938</v>
      </c>
      <c r="E480" s="14" t="s">
        <v>939</v>
      </c>
      <c r="F480" s="3" t="s">
        <v>942</v>
      </c>
      <c r="G480" s="4">
        <v>2</v>
      </c>
      <c r="H480" s="12">
        <v>367.064</v>
      </c>
      <c r="I480" s="12">
        <v>-159.688431</v>
      </c>
      <c r="J480" s="13">
        <v>-0.4350424748</v>
      </c>
      <c r="K480" s="13">
        <v>-0.4350424748</v>
      </c>
      <c r="L480" s="12">
        <v>26.99</v>
      </c>
      <c r="M480" s="13">
        <v>0.1100095078</v>
      </c>
      <c r="N480" s="13">
        <v>0.0346057036</v>
      </c>
      <c r="O480" s="13">
        <v>0.2556502408</v>
      </c>
      <c r="P480" s="13">
        <v>0</v>
      </c>
      <c r="Q480" s="13">
        <v>0.000323434</v>
      </c>
      <c r="R480" s="13">
        <v>1.0055072221</v>
      </c>
      <c r="S480" s="13">
        <v>0</v>
      </c>
      <c r="T480" s="13">
        <v>0.0111152278</v>
      </c>
      <c r="U480" s="13">
        <v>0.01134473</v>
      </c>
      <c r="V480" s="13">
        <v>0</v>
      </c>
      <c r="W480" s="13">
        <v>0</v>
      </c>
      <c r="X480" s="13">
        <v>0</v>
      </c>
      <c r="Y480" s="13">
        <v>0</v>
      </c>
      <c r="Z480" s="13">
        <v>0.0064864083</v>
      </c>
    </row>
    <row r="481" s="2" customFormat="1" hidden="1" spans="1:26">
      <c r="A481" s="11" t="s">
        <v>935</v>
      </c>
      <c r="B481" s="11" t="s">
        <v>937</v>
      </c>
      <c r="C481" s="14" t="s">
        <v>187</v>
      </c>
      <c r="D481" s="14" t="s">
        <v>938</v>
      </c>
      <c r="E481" s="14" t="s">
        <v>939</v>
      </c>
      <c r="F481" s="3" t="s">
        <v>943</v>
      </c>
      <c r="G481" s="4">
        <v>6</v>
      </c>
      <c r="H481" s="12">
        <v>1067.192</v>
      </c>
      <c r="I481" s="12">
        <v>311.993854</v>
      </c>
      <c r="J481" s="13">
        <v>0.2923502556</v>
      </c>
      <c r="K481" s="13">
        <v>0.2923502556</v>
      </c>
      <c r="L481" s="12">
        <v>26.1566666666</v>
      </c>
      <c r="M481" s="13">
        <v>0.1135143348</v>
      </c>
      <c r="N481" s="13">
        <v>0.0969673835</v>
      </c>
      <c r="O481" s="13">
        <v>0.2744998088</v>
      </c>
      <c r="P481" s="13">
        <v>0</v>
      </c>
      <c r="Q481" s="13">
        <v>0.0131710479</v>
      </c>
      <c r="R481" s="13">
        <v>0.0648698903</v>
      </c>
      <c r="S481" s="13">
        <v>0</v>
      </c>
      <c r="T481" s="13">
        <v>0.1200458774</v>
      </c>
      <c r="U481" s="13">
        <v>0.0117061653</v>
      </c>
      <c r="V481" s="13">
        <v>0</v>
      </c>
      <c r="W481" s="13">
        <v>0</v>
      </c>
      <c r="X481" s="13">
        <v>0</v>
      </c>
      <c r="Y481" s="13">
        <v>0</v>
      </c>
      <c r="Z481" s="13">
        <v>0.0128752361</v>
      </c>
    </row>
    <row r="482" s="2" customFormat="1" spans="1:26">
      <c r="A482" s="11" t="s">
        <v>935</v>
      </c>
      <c r="B482" s="11" t="s">
        <v>937</v>
      </c>
      <c r="C482" s="14" t="s">
        <v>187</v>
      </c>
      <c r="D482" s="14" t="s">
        <v>938</v>
      </c>
      <c r="E482" s="14" t="s">
        <v>939</v>
      </c>
      <c r="F482" s="3" t="s">
        <v>944</v>
      </c>
      <c r="G482" s="4">
        <v>11</v>
      </c>
      <c r="H482" s="12">
        <v>1855.652</v>
      </c>
      <c r="I482" s="12">
        <v>288.467702</v>
      </c>
      <c r="J482" s="13">
        <v>0.1554535559</v>
      </c>
      <c r="K482" s="13">
        <v>0.1554535559</v>
      </c>
      <c r="L482" s="12">
        <v>24.8081818181</v>
      </c>
      <c r="M482" s="13">
        <v>0.1196845717</v>
      </c>
      <c r="N482" s="13">
        <v>0.0730134949</v>
      </c>
      <c r="O482" s="13">
        <v>0.3007072446</v>
      </c>
      <c r="P482" s="13">
        <v>0</v>
      </c>
      <c r="Q482" s="13">
        <v>0.0693062885</v>
      </c>
      <c r="R482" s="13">
        <v>0.1481491179</v>
      </c>
      <c r="S482" s="13">
        <v>0</v>
      </c>
      <c r="T482" s="13">
        <v>0.1199384367</v>
      </c>
      <c r="U482" s="13">
        <v>0.012342471</v>
      </c>
      <c r="V482" s="13">
        <v>0</v>
      </c>
      <c r="W482" s="13">
        <v>0</v>
      </c>
      <c r="X482" s="13">
        <v>0</v>
      </c>
      <c r="Y482" s="13">
        <v>0</v>
      </c>
      <c r="Z482" s="13">
        <v>0.0014048183</v>
      </c>
    </row>
    <row r="483" s="2" customFormat="1" hidden="1" spans="1:26">
      <c r="A483" s="11" t="s">
        <v>935</v>
      </c>
      <c r="B483" s="11" t="s">
        <v>937</v>
      </c>
      <c r="C483" s="14" t="s">
        <v>187</v>
      </c>
      <c r="D483" s="14" t="s">
        <v>938</v>
      </c>
      <c r="E483" s="14" t="s">
        <v>939</v>
      </c>
      <c r="F483" s="3" t="s">
        <v>945</v>
      </c>
      <c r="G483" s="4">
        <v>0</v>
      </c>
      <c r="H483" s="12">
        <v>0</v>
      </c>
      <c r="I483" s="12">
        <v>-29.897621</v>
      </c>
      <c r="J483" s="13"/>
      <c r="K483" s="13"/>
      <c r="L483" s="12"/>
      <c r="M483" s="13"/>
      <c r="N483" s="13"/>
      <c r="O483" s="13"/>
      <c r="P483" s="13"/>
      <c r="Q483" s="13"/>
      <c r="R483" s="13"/>
      <c r="S483" s="13"/>
      <c r="T483" s="13"/>
      <c r="U483" s="13"/>
      <c r="V483" s="13"/>
      <c r="W483" s="13"/>
      <c r="X483" s="13"/>
      <c r="Y483" s="13"/>
      <c r="Z483" s="13"/>
    </row>
    <row r="484" s="2" customFormat="1" hidden="1" spans="1:26">
      <c r="A484" s="11" t="s">
        <v>935</v>
      </c>
      <c r="B484" s="11" t="s">
        <v>937</v>
      </c>
      <c r="C484" s="14" t="s">
        <v>191</v>
      </c>
      <c r="D484" s="14" t="s">
        <v>938</v>
      </c>
      <c r="E484" s="14" t="s">
        <v>939</v>
      </c>
      <c r="F484" s="3" t="s">
        <v>936</v>
      </c>
      <c r="G484" s="4">
        <v>47</v>
      </c>
      <c r="H484" s="12">
        <v>8128.244</v>
      </c>
      <c r="I484" s="12">
        <v>-257.831979</v>
      </c>
      <c r="J484" s="13">
        <v>-0.0317205018</v>
      </c>
      <c r="K484" s="13">
        <v>-0.0317205018</v>
      </c>
      <c r="L484" s="12">
        <v>25.4325531914</v>
      </c>
      <c r="M484" s="13">
        <v>0.1211674685</v>
      </c>
      <c r="N484" s="13">
        <v>0.0292550669</v>
      </c>
      <c r="O484" s="13">
        <v>0.2870337061</v>
      </c>
      <c r="P484" s="13">
        <v>0.0434858992</v>
      </c>
      <c r="Q484" s="13">
        <v>0.0363482158</v>
      </c>
      <c r="R484" s="13">
        <v>0.42108105</v>
      </c>
      <c r="S484" s="13">
        <v>0</v>
      </c>
      <c r="T484" s="13">
        <v>0.0876745333</v>
      </c>
      <c r="U484" s="13">
        <v>0.0124953971</v>
      </c>
      <c r="V484" s="13">
        <v>-0.0130256916</v>
      </c>
      <c r="W484" s="13">
        <v>0</v>
      </c>
      <c r="X484" s="13">
        <v>0</v>
      </c>
      <c r="Y484" s="13">
        <v>0</v>
      </c>
      <c r="Z484" s="13">
        <v>0.0062048561</v>
      </c>
    </row>
    <row r="485" s="2" customFormat="1" hidden="1" spans="1:26">
      <c r="A485" s="11" t="s">
        <v>935</v>
      </c>
      <c r="B485" s="11" t="s">
        <v>937</v>
      </c>
      <c r="C485" s="14" t="s">
        <v>191</v>
      </c>
      <c r="D485" s="14" t="s">
        <v>938</v>
      </c>
      <c r="E485" s="14" t="s">
        <v>939</v>
      </c>
      <c r="F485" s="3" t="s">
        <v>941</v>
      </c>
      <c r="G485" s="4">
        <v>0</v>
      </c>
      <c r="H485" s="12">
        <v>0</v>
      </c>
      <c r="I485" s="12">
        <v>-34</v>
      </c>
      <c r="J485" s="13"/>
      <c r="K485" s="13"/>
      <c r="L485" s="12"/>
      <c r="M485" s="13"/>
      <c r="N485" s="13"/>
      <c r="O485" s="13"/>
      <c r="P485" s="13"/>
      <c r="Q485" s="13"/>
      <c r="R485" s="13"/>
      <c r="S485" s="13"/>
      <c r="T485" s="13"/>
      <c r="U485" s="13"/>
      <c r="V485" s="13"/>
      <c r="W485" s="13"/>
      <c r="X485" s="13"/>
      <c r="Y485" s="13"/>
      <c r="Z485" s="13"/>
    </row>
    <row r="486" s="2" customFormat="1" hidden="1" spans="1:26">
      <c r="A486" s="11" t="s">
        <v>935</v>
      </c>
      <c r="B486" s="11" t="s">
        <v>937</v>
      </c>
      <c r="C486" s="14" t="s">
        <v>191</v>
      </c>
      <c r="D486" s="14" t="s">
        <v>938</v>
      </c>
      <c r="E486" s="14" t="s">
        <v>939</v>
      </c>
      <c r="F486" s="3" t="s">
        <v>942</v>
      </c>
      <c r="G486" s="4">
        <v>17</v>
      </c>
      <c r="H486" s="12">
        <v>3053.404</v>
      </c>
      <c r="I486" s="12">
        <v>-707.201664</v>
      </c>
      <c r="J486" s="13">
        <v>-0.231610905</v>
      </c>
      <c r="K486" s="13">
        <v>-0.231610905</v>
      </c>
      <c r="L486" s="12">
        <v>26.4135294117</v>
      </c>
      <c r="M486" s="13">
        <v>0.1166674108</v>
      </c>
      <c r="N486" s="13">
        <v>0.0298336191</v>
      </c>
      <c r="O486" s="13">
        <v>0.2763735162</v>
      </c>
      <c r="P486" s="13">
        <v>0.0578803198</v>
      </c>
      <c r="Q486" s="13">
        <v>0.025608601</v>
      </c>
      <c r="R486" s="13">
        <v>0.6567109367</v>
      </c>
      <c r="S486" s="13">
        <v>0</v>
      </c>
      <c r="T486" s="13">
        <v>0.0500189296</v>
      </c>
      <c r="U486" s="13">
        <v>0.0120313286</v>
      </c>
      <c r="V486" s="13">
        <v>0</v>
      </c>
      <c r="W486" s="13">
        <v>0</v>
      </c>
      <c r="X486" s="13">
        <v>0</v>
      </c>
      <c r="Y486" s="13">
        <v>0</v>
      </c>
      <c r="Z486" s="13">
        <v>0.0064862428</v>
      </c>
    </row>
    <row r="487" s="2" customFormat="1" hidden="1" spans="1:26">
      <c r="A487" s="11" t="s">
        <v>935</v>
      </c>
      <c r="B487" s="11" t="s">
        <v>937</v>
      </c>
      <c r="C487" s="14" t="s">
        <v>191</v>
      </c>
      <c r="D487" s="14" t="s">
        <v>938</v>
      </c>
      <c r="E487" s="14" t="s">
        <v>939</v>
      </c>
      <c r="F487" s="3" t="s">
        <v>943</v>
      </c>
      <c r="G487" s="4">
        <v>13</v>
      </c>
      <c r="H487" s="12">
        <v>2070.396</v>
      </c>
      <c r="I487" s="12">
        <v>364.597849</v>
      </c>
      <c r="J487" s="13">
        <v>0.1761005377</v>
      </c>
      <c r="K487" s="13">
        <v>0.1761005377</v>
      </c>
      <c r="L487" s="12">
        <v>23.4207692307</v>
      </c>
      <c r="M487" s="13">
        <v>0.131575443</v>
      </c>
      <c r="N487" s="13">
        <v>0.0307039006</v>
      </c>
      <c r="O487" s="13">
        <v>0.3116891647</v>
      </c>
      <c r="P487" s="13">
        <v>0</v>
      </c>
      <c r="Q487" s="13">
        <v>0.056976035</v>
      </c>
      <c r="R487" s="13">
        <v>0.1486338888</v>
      </c>
      <c r="S487" s="13">
        <v>0</v>
      </c>
      <c r="T487" s="13">
        <v>0.1178769665</v>
      </c>
      <c r="U487" s="13">
        <v>0.0135687197</v>
      </c>
      <c r="V487" s="13">
        <v>0</v>
      </c>
      <c r="W487" s="13">
        <v>0</v>
      </c>
      <c r="X487" s="13">
        <v>0</v>
      </c>
      <c r="Y487" s="13">
        <v>0</v>
      </c>
      <c r="Z487" s="13">
        <v>0.0128753436</v>
      </c>
    </row>
    <row r="488" s="2" customFormat="1" spans="1:26">
      <c r="A488" s="11" t="s">
        <v>935</v>
      </c>
      <c r="B488" s="11" t="s">
        <v>937</v>
      </c>
      <c r="C488" s="14" t="s">
        <v>191</v>
      </c>
      <c r="D488" s="14" t="s">
        <v>938</v>
      </c>
      <c r="E488" s="14" t="s">
        <v>939</v>
      </c>
      <c r="F488" s="3" t="s">
        <v>944</v>
      </c>
      <c r="G488" s="4">
        <v>16</v>
      </c>
      <c r="H488" s="12">
        <v>2827.712</v>
      </c>
      <c r="I488" s="12">
        <v>86.771933</v>
      </c>
      <c r="J488" s="13">
        <v>0.0306862696</v>
      </c>
      <c r="K488" s="13">
        <v>0.0306862696</v>
      </c>
      <c r="L488" s="12">
        <v>25.99</v>
      </c>
      <c r="M488" s="13">
        <v>0.1185686067</v>
      </c>
      <c r="N488" s="13">
        <v>0.0276686791</v>
      </c>
      <c r="O488" s="13">
        <v>0.2808772604</v>
      </c>
      <c r="P488" s="13">
        <v>0.0625</v>
      </c>
      <c r="Q488" s="13">
        <v>0.0351134793</v>
      </c>
      <c r="R488" s="13">
        <v>0.3641970578</v>
      </c>
      <c r="S488" s="13">
        <v>0</v>
      </c>
      <c r="T488" s="13">
        <v>0.1041987302</v>
      </c>
      <c r="U488" s="13">
        <v>0.0122273894</v>
      </c>
      <c r="V488" s="13">
        <v>-0.0374422854</v>
      </c>
      <c r="W488" s="13">
        <v>0</v>
      </c>
      <c r="X488" s="13">
        <v>0</v>
      </c>
      <c r="Y488" s="13">
        <v>0</v>
      </c>
      <c r="Z488" s="13">
        <v>0.0014048124</v>
      </c>
    </row>
    <row r="489" s="2" customFormat="1" hidden="1" spans="1:26">
      <c r="A489" s="11" t="s">
        <v>935</v>
      </c>
      <c r="B489" s="11" t="s">
        <v>937</v>
      </c>
      <c r="C489" s="14" t="s">
        <v>191</v>
      </c>
      <c r="D489" s="14" t="s">
        <v>938</v>
      </c>
      <c r="E489" s="14" t="s">
        <v>939</v>
      </c>
      <c r="F489" s="3" t="s">
        <v>945</v>
      </c>
      <c r="G489" s="4">
        <v>1</v>
      </c>
      <c r="H489" s="12">
        <v>176.732</v>
      </c>
      <c r="I489" s="12">
        <v>31.999903</v>
      </c>
      <c r="J489" s="13">
        <v>0.1810645666</v>
      </c>
      <c r="K489" s="13">
        <v>0.1810645666</v>
      </c>
      <c r="L489" s="12">
        <v>25.99</v>
      </c>
      <c r="M489" s="13">
        <v>0.1185686067</v>
      </c>
      <c r="N489" s="13">
        <v>0.0276686791</v>
      </c>
      <c r="O489" s="13">
        <v>0.2808772604</v>
      </c>
      <c r="P489" s="13">
        <v>0</v>
      </c>
      <c r="Q489" s="13">
        <v>0</v>
      </c>
      <c r="R489" s="13">
        <v>0.2595473258</v>
      </c>
      <c r="S489" s="13">
        <v>0</v>
      </c>
      <c r="T489" s="13">
        <v>0.1200461716</v>
      </c>
      <c r="U489" s="13">
        <v>0.0122273894</v>
      </c>
      <c r="V489" s="13">
        <v>0</v>
      </c>
      <c r="W489" s="13">
        <v>0</v>
      </c>
      <c r="X489" s="13">
        <v>0</v>
      </c>
      <c r="Y489" s="13">
        <v>0</v>
      </c>
      <c r="Z489" s="13">
        <v>0</v>
      </c>
    </row>
    <row r="490" s="2" customFormat="1" hidden="1" spans="1:26">
      <c r="A490" s="11" t="s">
        <v>935</v>
      </c>
      <c r="B490" s="11" t="s">
        <v>937</v>
      </c>
      <c r="C490" s="14" t="s">
        <v>195</v>
      </c>
      <c r="D490" s="14" t="s">
        <v>938</v>
      </c>
      <c r="E490" s="14" t="s">
        <v>939</v>
      </c>
      <c r="F490" s="3" t="s">
        <v>936</v>
      </c>
      <c r="G490" s="4">
        <v>117</v>
      </c>
      <c r="H490" s="12">
        <v>18341.232</v>
      </c>
      <c r="I490" s="12">
        <v>2733.025588</v>
      </c>
      <c r="J490" s="13">
        <v>0.149009924</v>
      </c>
      <c r="K490" s="13">
        <v>0.149009924</v>
      </c>
      <c r="L490" s="12">
        <v>23.0533333333</v>
      </c>
      <c r="M490" s="13">
        <v>0.1121304987</v>
      </c>
      <c r="N490" s="13">
        <v>0.0319522618</v>
      </c>
      <c r="O490" s="13">
        <v>0.2967477866</v>
      </c>
      <c r="P490" s="13">
        <v>0.0088942771</v>
      </c>
      <c r="Q490" s="13">
        <v>0.0172522324</v>
      </c>
      <c r="R490" s="13">
        <v>0.2569544471</v>
      </c>
      <c r="S490" s="13">
        <v>0</v>
      </c>
      <c r="T490" s="13">
        <v>0.1098344974</v>
      </c>
      <c r="U490" s="13">
        <v>0.0115634611</v>
      </c>
      <c r="V490" s="13">
        <v>0</v>
      </c>
      <c r="W490" s="13">
        <v>-0.0012399196</v>
      </c>
      <c r="X490" s="13">
        <v>0</v>
      </c>
      <c r="Y490" s="13">
        <v>0</v>
      </c>
      <c r="Z490" s="13">
        <v>0.0069005331</v>
      </c>
    </row>
    <row r="491" s="2" customFormat="1" hidden="1" spans="1:26">
      <c r="A491" s="11" t="s">
        <v>935</v>
      </c>
      <c r="B491" s="11" t="s">
        <v>937</v>
      </c>
      <c r="C491" s="14" t="s">
        <v>195</v>
      </c>
      <c r="D491" s="14" t="s">
        <v>938</v>
      </c>
      <c r="E491" s="14" t="s">
        <v>939</v>
      </c>
      <c r="F491" s="3" t="s">
        <v>941</v>
      </c>
      <c r="G491" s="4">
        <v>14</v>
      </c>
      <c r="H491" s="12">
        <v>2147.848</v>
      </c>
      <c r="I491" s="12">
        <v>-637.461102</v>
      </c>
      <c r="J491" s="13">
        <v>-0.2967906025</v>
      </c>
      <c r="K491" s="13">
        <v>-0.2967906025</v>
      </c>
      <c r="L491" s="12">
        <v>22.5614285714</v>
      </c>
      <c r="M491" s="13">
        <v>0.1145752697</v>
      </c>
      <c r="N491" s="13">
        <v>0.0309118475</v>
      </c>
      <c r="O491" s="13">
        <v>0.3058316975</v>
      </c>
      <c r="P491" s="13">
        <v>0</v>
      </c>
      <c r="Q491" s="13">
        <v>0.0017910941</v>
      </c>
      <c r="R491" s="13">
        <v>0.7854331781</v>
      </c>
      <c r="S491" s="13">
        <v>0</v>
      </c>
      <c r="T491" s="13">
        <v>0.0410941556</v>
      </c>
      <c r="U491" s="13">
        <v>0.0118155781</v>
      </c>
      <c r="V491" s="13">
        <v>0</v>
      </c>
      <c r="W491" s="13">
        <v>0</v>
      </c>
      <c r="X491" s="13">
        <v>0</v>
      </c>
      <c r="Y491" s="13">
        <v>0</v>
      </c>
      <c r="Z491" s="13">
        <v>0.0053377813</v>
      </c>
    </row>
    <row r="492" s="2" customFormat="1" hidden="1" spans="1:26">
      <c r="A492" s="11" t="s">
        <v>935</v>
      </c>
      <c r="B492" s="11" t="s">
        <v>937</v>
      </c>
      <c r="C492" s="14" t="s">
        <v>195</v>
      </c>
      <c r="D492" s="14" t="s">
        <v>938</v>
      </c>
      <c r="E492" s="14" t="s">
        <v>939</v>
      </c>
      <c r="F492" s="3" t="s">
        <v>942</v>
      </c>
      <c r="G492" s="4">
        <v>29</v>
      </c>
      <c r="H492" s="12">
        <v>4377.228</v>
      </c>
      <c r="I492" s="12">
        <v>668.496131</v>
      </c>
      <c r="J492" s="13">
        <v>0.1527213412</v>
      </c>
      <c r="K492" s="13">
        <v>0.1527213412</v>
      </c>
      <c r="L492" s="12">
        <v>22.1968965517</v>
      </c>
      <c r="M492" s="13">
        <v>0.1164569001</v>
      </c>
      <c r="N492" s="13">
        <v>0.0314195022</v>
      </c>
      <c r="O492" s="13">
        <v>0.3108542666</v>
      </c>
      <c r="P492" s="13">
        <v>0</v>
      </c>
      <c r="Q492" s="13">
        <v>0.0219838</v>
      </c>
      <c r="R492" s="13">
        <v>0.2284647758</v>
      </c>
      <c r="S492" s="13">
        <v>0</v>
      </c>
      <c r="T492" s="13">
        <v>0.1196035481</v>
      </c>
      <c r="U492" s="13">
        <v>0.0120096213</v>
      </c>
      <c r="V492" s="13">
        <v>0</v>
      </c>
      <c r="W492" s="13">
        <v>0</v>
      </c>
      <c r="X492" s="13">
        <v>0</v>
      </c>
      <c r="Y492" s="13">
        <v>0</v>
      </c>
      <c r="Z492" s="13">
        <v>0.0064862442</v>
      </c>
    </row>
    <row r="493" s="2" customFormat="1" hidden="1" spans="1:26">
      <c r="A493" s="11" t="s">
        <v>935</v>
      </c>
      <c r="B493" s="11" t="s">
        <v>937</v>
      </c>
      <c r="C493" s="14" t="s">
        <v>195</v>
      </c>
      <c r="D493" s="14" t="s">
        <v>938</v>
      </c>
      <c r="E493" s="14" t="s">
        <v>939</v>
      </c>
      <c r="F493" s="3" t="s">
        <v>943</v>
      </c>
      <c r="G493" s="4">
        <v>39</v>
      </c>
      <c r="H493" s="12">
        <v>6133.668</v>
      </c>
      <c r="I493" s="12">
        <v>1195.995257</v>
      </c>
      <c r="J493" s="13">
        <v>0.194988587</v>
      </c>
      <c r="K493" s="13">
        <v>0.194988587</v>
      </c>
      <c r="L493" s="12">
        <v>23.1284615384</v>
      </c>
      <c r="M493" s="13">
        <v>0.1117662651</v>
      </c>
      <c r="N493" s="13">
        <v>0.0328331011</v>
      </c>
      <c r="O493" s="13">
        <v>0.2983337213</v>
      </c>
      <c r="P493" s="13">
        <v>0.0265961574</v>
      </c>
      <c r="Q493" s="13">
        <v>0.0214976796</v>
      </c>
      <c r="R493" s="13">
        <v>0.1721122432</v>
      </c>
      <c r="S493" s="13">
        <v>0</v>
      </c>
      <c r="T493" s="13">
        <v>0.1174709814</v>
      </c>
      <c r="U493" s="13">
        <v>0.0115258995</v>
      </c>
      <c r="V493" s="13">
        <v>0</v>
      </c>
      <c r="W493" s="13">
        <v>0</v>
      </c>
      <c r="X493" s="13">
        <v>0</v>
      </c>
      <c r="Y493" s="13">
        <v>0</v>
      </c>
      <c r="Z493" s="13">
        <v>0.0128753638</v>
      </c>
    </row>
    <row r="494" s="2" customFormat="1" spans="1:26">
      <c r="A494" s="11" t="s">
        <v>935</v>
      </c>
      <c r="B494" s="11" t="s">
        <v>937</v>
      </c>
      <c r="C494" s="14" t="s">
        <v>195</v>
      </c>
      <c r="D494" s="14" t="s">
        <v>938</v>
      </c>
      <c r="E494" s="14" t="s">
        <v>939</v>
      </c>
      <c r="F494" s="3" t="s">
        <v>944</v>
      </c>
      <c r="G494" s="4">
        <v>34</v>
      </c>
      <c r="H494" s="12">
        <v>5505.756</v>
      </c>
      <c r="I494" s="12">
        <v>1440.929789</v>
      </c>
      <c r="J494" s="13">
        <v>0.2617133394</v>
      </c>
      <c r="K494" s="13">
        <v>0.2617133394</v>
      </c>
      <c r="L494" s="12">
        <v>23.8138235294</v>
      </c>
      <c r="M494" s="13">
        <v>0.1085496313</v>
      </c>
      <c r="N494" s="13">
        <v>0.0318881643</v>
      </c>
      <c r="O494" s="13">
        <v>0.2812256845</v>
      </c>
      <c r="P494" s="13">
        <v>0</v>
      </c>
      <c r="Q494" s="13">
        <v>0.0153462056</v>
      </c>
      <c r="R494" s="13">
        <v>0.1727595919</v>
      </c>
      <c r="S494" s="13">
        <v>0</v>
      </c>
      <c r="T494" s="13">
        <v>0.1200489088</v>
      </c>
      <c r="U494" s="13">
        <v>0.011194184</v>
      </c>
      <c r="V494" s="13">
        <v>0</v>
      </c>
      <c r="W494" s="13">
        <v>-0.0041305234</v>
      </c>
      <c r="X494" s="13">
        <v>0</v>
      </c>
      <c r="Y494" s="13">
        <v>0</v>
      </c>
      <c r="Z494" s="13">
        <v>0.0014048132</v>
      </c>
    </row>
    <row r="495" s="2" customFormat="1" hidden="1" spans="1:26">
      <c r="A495" s="11" t="s">
        <v>935</v>
      </c>
      <c r="B495" s="11" t="s">
        <v>937</v>
      </c>
      <c r="C495" s="14" t="s">
        <v>195</v>
      </c>
      <c r="D495" s="14" t="s">
        <v>938</v>
      </c>
      <c r="E495" s="14" t="s">
        <v>939</v>
      </c>
      <c r="F495" s="3" t="s">
        <v>945</v>
      </c>
      <c r="G495" s="4">
        <v>1</v>
      </c>
      <c r="H495" s="12">
        <v>176.732</v>
      </c>
      <c r="I495" s="12">
        <v>65.065513</v>
      </c>
      <c r="J495" s="13">
        <v>0.3681592071</v>
      </c>
      <c r="K495" s="13">
        <v>0.3681592071</v>
      </c>
      <c r="L495" s="12">
        <v>25.99</v>
      </c>
      <c r="M495" s="13">
        <v>0.0994606296</v>
      </c>
      <c r="N495" s="13">
        <v>0.0292181268</v>
      </c>
      <c r="O495" s="13">
        <v>0.2654867256</v>
      </c>
      <c r="P495" s="13">
        <v>0</v>
      </c>
      <c r="Q495" s="13">
        <v>0</v>
      </c>
      <c r="R495" s="13">
        <v>0.1073722585</v>
      </c>
      <c r="S495" s="13">
        <v>0</v>
      </c>
      <c r="T495" s="13">
        <v>0.1200461716</v>
      </c>
      <c r="U495" s="13">
        <v>0.0102568804</v>
      </c>
      <c r="V495" s="13">
        <v>0</v>
      </c>
      <c r="W495" s="13">
        <v>0</v>
      </c>
      <c r="X495" s="13">
        <v>0</v>
      </c>
      <c r="Y495" s="13">
        <v>0</v>
      </c>
      <c r="Z495" s="13">
        <v>0</v>
      </c>
    </row>
    <row r="496" s="2" customFormat="1" hidden="1" spans="1:26">
      <c r="A496" s="11" t="s">
        <v>935</v>
      </c>
      <c r="B496" s="11" t="s">
        <v>937</v>
      </c>
      <c r="C496" s="14" t="s">
        <v>199</v>
      </c>
      <c r="D496" s="14" t="s">
        <v>938</v>
      </c>
      <c r="E496" s="14" t="s">
        <v>939</v>
      </c>
      <c r="F496" s="3" t="s">
        <v>936</v>
      </c>
      <c r="G496" s="4">
        <v>152</v>
      </c>
      <c r="H496" s="12">
        <v>25557.664</v>
      </c>
      <c r="I496" s="12">
        <v>4597.042412</v>
      </c>
      <c r="J496" s="13">
        <v>0.1798694282</v>
      </c>
      <c r="K496" s="13">
        <v>0.1798694282</v>
      </c>
      <c r="L496" s="12">
        <v>24.7268421052</v>
      </c>
      <c r="M496" s="13">
        <v>0.1030257447</v>
      </c>
      <c r="N496" s="13">
        <v>0.0276137973</v>
      </c>
      <c r="O496" s="13">
        <v>0.299312488</v>
      </c>
      <c r="P496" s="13">
        <v>0.0335108873</v>
      </c>
      <c r="Q496" s="13">
        <v>0.0144429989</v>
      </c>
      <c r="R496" s="13">
        <v>0.2178562395</v>
      </c>
      <c r="S496" s="13">
        <v>0</v>
      </c>
      <c r="T496" s="13">
        <v>0.1083443306</v>
      </c>
      <c r="U496" s="13">
        <v>0.0106245281</v>
      </c>
      <c r="V496" s="13">
        <v>-0.0022402673</v>
      </c>
      <c r="W496" s="13">
        <v>-0.0008322444</v>
      </c>
      <c r="X496" s="13">
        <v>0.0018119027</v>
      </c>
      <c r="Y496" s="13">
        <v>0</v>
      </c>
      <c r="Z496" s="13">
        <v>0.0066601658</v>
      </c>
    </row>
    <row r="497" s="2" customFormat="1" hidden="1" spans="1:26">
      <c r="A497" s="11" t="s">
        <v>935</v>
      </c>
      <c r="B497" s="11" t="s">
        <v>937</v>
      </c>
      <c r="C497" s="14" t="s">
        <v>199</v>
      </c>
      <c r="D497" s="14" t="s">
        <v>938</v>
      </c>
      <c r="E497" s="14" t="s">
        <v>939</v>
      </c>
      <c r="F497" s="3" t="s">
        <v>940</v>
      </c>
      <c r="G497" s="4">
        <v>2</v>
      </c>
      <c r="H497" s="12">
        <v>326.264</v>
      </c>
      <c r="I497" s="12">
        <v>-75.00566</v>
      </c>
      <c r="J497" s="13">
        <v>-0.229892541</v>
      </c>
      <c r="K497" s="13">
        <v>-0.229892541</v>
      </c>
      <c r="L497" s="12">
        <v>23.99</v>
      </c>
      <c r="M497" s="13">
        <v>0.1061901343</v>
      </c>
      <c r="N497" s="13">
        <v>0.0410585415</v>
      </c>
      <c r="O497" s="13">
        <v>0.2938724468</v>
      </c>
      <c r="P497" s="13">
        <v>0</v>
      </c>
      <c r="Q497" s="13">
        <v>0.0008192537</v>
      </c>
      <c r="R497" s="13">
        <v>0.7103823468</v>
      </c>
      <c r="S497" s="13">
        <v>0</v>
      </c>
      <c r="T497" s="13">
        <v>0.0662776156</v>
      </c>
      <c r="U497" s="13">
        <v>0.0109508557</v>
      </c>
      <c r="V497" s="13">
        <v>0</v>
      </c>
      <c r="W497" s="13">
        <v>0</v>
      </c>
      <c r="X497" s="13">
        <v>0</v>
      </c>
      <c r="Y497" s="13">
        <v>0</v>
      </c>
      <c r="Z497" s="13">
        <v>0.0003413462</v>
      </c>
    </row>
    <row r="498" s="2" customFormat="1" hidden="1" spans="1:26">
      <c r="A498" s="11" t="s">
        <v>935</v>
      </c>
      <c r="B498" s="11" t="s">
        <v>937</v>
      </c>
      <c r="C498" s="14" t="s">
        <v>199</v>
      </c>
      <c r="D498" s="14" t="s">
        <v>938</v>
      </c>
      <c r="E498" s="14" t="s">
        <v>939</v>
      </c>
      <c r="F498" s="3" t="s">
        <v>941</v>
      </c>
      <c r="G498" s="4">
        <v>50</v>
      </c>
      <c r="H498" s="12">
        <v>8156.6</v>
      </c>
      <c r="I498" s="12">
        <v>480.02079</v>
      </c>
      <c r="J498" s="13">
        <v>0.0588505982</v>
      </c>
      <c r="K498" s="13">
        <v>0.0588505982</v>
      </c>
      <c r="L498" s="12">
        <v>23.99</v>
      </c>
      <c r="M498" s="13">
        <v>0.1061901343</v>
      </c>
      <c r="N498" s="13">
        <v>0.0410585415</v>
      </c>
      <c r="O498" s="13">
        <v>0.3041767403</v>
      </c>
      <c r="P498" s="13">
        <v>0</v>
      </c>
      <c r="Q498" s="13">
        <v>0.0126000066</v>
      </c>
      <c r="R498" s="13">
        <v>0.3652205134</v>
      </c>
      <c r="S498" s="13">
        <v>0</v>
      </c>
      <c r="T498" s="13">
        <v>0.0956148395</v>
      </c>
      <c r="U498" s="13">
        <v>0.0109508557</v>
      </c>
      <c r="V498" s="13">
        <v>0</v>
      </c>
      <c r="W498" s="13">
        <v>0</v>
      </c>
      <c r="X498" s="13">
        <v>0</v>
      </c>
      <c r="Y498" s="13">
        <v>0</v>
      </c>
      <c r="Z498" s="13">
        <v>0.00533777</v>
      </c>
    </row>
    <row r="499" s="2" customFormat="1" hidden="1" spans="1:26">
      <c r="A499" s="11" t="s">
        <v>935</v>
      </c>
      <c r="B499" s="11" t="s">
        <v>937</v>
      </c>
      <c r="C499" s="14" t="s">
        <v>199</v>
      </c>
      <c r="D499" s="14" t="s">
        <v>938</v>
      </c>
      <c r="E499" s="14" t="s">
        <v>939</v>
      </c>
      <c r="F499" s="3" t="s">
        <v>942</v>
      </c>
      <c r="G499" s="4">
        <v>75</v>
      </c>
      <c r="H499" s="12">
        <v>12656.5</v>
      </c>
      <c r="I499" s="12">
        <v>3557.6844</v>
      </c>
      <c r="J499" s="13">
        <v>0.2810954371</v>
      </c>
      <c r="K499" s="13">
        <v>0.2810954371</v>
      </c>
      <c r="L499" s="12">
        <v>24.8166666666</v>
      </c>
      <c r="M499" s="13">
        <v>0.1026528404</v>
      </c>
      <c r="N499" s="13">
        <v>0.0210408347</v>
      </c>
      <c r="O499" s="13">
        <v>0.3006044325</v>
      </c>
      <c r="P499" s="13">
        <v>0.0128891873</v>
      </c>
      <c r="Q499" s="13">
        <v>0.0145816348</v>
      </c>
      <c r="R499" s="13">
        <v>0.1312506824</v>
      </c>
      <c r="S499" s="13">
        <v>0</v>
      </c>
      <c r="T499" s="13">
        <v>0.1188126259</v>
      </c>
      <c r="U499" s="13">
        <v>0.0105860723</v>
      </c>
      <c r="V499" s="13">
        <v>0</v>
      </c>
      <c r="W499" s="13">
        <v>0</v>
      </c>
      <c r="X499" s="13">
        <v>0</v>
      </c>
      <c r="Y499" s="13">
        <v>0</v>
      </c>
      <c r="Z499" s="13">
        <v>0.0064862522</v>
      </c>
    </row>
    <row r="500" s="2" customFormat="1" hidden="1" spans="1:26">
      <c r="A500" s="11" t="s">
        <v>935</v>
      </c>
      <c r="B500" s="11" t="s">
        <v>937</v>
      </c>
      <c r="C500" s="14" t="s">
        <v>199</v>
      </c>
      <c r="D500" s="14" t="s">
        <v>938</v>
      </c>
      <c r="E500" s="14" t="s">
        <v>939</v>
      </c>
      <c r="F500" s="3" t="s">
        <v>943</v>
      </c>
      <c r="G500" s="4">
        <v>19</v>
      </c>
      <c r="H500" s="12">
        <v>3357.908</v>
      </c>
      <c r="I500" s="12">
        <v>514.938378</v>
      </c>
      <c r="J500" s="13">
        <v>0.1533509488</v>
      </c>
      <c r="K500" s="13">
        <v>0.1533509488</v>
      </c>
      <c r="L500" s="12">
        <v>25.99</v>
      </c>
      <c r="M500" s="13">
        <v>0.0980185195</v>
      </c>
      <c r="N500" s="13">
        <v>0.0200909342</v>
      </c>
      <c r="O500" s="13">
        <v>0.2870334744</v>
      </c>
      <c r="P500" s="13">
        <v>0.153844596</v>
      </c>
      <c r="Q500" s="13">
        <v>0.0217639265</v>
      </c>
      <c r="R500" s="13">
        <v>0.1267216365</v>
      </c>
      <c r="S500" s="13">
        <v>0</v>
      </c>
      <c r="T500" s="13">
        <v>0.1052631578</v>
      </c>
      <c r="U500" s="13">
        <v>0.0101081581</v>
      </c>
      <c r="V500" s="13">
        <v>0</v>
      </c>
      <c r="W500" s="13">
        <v>0</v>
      </c>
      <c r="X500" s="13">
        <v>0.010929303</v>
      </c>
      <c r="Y500" s="13">
        <v>0</v>
      </c>
      <c r="Z500" s="13">
        <v>0.0128753447</v>
      </c>
    </row>
    <row r="501" s="2" customFormat="1" spans="1:26">
      <c r="A501" s="11" t="s">
        <v>935</v>
      </c>
      <c r="B501" s="11" t="s">
        <v>937</v>
      </c>
      <c r="C501" s="14" t="s">
        <v>199</v>
      </c>
      <c r="D501" s="14" t="s">
        <v>938</v>
      </c>
      <c r="E501" s="14" t="s">
        <v>939</v>
      </c>
      <c r="F501" s="3" t="s">
        <v>944</v>
      </c>
      <c r="G501" s="4">
        <v>5</v>
      </c>
      <c r="H501" s="12">
        <v>883.66</v>
      </c>
      <c r="I501" s="12">
        <v>58.082732</v>
      </c>
      <c r="J501" s="13">
        <v>0.0657297286</v>
      </c>
      <c r="K501" s="13">
        <v>0.0657297286</v>
      </c>
      <c r="L501" s="12">
        <v>25.99</v>
      </c>
      <c r="M501" s="13">
        <v>0.0980185195</v>
      </c>
      <c r="N501" s="13">
        <v>0.0223344725</v>
      </c>
      <c r="O501" s="13">
        <v>0.2870334744</v>
      </c>
      <c r="P501" s="13">
        <v>0.2</v>
      </c>
      <c r="Q501" s="13">
        <v>0.0095682547</v>
      </c>
      <c r="R501" s="13">
        <v>0.2829858984</v>
      </c>
      <c r="S501" s="13">
        <v>0</v>
      </c>
      <c r="T501" s="13">
        <v>0.100808003</v>
      </c>
      <c r="U501" s="13">
        <v>0.0101081581</v>
      </c>
      <c r="V501" s="13">
        <v>-0.0647941515</v>
      </c>
      <c r="W501" s="13">
        <v>-0.0240705984</v>
      </c>
      <c r="X501" s="13">
        <v>0.0108734207</v>
      </c>
      <c r="Y501" s="13">
        <v>0</v>
      </c>
      <c r="Z501" s="13">
        <v>0.0014048197</v>
      </c>
    </row>
    <row r="502" s="2" customFormat="1" hidden="1" spans="1:26">
      <c r="A502" s="11" t="s">
        <v>935</v>
      </c>
      <c r="B502" s="11" t="s">
        <v>937</v>
      </c>
      <c r="C502" s="14" t="s">
        <v>199</v>
      </c>
      <c r="D502" s="14" t="s">
        <v>938</v>
      </c>
      <c r="E502" s="14" t="s">
        <v>939</v>
      </c>
      <c r="F502" s="3" t="s">
        <v>945</v>
      </c>
      <c r="G502" s="4">
        <v>1</v>
      </c>
      <c r="H502" s="12">
        <v>176.732</v>
      </c>
      <c r="I502" s="12">
        <v>61.321772</v>
      </c>
      <c r="J502" s="13">
        <v>0.3469760541</v>
      </c>
      <c r="K502" s="13">
        <v>0.3469760541</v>
      </c>
      <c r="L502" s="12">
        <v>25.99</v>
      </c>
      <c r="M502" s="13">
        <v>0.0980185195</v>
      </c>
      <c r="N502" s="13">
        <v>0.0223344725</v>
      </c>
      <c r="O502" s="13">
        <v>0.2870334744</v>
      </c>
      <c r="P502" s="13">
        <v>0</v>
      </c>
      <c r="Q502" s="13">
        <v>0</v>
      </c>
      <c r="R502" s="13">
        <v>0.1154831496</v>
      </c>
      <c r="S502" s="13">
        <v>0</v>
      </c>
      <c r="T502" s="13">
        <v>0.1200461716</v>
      </c>
      <c r="U502" s="13">
        <v>0.0101081581</v>
      </c>
      <c r="V502" s="13">
        <v>0</v>
      </c>
      <c r="W502" s="13">
        <v>0</v>
      </c>
      <c r="X502" s="13">
        <v>0</v>
      </c>
      <c r="Y502" s="13">
        <v>0</v>
      </c>
      <c r="Z502" s="13">
        <v>0</v>
      </c>
    </row>
    <row r="503" s="2" customFormat="1" hidden="1" spans="1:26">
      <c r="A503" s="11" t="s">
        <v>935</v>
      </c>
      <c r="B503" s="11" t="s">
        <v>937</v>
      </c>
      <c r="C503" s="14" t="s">
        <v>203</v>
      </c>
      <c r="D503" s="14" t="s">
        <v>938</v>
      </c>
      <c r="E503" s="14" t="s">
        <v>939</v>
      </c>
      <c r="F503" s="3" t="s">
        <v>936</v>
      </c>
      <c r="G503" s="4">
        <v>196</v>
      </c>
      <c r="H503" s="12">
        <v>30337.792</v>
      </c>
      <c r="I503" s="12">
        <v>6894.308201</v>
      </c>
      <c r="J503" s="13">
        <v>0.2272514822</v>
      </c>
      <c r="K503" s="13">
        <v>0.2272514822</v>
      </c>
      <c r="L503" s="12">
        <v>22.7624489795</v>
      </c>
      <c r="M503" s="13">
        <v>0.1000819505</v>
      </c>
      <c r="N503" s="13">
        <v>0.0169818178</v>
      </c>
      <c r="O503" s="13">
        <v>0.2663400157</v>
      </c>
      <c r="P503" s="13">
        <v>0.0233018935</v>
      </c>
      <c r="Q503" s="13">
        <v>0.0099271076</v>
      </c>
      <c r="R503" s="13">
        <v>0.2294000106</v>
      </c>
      <c r="S503" s="13">
        <v>0</v>
      </c>
      <c r="T503" s="13">
        <v>0.1082946313</v>
      </c>
      <c r="U503" s="13">
        <v>0.0103209521</v>
      </c>
      <c r="V503" s="13">
        <v>0</v>
      </c>
      <c r="W503" s="13">
        <v>0</v>
      </c>
      <c r="X503" s="13">
        <v>0.0003429386</v>
      </c>
      <c r="Y503" s="13">
        <v>0</v>
      </c>
      <c r="Z503" s="13">
        <v>0.0077571994</v>
      </c>
    </row>
    <row r="504" s="2" customFormat="1" hidden="1" spans="1:26">
      <c r="A504" s="11" t="s">
        <v>935</v>
      </c>
      <c r="B504" s="11" t="s">
        <v>937</v>
      </c>
      <c r="C504" s="14" t="s">
        <v>203</v>
      </c>
      <c r="D504" s="14" t="s">
        <v>938</v>
      </c>
      <c r="E504" s="14" t="s">
        <v>939</v>
      </c>
      <c r="F504" s="3" t="s">
        <v>940</v>
      </c>
      <c r="G504" s="4">
        <v>12</v>
      </c>
      <c r="H504" s="12">
        <v>1761.744</v>
      </c>
      <c r="I504" s="12">
        <v>-385.252534</v>
      </c>
      <c r="J504" s="13">
        <v>-0.2186767964</v>
      </c>
      <c r="K504" s="13">
        <v>-0.2186767964</v>
      </c>
      <c r="L504" s="12">
        <v>21.59</v>
      </c>
      <c r="M504" s="13">
        <v>0.1055169195</v>
      </c>
      <c r="N504" s="13">
        <v>0.0231252281</v>
      </c>
      <c r="O504" s="13">
        <v>0.25798981</v>
      </c>
      <c r="P504" s="13">
        <v>0</v>
      </c>
      <c r="Q504" s="13">
        <v>0.0008192138</v>
      </c>
      <c r="R504" s="13">
        <v>0.7815976764</v>
      </c>
      <c r="S504" s="13">
        <v>0</v>
      </c>
      <c r="T504" s="13">
        <v>0.0384051258</v>
      </c>
      <c r="U504" s="13">
        <v>0.0108814333</v>
      </c>
      <c r="V504" s="13">
        <v>0</v>
      </c>
      <c r="W504" s="13">
        <v>0</v>
      </c>
      <c r="X504" s="13">
        <v>0</v>
      </c>
      <c r="Y504" s="13">
        <v>0</v>
      </c>
      <c r="Z504" s="13">
        <v>0.0003413889</v>
      </c>
    </row>
    <row r="505" s="2" customFormat="1" hidden="1" spans="1:26">
      <c r="A505" s="11" t="s">
        <v>935</v>
      </c>
      <c r="B505" s="11" t="s">
        <v>937</v>
      </c>
      <c r="C505" s="14" t="s">
        <v>203</v>
      </c>
      <c r="D505" s="14" t="s">
        <v>938</v>
      </c>
      <c r="E505" s="14" t="s">
        <v>939</v>
      </c>
      <c r="F505" s="3" t="s">
        <v>941</v>
      </c>
      <c r="G505" s="4">
        <v>40</v>
      </c>
      <c r="H505" s="12">
        <v>5872.48</v>
      </c>
      <c r="I505" s="12">
        <v>1236.421067</v>
      </c>
      <c r="J505" s="13">
        <v>0.21054496</v>
      </c>
      <c r="K505" s="13">
        <v>0.21054496</v>
      </c>
      <c r="L505" s="12">
        <v>21.59</v>
      </c>
      <c r="M505" s="13">
        <v>0.1055169195</v>
      </c>
      <c r="N505" s="13">
        <v>0.0231252281</v>
      </c>
      <c r="O505" s="13">
        <v>0.2789022695</v>
      </c>
      <c r="P505" s="13">
        <v>0</v>
      </c>
      <c r="Q505" s="13">
        <v>0.0105381959</v>
      </c>
      <c r="R505" s="13">
        <v>0.2441643307</v>
      </c>
      <c r="S505" s="13">
        <v>0</v>
      </c>
      <c r="T505" s="13">
        <v>0.1109888837</v>
      </c>
      <c r="U505" s="13">
        <v>0.0108814333</v>
      </c>
      <c r="V505" s="13">
        <v>0</v>
      </c>
      <c r="W505" s="13">
        <v>0</v>
      </c>
      <c r="X505" s="13">
        <v>0</v>
      </c>
      <c r="Y505" s="13">
        <v>0</v>
      </c>
      <c r="Z505" s="13">
        <v>0.0053377787</v>
      </c>
    </row>
    <row r="506" s="2" customFormat="1" hidden="1" spans="1:26">
      <c r="A506" s="11" t="s">
        <v>935</v>
      </c>
      <c r="B506" s="11" t="s">
        <v>937</v>
      </c>
      <c r="C506" s="14" t="s">
        <v>203</v>
      </c>
      <c r="D506" s="14" t="s">
        <v>938</v>
      </c>
      <c r="E506" s="14" t="s">
        <v>939</v>
      </c>
      <c r="F506" s="3" t="s">
        <v>942</v>
      </c>
      <c r="G506" s="4">
        <v>84</v>
      </c>
      <c r="H506" s="12">
        <v>12332.208</v>
      </c>
      <c r="I506" s="12">
        <v>3241.459662</v>
      </c>
      <c r="J506" s="13">
        <v>0.2628450365</v>
      </c>
      <c r="K506" s="13">
        <v>0.2628450365</v>
      </c>
      <c r="L506" s="12">
        <v>21.59</v>
      </c>
      <c r="M506" s="13">
        <v>0.1055169195</v>
      </c>
      <c r="N506" s="13">
        <v>0.0156883837</v>
      </c>
      <c r="O506" s="13">
        <v>0.2839277443</v>
      </c>
      <c r="P506" s="13">
        <v>0</v>
      </c>
      <c r="Q506" s="13">
        <v>0.010827677</v>
      </c>
      <c r="R506" s="13">
        <v>0.19098221</v>
      </c>
      <c r="S506" s="13">
        <v>0</v>
      </c>
      <c r="T506" s="13">
        <v>0.1128443503</v>
      </c>
      <c r="U506" s="13">
        <v>0.0108814333</v>
      </c>
      <c r="V506" s="13">
        <v>0</v>
      </c>
      <c r="W506" s="13">
        <v>0</v>
      </c>
      <c r="X506" s="13">
        <v>0</v>
      </c>
      <c r="Y506" s="13">
        <v>0</v>
      </c>
      <c r="Z506" s="13">
        <v>0.0064862449</v>
      </c>
    </row>
    <row r="507" s="2" customFormat="1" hidden="1" spans="1:26">
      <c r="A507" s="11" t="s">
        <v>935</v>
      </c>
      <c r="B507" s="11" t="s">
        <v>937</v>
      </c>
      <c r="C507" s="14" t="s">
        <v>203</v>
      </c>
      <c r="D507" s="14" t="s">
        <v>938</v>
      </c>
      <c r="E507" s="14" t="s">
        <v>939</v>
      </c>
      <c r="F507" s="3" t="s">
        <v>943</v>
      </c>
      <c r="G507" s="4">
        <v>55</v>
      </c>
      <c r="H507" s="12">
        <v>9487.7</v>
      </c>
      <c r="I507" s="12">
        <v>3225.819763</v>
      </c>
      <c r="J507" s="13">
        <v>0.3400001858</v>
      </c>
      <c r="K507" s="13">
        <v>0.3400001858</v>
      </c>
      <c r="L507" s="12">
        <v>25.3681818181</v>
      </c>
      <c r="M507" s="13">
        <v>0.089801875</v>
      </c>
      <c r="N507" s="13">
        <v>0.0133518518</v>
      </c>
      <c r="O507" s="13">
        <v>0.2402651854</v>
      </c>
      <c r="P507" s="13">
        <v>0.0186274861</v>
      </c>
      <c r="Q507" s="13">
        <v>0.0086174016</v>
      </c>
      <c r="R507" s="13">
        <v>0.1492281232</v>
      </c>
      <c r="S507" s="13">
        <v>0</v>
      </c>
      <c r="T507" s="13">
        <v>0.1179716896</v>
      </c>
      <c r="U507" s="13">
        <v>0.0092608192</v>
      </c>
      <c r="V507" s="13">
        <v>0</v>
      </c>
      <c r="W507" s="13">
        <v>0</v>
      </c>
      <c r="X507" s="13">
        <v>0</v>
      </c>
      <c r="Y507" s="13">
        <v>0</v>
      </c>
      <c r="Z507" s="13">
        <v>0.0128753817</v>
      </c>
    </row>
    <row r="508" s="2" customFormat="1" spans="1:26">
      <c r="A508" s="11" t="s">
        <v>935</v>
      </c>
      <c r="B508" s="11" t="s">
        <v>937</v>
      </c>
      <c r="C508" s="14" t="s">
        <v>203</v>
      </c>
      <c r="D508" s="14" t="s">
        <v>938</v>
      </c>
      <c r="E508" s="14" t="s">
        <v>939</v>
      </c>
      <c r="F508" s="3" t="s">
        <v>944</v>
      </c>
      <c r="G508" s="4">
        <v>5</v>
      </c>
      <c r="H508" s="12">
        <v>883.66</v>
      </c>
      <c r="I508" s="12">
        <v>-235.812313</v>
      </c>
      <c r="J508" s="13">
        <v>-0.2668586481</v>
      </c>
      <c r="K508" s="13">
        <v>-0.2668586481</v>
      </c>
      <c r="L508" s="12">
        <v>25.99</v>
      </c>
      <c r="M508" s="13">
        <v>0.0876533395</v>
      </c>
      <c r="N508" s="13">
        <v>0.0209321571</v>
      </c>
      <c r="O508" s="13">
        <v>0.2340130819</v>
      </c>
      <c r="P508" s="13">
        <v>0.4</v>
      </c>
      <c r="Q508" s="13">
        <v>0.0255182434</v>
      </c>
      <c r="R508" s="13">
        <v>0.395952424</v>
      </c>
      <c r="S508" s="13">
        <v>0</v>
      </c>
      <c r="T508" s="13">
        <v>0.0815698345</v>
      </c>
      <c r="U508" s="13">
        <v>0.0090392515</v>
      </c>
      <c r="V508" s="13">
        <v>0</v>
      </c>
      <c r="W508" s="13">
        <v>0</v>
      </c>
      <c r="X508" s="13">
        <v>0.0107754962</v>
      </c>
      <c r="Y508" s="13">
        <v>0</v>
      </c>
      <c r="Z508" s="13">
        <v>0.0014048197</v>
      </c>
    </row>
    <row r="509" s="2" customFormat="1" hidden="1" spans="1:26">
      <c r="A509" s="11" t="s">
        <v>935</v>
      </c>
      <c r="B509" s="11" t="s">
        <v>937</v>
      </c>
      <c r="C509" s="14" t="s">
        <v>203</v>
      </c>
      <c r="D509" s="14" t="s">
        <v>938</v>
      </c>
      <c r="E509" s="14" t="s">
        <v>939</v>
      </c>
      <c r="F509" s="3" t="s">
        <v>945</v>
      </c>
      <c r="G509" s="4">
        <v>0</v>
      </c>
      <c r="H509" s="12">
        <v>0</v>
      </c>
      <c r="I509" s="12">
        <v>-188.327444</v>
      </c>
      <c r="J509" s="13"/>
      <c r="K509" s="13"/>
      <c r="L509" s="12"/>
      <c r="M509" s="13"/>
      <c r="N509" s="13"/>
      <c r="O509" s="13"/>
      <c r="P509" s="13"/>
      <c r="Q509" s="13"/>
      <c r="R509" s="13"/>
      <c r="S509" s="13"/>
      <c r="T509" s="13"/>
      <c r="U509" s="13"/>
      <c r="V509" s="13"/>
      <c r="W509" s="13"/>
      <c r="X509" s="13"/>
      <c r="Y509" s="13"/>
      <c r="Z509" s="13"/>
    </row>
    <row r="510" s="2" customFormat="1" hidden="1" spans="1:26">
      <c r="A510" s="11" t="s">
        <v>935</v>
      </c>
      <c r="B510" s="11" t="s">
        <v>937</v>
      </c>
      <c r="C510" s="14" t="s">
        <v>207</v>
      </c>
      <c r="D510" s="14" t="s">
        <v>938</v>
      </c>
      <c r="E510" s="14" t="s">
        <v>939</v>
      </c>
      <c r="F510" s="3" t="s">
        <v>936</v>
      </c>
      <c r="G510" s="4">
        <v>60</v>
      </c>
      <c r="H510" s="12">
        <v>12603.12</v>
      </c>
      <c r="I510" s="12">
        <v>-257.506379</v>
      </c>
      <c r="J510" s="13">
        <v>-0.0204319548</v>
      </c>
      <c r="K510" s="13">
        <v>-0.0204319548</v>
      </c>
      <c r="L510" s="12">
        <v>30.89</v>
      </c>
      <c r="M510" s="13">
        <v>0.1524654085</v>
      </c>
      <c r="N510" s="13">
        <v>0.08403217</v>
      </c>
      <c r="O510" s="13">
        <v>0.3812452789</v>
      </c>
      <c r="P510" s="13">
        <v>0.0453059242</v>
      </c>
      <c r="Q510" s="13">
        <v>0.0437780663</v>
      </c>
      <c r="R510" s="13">
        <v>0.1909095932</v>
      </c>
      <c r="S510" s="13">
        <v>0</v>
      </c>
      <c r="T510" s="13">
        <v>0.1125606992</v>
      </c>
      <c r="U510" s="13">
        <v>0.0157229971</v>
      </c>
      <c r="V510" s="13">
        <v>-0.0062048127</v>
      </c>
      <c r="W510" s="13">
        <v>-0.0078139913</v>
      </c>
      <c r="X510" s="13">
        <v>0</v>
      </c>
      <c r="Y510" s="13">
        <v>0</v>
      </c>
      <c r="Z510" s="13">
        <v>0.0084306211</v>
      </c>
    </row>
    <row r="511" s="2" customFormat="1" hidden="1" spans="1:26">
      <c r="A511" s="11" t="s">
        <v>935</v>
      </c>
      <c r="B511" s="11" t="s">
        <v>937</v>
      </c>
      <c r="C511" s="14" t="s">
        <v>207</v>
      </c>
      <c r="D511" s="14" t="s">
        <v>938</v>
      </c>
      <c r="E511" s="14" t="s">
        <v>939</v>
      </c>
      <c r="F511" s="3" t="s">
        <v>941</v>
      </c>
      <c r="G511" s="4">
        <v>16</v>
      </c>
      <c r="H511" s="12">
        <v>2610.112</v>
      </c>
      <c r="I511" s="12">
        <v>-596.121232</v>
      </c>
      <c r="J511" s="13">
        <v>-0.2283891388</v>
      </c>
      <c r="K511" s="13">
        <v>-0.2283891388</v>
      </c>
      <c r="L511" s="12">
        <v>23.99</v>
      </c>
      <c r="M511" s="13">
        <v>0.1963174852</v>
      </c>
      <c r="N511" s="13">
        <v>0.0934432606</v>
      </c>
      <c r="O511" s="13">
        <v>0.4366402667</v>
      </c>
      <c r="P511" s="13">
        <v>0.0625</v>
      </c>
      <c r="Q511" s="13">
        <v>0.0017910894</v>
      </c>
      <c r="R511" s="13">
        <v>0.3131665296</v>
      </c>
      <c r="S511" s="13">
        <v>0</v>
      </c>
      <c r="T511" s="13">
        <v>0.0989474781</v>
      </c>
      <c r="U511" s="13">
        <v>0.0202452431</v>
      </c>
      <c r="V511" s="13">
        <v>0</v>
      </c>
      <c r="W511" s="13">
        <v>0</v>
      </c>
      <c r="X511" s="13">
        <v>0</v>
      </c>
      <c r="Y511" s="13">
        <v>0</v>
      </c>
      <c r="Z511" s="13">
        <v>0.0053377858</v>
      </c>
    </row>
    <row r="512" s="2" customFormat="1" hidden="1" spans="1:26">
      <c r="A512" s="11" t="s">
        <v>935</v>
      </c>
      <c r="B512" s="11" t="s">
        <v>937</v>
      </c>
      <c r="C512" s="14" t="s">
        <v>207</v>
      </c>
      <c r="D512" s="14" t="s">
        <v>938</v>
      </c>
      <c r="E512" s="14" t="s">
        <v>939</v>
      </c>
      <c r="F512" s="3" t="s">
        <v>942</v>
      </c>
      <c r="G512" s="4">
        <v>11</v>
      </c>
      <c r="H512" s="12">
        <v>1978.052</v>
      </c>
      <c r="I512" s="12">
        <v>-711.00109</v>
      </c>
      <c r="J512" s="13">
        <v>-0.3594450954</v>
      </c>
      <c r="K512" s="13">
        <v>-0.3594450954</v>
      </c>
      <c r="L512" s="12">
        <v>26.4445454545</v>
      </c>
      <c r="M512" s="13">
        <v>0.1780955728</v>
      </c>
      <c r="N512" s="13">
        <v>0.0847699888</v>
      </c>
      <c r="O512" s="13">
        <v>0.4632335247</v>
      </c>
      <c r="P512" s="13">
        <v>0.0927842139</v>
      </c>
      <c r="Q512" s="13">
        <v>0.0612742981</v>
      </c>
      <c r="R512" s="13">
        <v>0.3671903382</v>
      </c>
      <c r="S512" s="13">
        <v>0</v>
      </c>
      <c r="T512" s="13">
        <v>0.1111416686</v>
      </c>
      <c r="U512" s="13">
        <v>0.0183661081</v>
      </c>
      <c r="V512" s="13">
        <v>0</v>
      </c>
      <c r="W512" s="13">
        <v>-0.0238968692</v>
      </c>
      <c r="X512" s="13">
        <v>0</v>
      </c>
      <c r="Y512" s="13">
        <v>0</v>
      </c>
      <c r="Z512" s="13">
        <v>0.0064862511</v>
      </c>
    </row>
    <row r="513" s="2" customFormat="1" hidden="1" spans="1:26">
      <c r="A513" s="11" t="s">
        <v>935</v>
      </c>
      <c r="B513" s="11" t="s">
        <v>937</v>
      </c>
      <c r="C513" s="14" t="s">
        <v>207</v>
      </c>
      <c r="D513" s="14" t="s">
        <v>938</v>
      </c>
      <c r="E513" s="14" t="s">
        <v>939</v>
      </c>
      <c r="F513" s="3" t="s">
        <v>943</v>
      </c>
      <c r="G513" s="4">
        <v>25</v>
      </c>
      <c r="H513" s="12">
        <v>5948.3</v>
      </c>
      <c r="I513" s="12">
        <v>655.245047</v>
      </c>
      <c r="J513" s="13">
        <v>0.1101566913</v>
      </c>
      <c r="K513" s="13">
        <v>0.1101566913</v>
      </c>
      <c r="L513" s="12">
        <v>34.99</v>
      </c>
      <c r="M513" s="13">
        <v>0.1346000706</v>
      </c>
      <c r="N513" s="13">
        <v>0.080635463</v>
      </c>
      <c r="O513" s="13">
        <v>0.3501000285</v>
      </c>
      <c r="P513" s="13">
        <v>0.0377136324</v>
      </c>
      <c r="Q513" s="13">
        <v>0.035733722</v>
      </c>
      <c r="R513" s="13">
        <v>0.1165034154</v>
      </c>
      <c r="S513" s="13">
        <v>0</v>
      </c>
      <c r="T513" s="13">
        <v>0.1164104029</v>
      </c>
      <c r="U513" s="13">
        <v>0.0138806339</v>
      </c>
      <c r="V513" s="13">
        <v>0</v>
      </c>
      <c r="W513" s="13">
        <v>-0.0086094213</v>
      </c>
      <c r="X513" s="13">
        <v>0</v>
      </c>
      <c r="Y513" s="13">
        <v>0</v>
      </c>
      <c r="Z513" s="13">
        <v>0.0128753608</v>
      </c>
    </row>
    <row r="514" s="2" customFormat="1" spans="1:26">
      <c r="A514" s="11" t="s">
        <v>935</v>
      </c>
      <c r="B514" s="11" t="s">
        <v>937</v>
      </c>
      <c r="C514" s="14" t="s">
        <v>207</v>
      </c>
      <c r="D514" s="14" t="s">
        <v>938</v>
      </c>
      <c r="E514" s="14" t="s">
        <v>939</v>
      </c>
      <c r="F514" s="3" t="s">
        <v>944</v>
      </c>
      <c r="G514" s="4">
        <v>8</v>
      </c>
      <c r="H514" s="12">
        <v>2066.656</v>
      </c>
      <c r="I514" s="12">
        <v>394.370896</v>
      </c>
      <c r="J514" s="13">
        <v>0.190825612</v>
      </c>
      <c r="K514" s="13">
        <v>0.190825612</v>
      </c>
      <c r="L514" s="12">
        <v>37.99</v>
      </c>
      <c r="M514" s="13">
        <v>0.1239709521</v>
      </c>
      <c r="N514" s="13">
        <v>0.0812166011</v>
      </c>
      <c r="O514" s="13">
        <v>0.3224532771</v>
      </c>
      <c r="P514" s="13">
        <v>0</v>
      </c>
      <c r="Q514" s="13">
        <v>0.1032134191</v>
      </c>
      <c r="R514" s="13">
        <v>0.0819381396</v>
      </c>
      <c r="S514" s="13">
        <v>0</v>
      </c>
      <c r="T514" s="13">
        <v>0.1200315872</v>
      </c>
      <c r="U514" s="13">
        <v>0.0127845059</v>
      </c>
      <c r="V514" s="13">
        <v>-0.0378389049</v>
      </c>
      <c r="W514" s="13">
        <v>0</v>
      </c>
      <c r="X514" s="13">
        <v>0</v>
      </c>
      <c r="Y514" s="13">
        <v>0</v>
      </c>
      <c r="Z514" s="13">
        <v>0.0014048104</v>
      </c>
    </row>
    <row r="515" s="2" customFormat="1" hidden="1" spans="1:26">
      <c r="A515" s="11" t="s">
        <v>935</v>
      </c>
      <c r="B515" s="11" t="s">
        <v>937</v>
      </c>
      <c r="C515" s="14" t="s">
        <v>211</v>
      </c>
      <c r="D515" s="14" t="s">
        <v>938</v>
      </c>
      <c r="E515" s="14" t="s">
        <v>939</v>
      </c>
      <c r="F515" s="3" t="s">
        <v>936</v>
      </c>
      <c r="G515" s="4">
        <v>297</v>
      </c>
      <c r="H515" s="12">
        <v>48960.34</v>
      </c>
      <c r="I515" s="12">
        <v>11996.493454</v>
      </c>
      <c r="J515" s="13">
        <v>0.245024717</v>
      </c>
      <c r="K515" s="13">
        <v>0.245024717</v>
      </c>
      <c r="L515" s="12">
        <v>24.2425925925</v>
      </c>
      <c r="M515" s="13">
        <v>0.0963871197</v>
      </c>
      <c r="N515" s="13">
        <v>0.0318829968</v>
      </c>
      <c r="O515" s="13">
        <v>0.306514538</v>
      </c>
      <c r="P515" s="13">
        <v>0.0361789154</v>
      </c>
      <c r="Q515" s="13">
        <v>0.0133791817</v>
      </c>
      <c r="R515" s="13">
        <v>0.1416511737</v>
      </c>
      <c r="S515" s="13">
        <v>0</v>
      </c>
      <c r="T515" s="13">
        <v>0.1154075318</v>
      </c>
      <c r="U515" s="13">
        <v>0.0099399252</v>
      </c>
      <c r="V515" s="13">
        <v>-0.0031749779</v>
      </c>
      <c r="W515" s="13">
        <v>-0.0017088212</v>
      </c>
      <c r="X515" s="13">
        <v>0.0006305511</v>
      </c>
      <c r="Y515" s="13">
        <v>0</v>
      </c>
      <c r="Z515" s="13">
        <v>0.007887148</v>
      </c>
    </row>
    <row r="516" s="2" customFormat="1" hidden="1" spans="1:26">
      <c r="A516" s="11" t="s">
        <v>935</v>
      </c>
      <c r="B516" s="11" t="s">
        <v>937</v>
      </c>
      <c r="C516" s="14" t="s">
        <v>211</v>
      </c>
      <c r="D516" s="14" t="s">
        <v>938</v>
      </c>
      <c r="E516" s="14" t="s">
        <v>939</v>
      </c>
      <c r="F516" s="3" t="s">
        <v>941</v>
      </c>
      <c r="G516" s="4">
        <v>7</v>
      </c>
      <c r="H516" s="12">
        <v>1196.324</v>
      </c>
      <c r="I516" s="12">
        <v>458.063265</v>
      </c>
      <c r="J516" s="13">
        <v>0.3828923142</v>
      </c>
      <c r="K516" s="13">
        <v>0.3828923142</v>
      </c>
      <c r="L516" s="12">
        <v>25.1328571428</v>
      </c>
      <c r="M516" s="13">
        <v>0.0929728627</v>
      </c>
      <c r="N516" s="13">
        <v>0.0327040249</v>
      </c>
      <c r="O516" s="13">
        <v>0.2578298186</v>
      </c>
      <c r="P516" s="13">
        <v>0</v>
      </c>
      <c r="Q516" s="13">
        <v>0.0017910866</v>
      </c>
      <c r="R516" s="13">
        <v>0.1001333057</v>
      </c>
      <c r="S516" s="13">
        <v>0</v>
      </c>
      <c r="T516" s="13">
        <v>0.1167509805</v>
      </c>
      <c r="U516" s="13">
        <v>0.0095878298</v>
      </c>
      <c r="V516" s="13">
        <v>0</v>
      </c>
      <c r="W516" s="13">
        <v>0</v>
      </c>
      <c r="X516" s="13">
        <v>0</v>
      </c>
      <c r="Y516" s="13">
        <v>0</v>
      </c>
      <c r="Z516" s="13">
        <v>0.0053377763</v>
      </c>
    </row>
    <row r="517" s="2" customFormat="1" hidden="1" spans="1:26">
      <c r="A517" s="11" t="s">
        <v>935</v>
      </c>
      <c r="B517" s="11" t="s">
        <v>937</v>
      </c>
      <c r="C517" s="14" t="s">
        <v>211</v>
      </c>
      <c r="D517" s="14" t="s">
        <v>938</v>
      </c>
      <c r="E517" s="14" t="s">
        <v>939</v>
      </c>
      <c r="F517" s="3" t="s">
        <v>942</v>
      </c>
      <c r="G517" s="4">
        <v>114</v>
      </c>
      <c r="H517" s="12">
        <v>18447.516</v>
      </c>
      <c r="I517" s="12">
        <v>4418.397934</v>
      </c>
      <c r="J517" s="13">
        <v>0.2395118092</v>
      </c>
      <c r="K517" s="13">
        <v>0.2395118092</v>
      </c>
      <c r="L517" s="12">
        <v>23.7971052631</v>
      </c>
      <c r="M517" s="13">
        <v>0.098191509</v>
      </c>
      <c r="N517" s="13">
        <v>0.0345397299</v>
      </c>
      <c r="O517" s="13">
        <v>0.3097494535</v>
      </c>
      <c r="P517" s="13">
        <v>0.0171700081</v>
      </c>
      <c r="Q517" s="13">
        <v>0.0044342319</v>
      </c>
      <c r="R517" s="13">
        <v>0.1642675926</v>
      </c>
      <c r="S517" s="13">
        <v>0</v>
      </c>
      <c r="T517" s="13">
        <v>0.1155234124</v>
      </c>
      <c r="U517" s="13">
        <v>0.0101260029</v>
      </c>
      <c r="V517" s="13">
        <v>0</v>
      </c>
      <c r="W517" s="13">
        <v>0</v>
      </c>
      <c r="X517" s="13">
        <v>0</v>
      </c>
      <c r="Y517" s="13">
        <v>0</v>
      </c>
      <c r="Z517" s="13">
        <v>0.00648625</v>
      </c>
    </row>
    <row r="518" s="2" customFormat="1" hidden="1" spans="1:26">
      <c r="A518" s="11" t="s">
        <v>935</v>
      </c>
      <c r="B518" s="11" t="s">
        <v>937</v>
      </c>
      <c r="C518" s="14" t="s">
        <v>211</v>
      </c>
      <c r="D518" s="14" t="s">
        <v>938</v>
      </c>
      <c r="E518" s="14" t="s">
        <v>939</v>
      </c>
      <c r="F518" s="3" t="s">
        <v>943</v>
      </c>
      <c r="G518" s="4">
        <v>117</v>
      </c>
      <c r="H518" s="12">
        <v>19086.444</v>
      </c>
      <c r="I518" s="12">
        <v>4445.648303</v>
      </c>
      <c r="J518" s="13">
        <v>0.2329217691</v>
      </c>
      <c r="K518" s="13">
        <v>0.2329217691</v>
      </c>
      <c r="L518" s="12">
        <v>23.99</v>
      </c>
      <c r="M518" s="13">
        <v>0.0974019873</v>
      </c>
      <c r="N518" s="13">
        <v>0.0308139175</v>
      </c>
      <c r="O518" s="13">
        <v>0.3147144643</v>
      </c>
      <c r="P518" s="13">
        <v>0.0341880341</v>
      </c>
      <c r="Q518" s="13">
        <v>0.0198856322</v>
      </c>
      <c r="R518" s="13">
        <v>0.1301191425</v>
      </c>
      <c r="S518" s="13">
        <v>0</v>
      </c>
      <c r="T518" s="13">
        <v>0.1167651763</v>
      </c>
      <c r="U518" s="13">
        <v>0.0100445835</v>
      </c>
      <c r="V518" s="13">
        <v>0</v>
      </c>
      <c r="W518" s="13">
        <v>-0.0010958624</v>
      </c>
      <c r="X518" s="13">
        <v>0.0013657754</v>
      </c>
      <c r="Y518" s="13">
        <v>0</v>
      </c>
      <c r="Z518" s="13">
        <v>0.0128753797</v>
      </c>
    </row>
    <row r="519" s="2" customFormat="1" spans="1:26">
      <c r="A519" s="11" t="s">
        <v>935</v>
      </c>
      <c r="B519" s="11" t="s">
        <v>937</v>
      </c>
      <c r="C519" s="14" t="s">
        <v>211</v>
      </c>
      <c r="D519" s="14" t="s">
        <v>938</v>
      </c>
      <c r="E519" s="14" t="s">
        <v>939</v>
      </c>
      <c r="F519" s="3" t="s">
        <v>944</v>
      </c>
      <c r="G519" s="4">
        <v>59</v>
      </c>
      <c r="H519" s="12">
        <v>10230.056</v>
      </c>
      <c r="I519" s="12">
        <v>2687.762796</v>
      </c>
      <c r="J519" s="13">
        <v>0.2627319729</v>
      </c>
      <c r="K519" s="13">
        <v>0.2627319729</v>
      </c>
      <c r="L519" s="12">
        <v>25.4986440677</v>
      </c>
      <c r="M519" s="13">
        <v>0.0916391346</v>
      </c>
      <c r="N519" s="13">
        <v>0.0289907918</v>
      </c>
      <c r="O519" s="13">
        <v>0.2910756304</v>
      </c>
      <c r="P519" s="13">
        <v>0.0784023078</v>
      </c>
      <c r="Q519" s="13">
        <v>0.018725215</v>
      </c>
      <c r="R519" s="13">
        <v>0.1259307024</v>
      </c>
      <c r="S519" s="13">
        <v>0</v>
      </c>
      <c r="T519" s="13">
        <v>0.112508475</v>
      </c>
      <c r="U519" s="13">
        <v>0.0094502891</v>
      </c>
      <c r="V519" s="13">
        <v>-0.0151952247</v>
      </c>
      <c r="W519" s="13">
        <v>-0.006133725</v>
      </c>
      <c r="X519" s="13">
        <v>0.0004696164</v>
      </c>
      <c r="Y519" s="13">
        <v>0</v>
      </c>
      <c r="Z519" s="13">
        <v>0.0014048139</v>
      </c>
    </row>
    <row r="520" s="2" customFormat="1" hidden="1" spans="1:26">
      <c r="A520" s="11" t="s">
        <v>935</v>
      </c>
      <c r="B520" s="11" t="s">
        <v>937</v>
      </c>
      <c r="C520" s="14" t="s">
        <v>211</v>
      </c>
      <c r="D520" s="14" t="s">
        <v>938</v>
      </c>
      <c r="E520" s="14" t="s">
        <v>939</v>
      </c>
      <c r="F520" s="3" t="s">
        <v>945</v>
      </c>
      <c r="G520" s="4">
        <v>0</v>
      </c>
      <c r="H520" s="12">
        <v>0</v>
      </c>
      <c r="I520" s="12">
        <v>-13.378844</v>
      </c>
      <c r="J520" s="13"/>
      <c r="K520" s="13"/>
      <c r="L520" s="12"/>
      <c r="M520" s="13"/>
      <c r="N520" s="13"/>
      <c r="O520" s="13"/>
      <c r="P520" s="13"/>
      <c r="Q520" s="13"/>
      <c r="R520" s="13"/>
      <c r="S520" s="13"/>
      <c r="T520" s="13"/>
      <c r="U520" s="13"/>
      <c r="V520" s="13"/>
      <c r="W520" s="13"/>
      <c r="X520" s="13"/>
      <c r="Y520" s="13"/>
      <c r="Z520" s="13"/>
    </row>
    <row r="521" s="2" customFormat="1" hidden="1" spans="1:26">
      <c r="A521" s="11" t="s">
        <v>935</v>
      </c>
      <c r="B521" s="11" t="s">
        <v>937</v>
      </c>
      <c r="C521" s="14" t="s">
        <v>215</v>
      </c>
      <c r="D521" s="14" t="s">
        <v>938</v>
      </c>
      <c r="E521" s="14" t="s">
        <v>939</v>
      </c>
      <c r="F521" s="3" t="s">
        <v>936</v>
      </c>
      <c r="G521" s="4">
        <v>353</v>
      </c>
      <c r="H521" s="12">
        <v>56022.48</v>
      </c>
      <c r="I521" s="12">
        <v>13564.924741</v>
      </c>
      <c r="J521" s="13">
        <v>0.2421335996</v>
      </c>
      <c r="K521" s="13">
        <v>0.2421335996</v>
      </c>
      <c r="L521" s="12">
        <v>23.3388101982</v>
      </c>
      <c r="M521" s="13">
        <v>0.1215109594</v>
      </c>
      <c r="N521" s="13">
        <v>0.0296807883</v>
      </c>
      <c r="O521" s="13">
        <v>0.3131454373</v>
      </c>
      <c r="P521" s="13">
        <v>0.0199512053</v>
      </c>
      <c r="Q521" s="13">
        <v>0.0100477673</v>
      </c>
      <c r="R521" s="13">
        <v>0.1330360594</v>
      </c>
      <c r="S521" s="13">
        <v>0</v>
      </c>
      <c r="T521" s="13">
        <v>0.113671012</v>
      </c>
      <c r="U521" s="13">
        <v>0.0125308197</v>
      </c>
      <c r="V521" s="13">
        <v>0.0002112009</v>
      </c>
      <c r="W521" s="13">
        <v>-0.0012434278</v>
      </c>
      <c r="X521" s="13">
        <v>0</v>
      </c>
      <c r="Y521" s="13">
        <v>0</v>
      </c>
      <c r="Z521" s="13">
        <v>0.0053245782</v>
      </c>
    </row>
    <row r="522" s="2" customFormat="1" hidden="1" spans="1:26">
      <c r="A522" s="11" t="s">
        <v>935</v>
      </c>
      <c r="B522" s="11" t="s">
        <v>937</v>
      </c>
      <c r="C522" s="14" t="s">
        <v>215</v>
      </c>
      <c r="D522" s="14" t="s">
        <v>938</v>
      </c>
      <c r="E522" s="14" t="s">
        <v>939</v>
      </c>
      <c r="F522" s="3" t="s">
        <v>940</v>
      </c>
      <c r="G522" s="4">
        <v>2</v>
      </c>
      <c r="H522" s="12">
        <v>326.264</v>
      </c>
      <c r="I522" s="12">
        <v>-159.86768</v>
      </c>
      <c r="J522" s="13">
        <v>-0.4899948507</v>
      </c>
      <c r="K522" s="13">
        <v>-0.4899948507</v>
      </c>
      <c r="L522" s="12">
        <v>23.99</v>
      </c>
      <c r="M522" s="13">
        <v>0.1192258906</v>
      </c>
      <c r="N522" s="13">
        <v>0.03834393</v>
      </c>
      <c r="O522" s="13">
        <v>0.2780325135</v>
      </c>
      <c r="P522" s="13">
        <v>0</v>
      </c>
      <c r="Q522" s="13">
        <v>0.0008192537</v>
      </c>
      <c r="R522" s="13">
        <v>1.0284315339</v>
      </c>
      <c r="S522" s="13">
        <v>0</v>
      </c>
      <c r="T522" s="13">
        <v>0.0125052105</v>
      </c>
      <c r="U522" s="13">
        <v>0.012295172</v>
      </c>
      <c r="V522" s="13">
        <v>0</v>
      </c>
      <c r="W522" s="13">
        <v>0</v>
      </c>
      <c r="X522" s="13">
        <v>0</v>
      </c>
      <c r="Y522" s="13">
        <v>0</v>
      </c>
      <c r="Z522" s="13">
        <v>0.0003413462</v>
      </c>
    </row>
    <row r="523" s="2" customFormat="1" hidden="1" spans="1:26">
      <c r="A523" s="11" t="s">
        <v>935</v>
      </c>
      <c r="B523" s="11" t="s">
        <v>937</v>
      </c>
      <c r="C523" s="14" t="s">
        <v>215</v>
      </c>
      <c r="D523" s="14" t="s">
        <v>938</v>
      </c>
      <c r="E523" s="14" t="s">
        <v>939</v>
      </c>
      <c r="F523" s="3" t="s">
        <v>941</v>
      </c>
      <c r="G523" s="4">
        <v>137</v>
      </c>
      <c r="H523" s="12">
        <v>20619.572</v>
      </c>
      <c r="I523" s="12">
        <v>4818.868518</v>
      </c>
      <c r="J523" s="13">
        <v>0.233703615</v>
      </c>
      <c r="K523" s="13">
        <v>0.233703615</v>
      </c>
      <c r="L523" s="12">
        <v>22.1335036496</v>
      </c>
      <c r="M523" s="13">
        <v>0.1282829676</v>
      </c>
      <c r="N523" s="13">
        <v>0.0412567467</v>
      </c>
      <c r="O523" s="13">
        <v>0.3268717701</v>
      </c>
      <c r="P523" s="13">
        <v>0.0143192108</v>
      </c>
      <c r="Q523" s="13">
        <v>0.0075217445</v>
      </c>
      <c r="R523" s="13">
        <v>0.115510317</v>
      </c>
      <c r="S523" s="13">
        <v>0</v>
      </c>
      <c r="T523" s="13">
        <v>0.113742419</v>
      </c>
      <c r="U523" s="13">
        <v>0.0132291831</v>
      </c>
      <c r="V523" s="13">
        <v>0.0002242529</v>
      </c>
      <c r="W523" s="13">
        <v>0</v>
      </c>
      <c r="X523" s="13">
        <v>0</v>
      </c>
      <c r="Y523" s="13">
        <v>0</v>
      </c>
      <c r="Z523" s="13">
        <v>0.0053377725</v>
      </c>
    </row>
    <row r="524" s="2" customFormat="1" hidden="1" spans="1:26">
      <c r="A524" s="11" t="s">
        <v>935</v>
      </c>
      <c r="B524" s="11" t="s">
        <v>937</v>
      </c>
      <c r="C524" s="14" t="s">
        <v>215</v>
      </c>
      <c r="D524" s="14" t="s">
        <v>938</v>
      </c>
      <c r="E524" s="14" t="s">
        <v>939</v>
      </c>
      <c r="F524" s="3" t="s">
        <v>942</v>
      </c>
      <c r="G524" s="4">
        <v>143</v>
      </c>
      <c r="H524" s="12">
        <v>23018.272</v>
      </c>
      <c r="I524" s="12">
        <v>5941.892699</v>
      </c>
      <c r="J524" s="13">
        <v>0.2581380869</v>
      </c>
      <c r="K524" s="13">
        <v>0.2581380869</v>
      </c>
      <c r="L524" s="12">
        <v>23.6716083916</v>
      </c>
      <c r="M524" s="13">
        <v>0.1191395982</v>
      </c>
      <c r="N524" s="13">
        <v>0.0215205307</v>
      </c>
      <c r="O524" s="13">
        <v>0.3074055254</v>
      </c>
      <c r="P524" s="13">
        <v>0.0283482617</v>
      </c>
      <c r="Q524" s="13">
        <v>0.0140871558</v>
      </c>
      <c r="R524" s="13">
        <v>0.1212406749</v>
      </c>
      <c r="S524" s="13">
        <v>0</v>
      </c>
      <c r="T524" s="13">
        <v>0.1130296835</v>
      </c>
      <c r="U524" s="13">
        <v>0.012286273</v>
      </c>
      <c r="V524" s="13">
        <v>0.0003131425</v>
      </c>
      <c r="W524" s="13">
        <v>-0.0019951791</v>
      </c>
      <c r="X524" s="13">
        <v>0</v>
      </c>
      <c r="Y524" s="13">
        <v>0</v>
      </c>
      <c r="Z524" s="13">
        <v>0.0064862458</v>
      </c>
    </row>
    <row r="525" s="2" customFormat="1" hidden="1" spans="1:26">
      <c r="A525" s="11" t="s">
        <v>935</v>
      </c>
      <c r="B525" s="11" t="s">
        <v>937</v>
      </c>
      <c r="C525" s="14" t="s">
        <v>215</v>
      </c>
      <c r="D525" s="14" t="s">
        <v>938</v>
      </c>
      <c r="E525" s="14" t="s">
        <v>939</v>
      </c>
      <c r="F525" s="3" t="s">
        <v>943</v>
      </c>
      <c r="G525" s="4">
        <v>12</v>
      </c>
      <c r="H525" s="12">
        <v>2032.384</v>
      </c>
      <c r="I525" s="12">
        <v>595.668151</v>
      </c>
      <c r="J525" s="13">
        <v>0.2930883883</v>
      </c>
      <c r="K525" s="13">
        <v>0.2930883883</v>
      </c>
      <c r="L525" s="12">
        <v>24.9066666666</v>
      </c>
      <c r="M525" s="13">
        <v>0.1148378928</v>
      </c>
      <c r="N525" s="13">
        <v>0.0252990261</v>
      </c>
      <c r="O525" s="13">
        <v>0.2963062098</v>
      </c>
      <c r="P525" s="13">
        <v>0</v>
      </c>
      <c r="Q525" s="13">
        <v>0.0365481144</v>
      </c>
      <c r="R525" s="13">
        <v>0.100832261</v>
      </c>
      <c r="S525" s="13">
        <v>0</v>
      </c>
      <c r="T525" s="13">
        <v>0.1200481798</v>
      </c>
      <c r="U525" s="13">
        <v>0.0118426596</v>
      </c>
      <c r="V525" s="13">
        <v>0</v>
      </c>
      <c r="W525" s="13">
        <v>-0.0116780765</v>
      </c>
      <c r="X525" s="13">
        <v>0</v>
      </c>
      <c r="Y525" s="13">
        <v>0</v>
      </c>
      <c r="Z525" s="13">
        <v>0.0128753444</v>
      </c>
    </row>
    <row r="526" s="2" customFormat="1" spans="1:26">
      <c r="A526" s="11" t="s">
        <v>935</v>
      </c>
      <c r="B526" s="11" t="s">
        <v>937</v>
      </c>
      <c r="C526" s="14" t="s">
        <v>215</v>
      </c>
      <c r="D526" s="14" t="s">
        <v>938</v>
      </c>
      <c r="E526" s="14" t="s">
        <v>939</v>
      </c>
      <c r="F526" s="3" t="s">
        <v>944</v>
      </c>
      <c r="G526" s="4">
        <v>53</v>
      </c>
      <c r="H526" s="12">
        <v>9006.396</v>
      </c>
      <c r="I526" s="12">
        <v>2161.032816</v>
      </c>
      <c r="J526" s="13">
        <v>0.2399442369</v>
      </c>
      <c r="K526" s="13">
        <v>0.2399442369</v>
      </c>
      <c r="L526" s="12">
        <v>24.99</v>
      </c>
      <c r="M526" s="13">
        <v>0.1144549465</v>
      </c>
      <c r="N526" s="13">
        <v>0.0252146624</v>
      </c>
      <c r="O526" s="13">
        <v>0.3013507289</v>
      </c>
      <c r="P526" s="13">
        <v>0.0188679245</v>
      </c>
      <c r="Q526" s="13">
        <v>0.0009989132</v>
      </c>
      <c r="R526" s="13">
        <v>0.1681776433</v>
      </c>
      <c r="S526" s="13">
        <v>0</v>
      </c>
      <c r="T526" s="13">
        <v>0.1177829622</v>
      </c>
      <c r="U526" s="13">
        <v>0.0118031682</v>
      </c>
      <c r="V526" s="13">
        <v>0</v>
      </c>
      <c r="W526" s="13">
        <v>0</v>
      </c>
      <c r="X526" s="13">
        <v>0</v>
      </c>
      <c r="Y526" s="13">
        <v>0</v>
      </c>
      <c r="Z526" s="13">
        <v>0.0014048134</v>
      </c>
    </row>
    <row r="527" s="2" customFormat="1" hidden="1" spans="1:26">
      <c r="A527" s="11" t="s">
        <v>935</v>
      </c>
      <c r="B527" s="11" t="s">
        <v>937</v>
      </c>
      <c r="C527" s="14" t="s">
        <v>215</v>
      </c>
      <c r="D527" s="14" t="s">
        <v>938</v>
      </c>
      <c r="E527" s="14" t="s">
        <v>939</v>
      </c>
      <c r="F527" s="3" t="s">
        <v>945</v>
      </c>
      <c r="G527" s="4">
        <v>6</v>
      </c>
      <c r="H527" s="12">
        <v>1019.592</v>
      </c>
      <c r="I527" s="12">
        <v>207.330237</v>
      </c>
      <c r="J527" s="13">
        <v>0.2033462767</v>
      </c>
      <c r="K527" s="13">
        <v>0.2033462767</v>
      </c>
      <c r="L527" s="12">
        <v>24.99</v>
      </c>
      <c r="M527" s="13">
        <v>0.1144549466</v>
      </c>
      <c r="N527" s="13">
        <v>0.0252146623</v>
      </c>
      <c r="O527" s="13">
        <v>0.3141256502</v>
      </c>
      <c r="P527" s="13">
        <v>0</v>
      </c>
      <c r="Q527" s="13">
        <v>0</v>
      </c>
      <c r="R527" s="13">
        <v>0.221011278</v>
      </c>
      <c r="S527" s="13">
        <v>0</v>
      </c>
      <c r="T527" s="13">
        <v>0.1100440176</v>
      </c>
      <c r="U527" s="13">
        <v>0.0118031683</v>
      </c>
      <c r="V527" s="13">
        <v>0</v>
      </c>
      <c r="W527" s="13">
        <v>0</v>
      </c>
      <c r="X527" s="13">
        <v>0</v>
      </c>
      <c r="Y527" s="13">
        <v>0</v>
      </c>
      <c r="Z527" s="13">
        <v>0</v>
      </c>
    </row>
    <row r="528" s="2" customFormat="1" hidden="1" spans="1:26">
      <c r="A528" s="11" t="s">
        <v>935</v>
      </c>
      <c r="B528" s="11" t="s">
        <v>937</v>
      </c>
      <c r="C528" s="14" t="s">
        <v>219</v>
      </c>
      <c r="D528" s="14" t="s">
        <v>938</v>
      </c>
      <c r="E528" s="14" t="s">
        <v>939</v>
      </c>
      <c r="F528" s="3" t="s">
        <v>936</v>
      </c>
      <c r="G528" s="4">
        <v>117</v>
      </c>
      <c r="H528" s="12">
        <v>19554.284</v>
      </c>
      <c r="I528" s="12">
        <v>5012.11626</v>
      </c>
      <c r="J528" s="13">
        <v>0.2563180661</v>
      </c>
      <c r="K528" s="13">
        <v>0.2563180661</v>
      </c>
      <c r="L528" s="12">
        <v>24.578034188</v>
      </c>
      <c r="M528" s="13">
        <v>0.1154202836</v>
      </c>
      <c r="N528" s="13">
        <v>0.0164202895</v>
      </c>
      <c r="O528" s="13">
        <v>0.2768819354</v>
      </c>
      <c r="P528" s="13">
        <v>0.0177282891</v>
      </c>
      <c r="Q528" s="13">
        <v>0.0127307885</v>
      </c>
      <c r="R528" s="13">
        <v>0.1705443475</v>
      </c>
      <c r="S528" s="13">
        <v>0</v>
      </c>
      <c r="T528" s="13">
        <v>0.1160267489</v>
      </c>
      <c r="U528" s="13">
        <v>0.0119027192</v>
      </c>
      <c r="V528" s="13">
        <v>0</v>
      </c>
      <c r="W528" s="13">
        <v>0</v>
      </c>
      <c r="X528" s="13">
        <v>0</v>
      </c>
      <c r="Y528" s="13">
        <v>0</v>
      </c>
      <c r="Z528" s="13">
        <v>0.0060265318</v>
      </c>
    </row>
    <row r="529" s="2" customFormat="1" hidden="1" spans="1:26">
      <c r="A529" s="11" t="s">
        <v>935</v>
      </c>
      <c r="B529" s="11" t="s">
        <v>937</v>
      </c>
      <c r="C529" s="14" t="s">
        <v>219</v>
      </c>
      <c r="D529" s="14" t="s">
        <v>938</v>
      </c>
      <c r="E529" s="14" t="s">
        <v>939</v>
      </c>
      <c r="F529" s="3" t="s">
        <v>940</v>
      </c>
      <c r="G529" s="4">
        <v>2</v>
      </c>
      <c r="H529" s="12">
        <v>339.864</v>
      </c>
      <c r="I529" s="12">
        <v>12.591176</v>
      </c>
      <c r="J529" s="13">
        <v>0.0370476896</v>
      </c>
      <c r="K529" s="13">
        <v>0.0370476896</v>
      </c>
      <c r="L529" s="12">
        <v>24.99</v>
      </c>
      <c r="M529" s="13">
        <v>0.113517554</v>
      </c>
      <c r="N529" s="13">
        <v>0.0271824788</v>
      </c>
      <c r="O529" s="13">
        <v>0.2368947579</v>
      </c>
      <c r="P529" s="13">
        <v>0</v>
      </c>
      <c r="Q529" s="13">
        <v>0.0008192629</v>
      </c>
      <c r="R529" s="13">
        <v>0.4644471612</v>
      </c>
      <c r="S529" s="13">
        <v>0</v>
      </c>
      <c r="T529" s="13">
        <v>0.1080432172</v>
      </c>
      <c r="U529" s="13">
        <v>0.0117065002</v>
      </c>
      <c r="V529" s="13">
        <v>0</v>
      </c>
      <c r="W529" s="13">
        <v>0</v>
      </c>
      <c r="X529" s="13">
        <v>0</v>
      </c>
      <c r="Y529" s="13">
        <v>0</v>
      </c>
      <c r="Z529" s="13">
        <v>0.0003413777</v>
      </c>
    </row>
    <row r="530" s="2" customFormat="1" hidden="1" spans="1:26">
      <c r="A530" s="11" t="s">
        <v>935</v>
      </c>
      <c r="B530" s="11" t="s">
        <v>937</v>
      </c>
      <c r="C530" s="14" t="s">
        <v>219</v>
      </c>
      <c r="D530" s="14" t="s">
        <v>938</v>
      </c>
      <c r="E530" s="14" t="s">
        <v>939</v>
      </c>
      <c r="F530" s="3" t="s">
        <v>941</v>
      </c>
      <c r="G530" s="4">
        <v>32</v>
      </c>
      <c r="H530" s="12">
        <v>4942.784</v>
      </c>
      <c r="I530" s="12">
        <v>1105.306124</v>
      </c>
      <c r="J530" s="13">
        <v>0.2236201549</v>
      </c>
      <c r="K530" s="13">
        <v>0.2236201549</v>
      </c>
      <c r="L530" s="12">
        <v>22.715</v>
      </c>
      <c r="M530" s="13">
        <v>0.1248868006</v>
      </c>
      <c r="N530" s="13">
        <v>0.0153063018</v>
      </c>
      <c r="O530" s="13">
        <v>0.2927443319</v>
      </c>
      <c r="P530" s="13">
        <v>0</v>
      </c>
      <c r="Q530" s="13">
        <v>0.0072553959</v>
      </c>
      <c r="R530" s="13">
        <v>0.2062599562</v>
      </c>
      <c r="S530" s="13">
        <v>0</v>
      </c>
      <c r="T530" s="13">
        <v>0.1117103235</v>
      </c>
      <c r="U530" s="13">
        <v>0.012878954</v>
      </c>
      <c r="V530" s="13">
        <v>0</v>
      </c>
      <c r="W530" s="13">
        <v>0</v>
      </c>
      <c r="X530" s="13">
        <v>0</v>
      </c>
      <c r="Y530" s="13">
        <v>0</v>
      </c>
      <c r="Z530" s="13">
        <v>0.0053377806</v>
      </c>
    </row>
    <row r="531" s="2" customFormat="1" hidden="1" spans="1:26">
      <c r="A531" s="11" t="s">
        <v>935</v>
      </c>
      <c r="B531" s="11" t="s">
        <v>937</v>
      </c>
      <c r="C531" s="14" t="s">
        <v>219</v>
      </c>
      <c r="D531" s="14" t="s">
        <v>938</v>
      </c>
      <c r="E531" s="14" t="s">
        <v>939</v>
      </c>
      <c r="F531" s="3" t="s">
        <v>942</v>
      </c>
      <c r="G531" s="4">
        <v>27</v>
      </c>
      <c r="H531" s="12">
        <v>4510.644</v>
      </c>
      <c r="I531" s="12">
        <v>1157.999491</v>
      </c>
      <c r="J531" s="13">
        <v>0.2567259777</v>
      </c>
      <c r="K531" s="13">
        <v>0.2567259777</v>
      </c>
      <c r="L531" s="12">
        <v>24.5677777777</v>
      </c>
      <c r="M531" s="13">
        <v>0.1154684685</v>
      </c>
      <c r="N531" s="13">
        <v>0.0168819525</v>
      </c>
      <c r="O531" s="13">
        <v>0.2808556826</v>
      </c>
      <c r="P531" s="13">
        <v>0</v>
      </c>
      <c r="Q531" s="13">
        <v>0.020937747</v>
      </c>
      <c r="R531" s="13">
        <v>0.1706904131</v>
      </c>
      <c r="S531" s="13">
        <v>0</v>
      </c>
      <c r="T531" s="13">
        <v>0.1200458293</v>
      </c>
      <c r="U531" s="13">
        <v>0.0119076883</v>
      </c>
      <c r="V531" s="13">
        <v>0</v>
      </c>
      <c r="W531" s="13">
        <v>0</v>
      </c>
      <c r="X531" s="13">
        <v>0</v>
      </c>
      <c r="Y531" s="13">
        <v>0</v>
      </c>
      <c r="Z531" s="13">
        <v>0.0064862405</v>
      </c>
    </row>
    <row r="532" s="2" customFormat="1" hidden="1" spans="1:26">
      <c r="A532" s="11" t="s">
        <v>935</v>
      </c>
      <c r="B532" s="11" t="s">
        <v>937</v>
      </c>
      <c r="C532" s="14" t="s">
        <v>219</v>
      </c>
      <c r="D532" s="14" t="s">
        <v>938</v>
      </c>
      <c r="E532" s="14" t="s">
        <v>939</v>
      </c>
      <c r="F532" s="3" t="s">
        <v>943</v>
      </c>
      <c r="G532" s="4">
        <v>25</v>
      </c>
      <c r="H532" s="12">
        <v>4282.3</v>
      </c>
      <c r="I532" s="12">
        <v>1027.6065</v>
      </c>
      <c r="J532" s="13">
        <v>0.2399660229</v>
      </c>
      <c r="K532" s="13">
        <v>0.2399660229</v>
      </c>
      <c r="L532" s="12">
        <v>25.19</v>
      </c>
      <c r="M532" s="13">
        <v>0.1126162634</v>
      </c>
      <c r="N532" s="13">
        <v>0.0164649487</v>
      </c>
      <c r="O532" s="13">
        <v>0.2739182215</v>
      </c>
      <c r="P532" s="13">
        <v>0.0396824136</v>
      </c>
      <c r="Q532" s="13">
        <v>0.0187661361</v>
      </c>
      <c r="R532" s="13">
        <v>0.1578604768</v>
      </c>
      <c r="S532" s="13">
        <v>0</v>
      </c>
      <c r="T532" s="13">
        <v>0.1162366018</v>
      </c>
      <c r="U532" s="13">
        <v>0.0116135546</v>
      </c>
      <c r="V532" s="13">
        <v>0</v>
      </c>
      <c r="W532" s="13">
        <v>0</v>
      </c>
      <c r="X532" s="13">
        <v>0</v>
      </c>
      <c r="Y532" s="13">
        <v>0</v>
      </c>
      <c r="Z532" s="13">
        <v>0.0128753602</v>
      </c>
    </row>
    <row r="533" s="2" customFormat="1" spans="1:26">
      <c r="A533" s="11" t="s">
        <v>935</v>
      </c>
      <c r="B533" s="11" t="s">
        <v>937</v>
      </c>
      <c r="C533" s="14" t="s">
        <v>219</v>
      </c>
      <c r="D533" s="14" t="s">
        <v>938</v>
      </c>
      <c r="E533" s="14" t="s">
        <v>939</v>
      </c>
      <c r="F533" s="3" t="s">
        <v>944</v>
      </c>
      <c r="G533" s="4">
        <v>28</v>
      </c>
      <c r="H533" s="12">
        <v>4948.496</v>
      </c>
      <c r="I533" s="12">
        <v>1477.387206</v>
      </c>
      <c r="J533" s="13">
        <v>0.2985527736</v>
      </c>
      <c r="K533" s="13">
        <v>0.2985527736</v>
      </c>
      <c r="L533" s="12">
        <v>25.99</v>
      </c>
      <c r="M533" s="13">
        <v>0.1091498144</v>
      </c>
      <c r="N533" s="13">
        <v>0.016342694</v>
      </c>
      <c r="O533" s="13">
        <v>0.2645248172</v>
      </c>
      <c r="P533" s="13">
        <v>0.0357142857</v>
      </c>
      <c r="Q533" s="13">
        <v>0.0076783355</v>
      </c>
      <c r="R533" s="13">
        <v>0.1387656033</v>
      </c>
      <c r="S533" s="13">
        <v>0</v>
      </c>
      <c r="T533" s="13">
        <v>0.1166107843</v>
      </c>
      <c r="U533" s="13">
        <v>0.0112560769</v>
      </c>
      <c r="V533" s="13">
        <v>0</v>
      </c>
      <c r="W533" s="13">
        <v>0</v>
      </c>
      <c r="X533" s="13">
        <v>0</v>
      </c>
      <c r="Y533" s="13">
        <v>0</v>
      </c>
      <c r="Z533" s="13">
        <v>0.0014048147</v>
      </c>
    </row>
    <row r="534" s="2" customFormat="1" hidden="1" spans="1:26">
      <c r="A534" s="11" t="s">
        <v>935</v>
      </c>
      <c r="B534" s="11" t="s">
        <v>937</v>
      </c>
      <c r="C534" s="14" t="s">
        <v>219</v>
      </c>
      <c r="D534" s="14" t="s">
        <v>938</v>
      </c>
      <c r="E534" s="14" t="s">
        <v>939</v>
      </c>
      <c r="F534" s="3" t="s">
        <v>945</v>
      </c>
      <c r="G534" s="4">
        <v>3</v>
      </c>
      <c r="H534" s="12">
        <v>530.196</v>
      </c>
      <c r="I534" s="12">
        <v>231.225763</v>
      </c>
      <c r="J534" s="13">
        <v>0.4361137447</v>
      </c>
      <c r="K534" s="13">
        <v>0.4361137447</v>
      </c>
      <c r="L534" s="12">
        <v>25.99</v>
      </c>
      <c r="M534" s="13">
        <v>0.1091498144</v>
      </c>
      <c r="N534" s="13">
        <v>0.016342694</v>
      </c>
      <c r="O534" s="13">
        <v>0.2601000384</v>
      </c>
      <c r="P534" s="13">
        <v>0</v>
      </c>
      <c r="Q534" s="13">
        <v>0</v>
      </c>
      <c r="R534" s="13">
        <v>0.0469914597</v>
      </c>
      <c r="S534" s="13">
        <v>0</v>
      </c>
      <c r="T534" s="13">
        <v>0.1200461716</v>
      </c>
      <c r="U534" s="13">
        <v>0.0112560769</v>
      </c>
      <c r="V534" s="13">
        <v>0</v>
      </c>
      <c r="W534" s="13">
        <v>0</v>
      </c>
      <c r="X534" s="13">
        <v>0</v>
      </c>
      <c r="Y534" s="13">
        <v>0</v>
      </c>
      <c r="Z534" s="13">
        <v>0</v>
      </c>
    </row>
    <row r="535" s="2" customFormat="1" hidden="1" spans="1:26">
      <c r="A535" s="11" t="s">
        <v>935</v>
      </c>
      <c r="B535" s="11" t="s">
        <v>937</v>
      </c>
      <c r="C535" s="14" t="s">
        <v>223</v>
      </c>
      <c r="D535" s="14" t="s">
        <v>938</v>
      </c>
      <c r="E535" s="14" t="s">
        <v>939</v>
      </c>
      <c r="F535" s="3" t="s">
        <v>936</v>
      </c>
      <c r="G535" s="4">
        <v>155</v>
      </c>
      <c r="H535" s="12">
        <v>24824.216</v>
      </c>
      <c r="I535" s="12">
        <v>3512.504569</v>
      </c>
      <c r="J535" s="13">
        <v>0.1414950856</v>
      </c>
      <c r="K535" s="13">
        <v>0.1414950856</v>
      </c>
      <c r="L535" s="12">
        <v>23.5523870967</v>
      </c>
      <c r="M535" s="13">
        <v>0.1119924135</v>
      </c>
      <c r="N535" s="13">
        <v>0.0435274842</v>
      </c>
      <c r="O535" s="13">
        <v>0.3307712114</v>
      </c>
      <c r="P535" s="13">
        <v>0.0230864894</v>
      </c>
      <c r="Q535" s="13">
        <v>0.022586204</v>
      </c>
      <c r="R535" s="13">
        <v>0.1950838776</v>
      </c>
      <c r="S535" s="13">
        <v>0</v>
      </c>
      <c r="T535" s="13">
        <v>0.1152817877</v>
      </c>
      <c r="U535" s="13">
        <v>0.0115492164</v>
      </c>
      <c r="V535" s="13">
        <v>-0.0023064575</v>
      </c>
      <c r="W535" s="13">
        <v>-0.0020271699</v>
      </c>
      <c r="X535" s="13">
        <v>0.0012436243</v>
      </c>
      <c r="Y535" s="13">
        <v>0</v>
      </c>
      <c r="Z535" s="13">
        <v>0.0077162327</v>
      </c>
    </row>
    <row r="536" s="2" customFormat="1" hidden="1" spans="1:26">
      <c r="A536" s="11" t="s">
        <v>935</v>
      </c>
      <c r="B536" s="11" t="s">
        <v>937</v>
      </c>
      <c r="C536" s="14" t="s">
        <v>223</v>
      </c>
      <c r="D536" s="14" t="s">
        <v>938</v>
      </c>
      <c r="E536" s="14" t="s">
        <v>939</v>
      </c>
      <c r="F536" s="3" t="s">
        <v>940</v>
      </c>
      <c r="G536" s="4">
        <v>4</v>
      </c>
      <c r="H536" s="12">
        <v>652.528</v>
      </c>
      <c r="I536" s="12">
        <v>143.188947</v>
      </c>
      <c r="J536" s="13">
        <v>0.2194372456</v>
      </c>
      <c r="K536" s="13">
        <v>0.2194372456</v>
      </c>
      <c r="L536" s="12">
        <v>23.99</v>
      </c>
      <c r="M536" s="13">
        <v>0.1099495071</v>
      </c>
      <c r="N536" s="13">
        <v>0.0521502586</v>
      </c>
      <c r="O536" s="13">
        <v>0.307211338</v>
      </c>
      <c r="P536" s="13">
        <v>0</v>
      </c>
      <c r="Q536" s="13">
        <v>0.0008192276</v>
      </c>
      <c r="R536" s="13">
        <v>0.1877687439</v>
      </c>
      <c r="S536" s="13">
        <v>0</v>
      </c>
      <c r="T536" s="13">
        <v>0.1109837432</v>
      </c>
      <c r="U536" s="13">
        <v>0.0113385417</v>
      </c>
      <c r="V536" s="13">
        <v>0</v>
      </c>
      <c r="W536" s="13">
        <v>0</v>
      </c>
      <c r="X536" s="13">
        <v>0</v>
      </c>
      <c r="Y536" s="13">
        <v>0</v>
      </c>
      <c r="Z536" s="13">
        <v>0.0003413937</v>
      </c>
    </row>
    <row r="537" s="2" customFormat="1" hidden="1" spans="1:26">
      <c r="A537" s="11" t="s">
        <v>935</v>
      </c>
      <c r="B537" s="11" t="s">
        <v>937</v>
      </c>
      <c r="C537" s="14" t="s">
        <v>223</v>
      </c>
      <c r="D537" s="14" t="s">
        <v>938</v>
      </c>
      <c r="E537" s="14" t="s">
        <v>939</v>
      </c>
      <c r="F537" s="3" t="s">
        <v>941</v>
      </c>
      <c r="G537" s="4">
        <v>58</v>
      </c>
      <c r="H537" s="12">
        <v>8438.392</v>
      </c>
      <c r="I537" s="12">
        <v>348.142464</v>
      </c>
      <c r="J537" s="13">
        <v>0.0412569674</v>
      </c>
      <c r="K537" s="13">
        <v>0.0412569674</v>
      </c>
      <c r="L537" s="12">
        <v>21.3955172413</v>
      </c>
      <c r="M537" s="13">
        <v>0.1232823047</v>
      </c>
      <c r="N537" s="13">
        <v>0.0584741578</v>
      </c>
      <c r="O537" s="13">
        <v>0.3651103195</v>
      </c>
      <c r="P537" s="13">
        <v>0.0313149709</v>
      </c>
      <c r="Q537" s="13">
        <v>0.0159711461</v>
      </c>
      <c r="R537" s="13">
        <v>0.2394174729</v>
      </c>
      <c r="S537" s="13">
        <v>0</v>
      </c>
      <c r="T537" s="13">
        <v>0.1102551291</v>
      </c>
      <c r="U537" s="13">
        <v>0.0127134864</v>
      </c>
      <c r="V537" s="13">
        <v>0</v>
      </c>
      <c r="W537" s="13">
        <v>-0.0031337321</v>
      </c>
      <c r="X537" s="13">
        <v>0</v>
      </c>
      <c r="Y537" s="13">
        <v>0</v>
      </c>
      <c r="Z537" s="13">
        <v>0.0053377767</v>
      </c>
    </row>
    <row r="538" s="2" customFormat="1" hidden="1" spans="1:26">
      <c r="A538" s="11" t="s">
        <v>935</v>
      </c>
      <c r="B538" s="11" t="s">
        <v>937</v>
      </c>
      <c r="C538" s="14" t="s">
        <v>223</v>
      </c>
      <c r="D538" s="14" t="s">
        <v>938</v>
      </c>
      <c r="E538" s="14" t="s">
        <v>939</v>
      </c>
      <c r="F538" s="3" t="s">
        <v>942</v>
      </c>
      <c r="G538" s="4">
        <v>47</v>
      </c>
      <c r="H538" s="12">
        <v>7780.356</v>
      </c>
      <c r="I538" s="12">
        <v>1005.981242</v>
      </c>
      <c r="J538" s="13">
        <v>0.129297585</v>
      </c>
      <c r="K538" s="13">
        <v>0.129297585</v>
      </c>
      <c r="L538" s="12">
        <v>24.3440425531</v>
      </c>
      <c r="M538" s="13">
        <v>0.1083504792</v>
      </c>
      <c r="N538" s="13">
        <v>0.0359005698</v>
      </c>
      <c r="O538" s="13">
        <v>0.3236931574</v>
      </c>
      <c r="P538" s="13">
        <v>0.0396968981</v>
      </c>
      <c r="Q538" s="13">
        <v>0.0336787801</v>
      </c>
      <c r="R538" s="13">
        <v>0.1985678145</v>
      </c>
      <c r="S538" s="13">
        <v>0</v>
      </c>
      <c r="T538" s="13">
        <v>0.1162239876</v>
      </c>
      <c r="U538" s="13">
        <v>0.011173642</v>
      </c>
      <c r="V538" s="13">
        <v>0</v>
      </c>
      <c r="W538" s="13">
        <v>-0.0030691712</v>
      </c>
      <c r="X538" s="13">
        <v>0</v>
      </c>
      <c r="Y538" s="13">
        <v>0</v>
      </c>
      <c r="Z538" s="13">
        <v>0.006486257</v>
      </c>
    </row>
    <row r="539" s="2" customFormat="1" hidden="1" spans="1:26">
      <c r="A539" s="11" t="s">
        <v>935</v>
      </c>
      <c r="B539" s="11" t="s">
        <v>937</v>
      </c>
      <c r="C539" s="14" t="s">
        <v>223</v>
      </c>
      <c r="D539" s="14" t="s">
        <v>938</v>
      </c>
      <c r="E539" s="14" t="s">
        <v>939</v>
      </c>
      <c r="F539" s="3" t="s">
        <v>943</v>
      </c>
      <c r="G539" s="4">
        <v>43</v>
      </c>
      <c r="H539" s="12">
        <v>7422.744</v>
      </c>
      <c r="I539" s="12">
        <v>1985.85403</v>
      </c>
      <c r="J539" s="13">
        <v>0.267536376</v>
      </c>
      <c r="K539" s="13">
        <v>0.267536376</v>
      </c>
      <c r="L539" s="12">
        <v>25.3855813953</v>
      </c>
      <c r="M539" s="13">
        <v>0.1039049937</v>
      </c>
      <c r="N539" s="13">
        <v>0.0344276141</v>
      </c>
      <c r="O539" s="13">
        <v>0.3031935359</v>
      </c>
      <c r="P539" s="13">
        <v>0</v>
      </c>
      <c r="Q539" s="13">
        <v>0.0177513792</v>
      </c>
      <c r="R539" s="13">
        <v>0.1337510413</v>
      </c>
      <c r="S539" s="13">
        <v>0</v>
      </c>
      <c r="T539" s="13">
        <v>0.1200461716</v>
      </c>
      <c r="U539" s="13">
        <v>0.0107152014</v>
      </c>
      <c r="V539" s="13">
        <v>-0.0077135894</v>
      </c>
      <c r="W539" s="13">
        <v>0</v>
      </c>
      <c r="X539" s="13">
        <v>0.0035118814</v>
      </c>
      <c r="Y539" s="13">
        <v>0</v>
      </c>
      <c r="Z539" s="13">
        <v>0.0128753944</v>
      </c>
    </row>
    <row r="540" s="2" customFormat="1" spans="1:26">
      <c r="A540" s="11" t="s">
        <v>935</v>
      </c>
      <c r="B540" s="11" t="s">
        <v>937</v>
      </c>
      <c r="C540" s="14" t="s">
        <v>223</v>
      </c>
      <c r="D540" s="14" t="s">
        <v>938</v>
      </c>
      <c r="E540" s="14" t="s">
        <v>939</v>
      </c>
      <c r="F540" s="3" t="s">
        <v>944</v>
      </c>
      <c r="G540" s="4">
        <v>1</v>
      </c>
      <c r="H540" s="12">
        <v>176.732</v>
      </c>
      <c r="I540" s="12">
        <v>-122.813042</v>
      </c>
      <c r="J540" s="13">
        <v>-0.6949111762</v>
      </c>
      <c r="K540" s="13">
        <v>-0.6949111762</v>
      </c>
      <c r="L540" s="12">
        <v>25.99</v>
      </c>
      <c r="M540" s="13">
        <v>0.1014885985</v>
      </c>
      <c r="N540" s="13">
        <v>0.0343490369</v>
      </c>
      <c r="O540" s="13">
        <v>0.3031935359</v>
      </c>
      <c r="P540" s="13">
        <v>0</v>
      </c>
      <c r="Q540" s="13">
        <v>0.17870337</v>
      </c>
      <c r="R540" s="13">
        <v>0.9180761718</v>
      </c>
      <c r="S540" s="13">
        <v>0</v>
      </c>
      <c r="T540" s="13">
        <v>0.1200461716</v>
      </c>
      <c r="U540" s="13">
        <v>0.0104660106</v>
      </c>
      <c r="V540" s="13">
        <v>0</v>
      </c>
      <c r="W540" s="13">
        <v>0</v>
      </c>
      <c r="X540" s="13">
        <v>0.0271835491</v>
      </c>
      <c r="Y540" s="13">
        <v>0</v>
      </c>
      <c r="Z540" s="13">
        <v>0.0014047314</v>
      </c>
    </row>
    <row r="541" s="2" customFormat="1" hidden="1" spans="1:26">
      <c r="A541" s="11" t="s">
        <v>935</v>
      </c>
      <c r="B541" s="11" t="s">
        <v>937</v>
      </c>
      <c r="C541" s="14" t="s">
        <v>223</v>
      </c>
      <c r="D541" s="14" t="s">
        <v>938</v>
      </c>
      <c r="E541" s="14" t="s">
        <v>939</v>
      </c>
      <c r="F541" s="3" t="s">
        <v>945</v>
      </c>
      <c r="G541" s="4">
        <v>2</v>
      </c>
      <c r="H541" s="12">
        <v>353.464</v>
      </c>
      <c r="I541" s="12">
        <v>152.150928</v>
      </c>
      <c r="J541" s="13">
        <v>0.4304566462</v>
      </c>
      <c r="K541" s="13">
        <v>0.4304566462</v>
      </c>
      <c r="L541" s="12">
        <v>25.99</v>
      </c>
      <c r="M541" s="13">
        <v>0.1014885985</v>
      </c>
      <c r="N541" s="13">
        <v>0.0343490369</v>
      </c>
      <c r="O541" s="13">
        <v>0.3031935359</v>
      </c>
      <c r="P541" s="13">
        <v>0</v>
      </c>
      <c r="Q541" s="13">
        <v>0</v>
      </c>
      <c r="R541" s="13">
        <v>0</v>
      </c>
      <c r="S541" s="13">
        <v>0</v>
      </c>
      <c r="T541" s="13">
        <v>0.1200461716</v>
      </c>
      <c r="U541" s="13">
        <v>0.0104660106</v>
      </c>
      <c r="V541" s="13">
        <v>0</v>
      </c>
      <c r="W541" s="13">
        <v>0</v>
      </c>
      <c r="X541" s="13">
        <v>0</v>
      </c>
      <c r="Y541" s="13">
        <v>0</v>
      </c>
      <c r="Z541" s="13">
        <v>0</v>
      </c>
    </row>
    <row r="542" s="2" customFormat="1" hidden="1" spans="1:26">
      <c r="A542" s="11" t="s">
        <v>935</v>
      </c>
      <c r="B542" s="11" t="s">
        <v>937</v>
      </c>
      <c r="C542" s="14" t="s">
        <v>227</v>
      </c>
      <c r="D542" s="14" t="s">
        <v>938</v>
      </c>
      <c r="E542" s="14" t="s">
        <v>939</v>
      </c>
      <c r="F542" s="3" t="s">
        <v>936</v>
      </c>
      <c r="G542" s="4">
        <v>287</v>
      </c>
      <c r="H542" s="12">
        <v>46149.832</v>
      </c>
      <c r="I542" s="12">
        <v>11609.292678</v>
      </c>
      <c r="J542" s="13">
        <v>0.2515565534</v>
      </c>
      <c r="K542" s="13">
        <v>0.2515565534</v>
      </c>
      <c r="L542" s="12">
        <v>23.6471777003</v>
      </c>
      <c r="M542" s="13">
        <v>0.1044605757</v>
      </c>
      <c r="N542" s="13">
        <v>0.0186564284</v>
      </c>
      <c r="O542" s="13">
        <v>0.2570438826</v>
      </c>
      <c r="P542" s="13">
        <v>0.0417461107</v>
      </c>
      <c r="Q542" s="13">
        <v>0.0127069134</v>
      </c>
      <c r="R542" s="13">
        <v>0.2055363406</v>
      </c>
      <c r="S542" s="13">
        <v>0</v>
      </c>
      <c r="T542" s="13">
        <v>0.1059772438</v>
      </c>
      <c r="U542" s="13">
        <v>0.0107724956</v>
      </c>
      <c r="V542" s="13">
        <v>-0.0128076219</v>
      </c>
      <c r="W542" s="13">
        <v>-0.0025350957</v>
      </c>
      <c r="X542" s="13">
        <v>0.001127198</v>
      </c>
      <c r="Y542" s="13">
        <v>0</v>
      </c>
      <c r="Z542" s="13">
        <v>0.005758975</v>
      </c>
    </row>
    <row r="543" s="2" customFormat="1" hidden="1" spans="1:26">
      <c r="A543" s="11" t="s">
        <v>935</v>
      </c>
      <c r="B543" s="11" t="s">
        <v>937</v>
      </c>
      <c r="C543" s="14" t="s">
        <v>227</v>
      </c>
      <c r="D543" s="14" t="s">
        <v>938</v>
      </c>
      <c r="E543" s="14" t="s">
        <v>939</v>
      </c>
      <c r="F543" s="3" t="s">
        <v>941</v>
      </c>
      <c r="G543" s="4">
        <v>48</v>
      </c>
      <c r="H543" s="12">
        <v>7634.496</v>
      </c>
      <c r="I543" s="12">
        <v>934.498686</v>
      </c>
      <c r="J543" s="13">
        <v>0.1224047646</v>
      </c>
      <c r="K543" s="13">
        <v>0.1224047646</v>
      </c>
      <c r="L543" s="12">
        <v>23.39</v>
      </c>
      <c r="M543" s="13">
        <v>0.1056091409</v>
      </c>
      <c r="N543" s="13">
        <v>0.0232332135</v>
      </c>
      <c r="O543" s="13">
        <v>0.254471284</v>
      </c>
      <c r="P543" s="13">
        <v>0</v>
      </c>
      <c r="Q543" s="13">
        <v>0.0043187893</v>
      </c>
      <c r="R543" s="13">
        <v>0.3825893726</v>
      </c>
      <c r="S543" s="13">
        <v>0</v>
      </c>
      <c r="T543" s="13">
        <v>0.0911447199</v>
      </c>
      <c r="U543" s="13">
        <v>0.0108909413</v>
      </c>
      <c r="V543" s="13">
        <v>0</v>
      </c>
      <c r="W543" s="13">
        <v>0</v>
      </c>
      <c r="X543" s="13">
        <v>0</v>
      </c>
      <c r="Y543" s="13">
        <v>0</v>
      </c>
      <c r="Z543" s="13">
        <v>0.0053377734</v>
      </c>
    </row>
    <row r="544" s="2" customFormat="1" hidden="1" spans="1:26">
      <c r="A544" s="11" t="s">
        <v>935</v>
      </c>
      <c r="B544" s="11" t="s">
        <v>937</v>
      </c>
      <c r="C544" s="14" t="s">
        <v>227</v>
      </c>
      <c r="D544" s="14" t="s">
        <v>938</v>
      </c>
      <c r="E544" s="14" t="s">
        <v>939</v>
      </c>
      <c r="F544" s="3" t="s">
        <v>942</v>
      </c>
      <c r="G544" s="4">
        <v>65</v>
      </c>
      <c r="H544" s="12">
        <v>10293.5</v>
      </c>
      <c r="I544" s="12">
        <v>2675.191909</v>
      </c>
      <c r="J544" s="13">
        <v>0.2598913789</v>
      </c>
      <c r="K544" s="13">
        <v>0.2598913789</v>
      </c>
      <c r="L544" s="12">
        <v>23.2884615384</v>
      </c>
      <c r="M544" s="13">
        <v>0.1060695997</v>
      </c>
      <c r="N544" s="13">
        <v>0.0148973798</v>
      </c>
      <c r="O544" s="13">
        <v>0.2632138728</v>
      </c>
      <c r="P544" s="13">
        <v>0.1079240297</v>
      </c>
      <c r="Q544" s="13">
        <v>0.0196092985</v>
      </c>
      <c r="R544" s="13">
        <v>0.1608924135</v>
      </c>
      <c r="S544" s="13">
        <v>0</v>
      </c>
      <c r="T544" s="13">
        <v>0.1080759702</v>
      </c>
      <c r="U544" s="13">
        <v>0.0109384262</v>
      </c>
      <c r="V544" s="13">
        <v>-0.0524155243</v>
      </c>
      <c r="W544" s="13">
        <v>-0.0055830913</v>
      </c>
      <c r="X544" s="13">
        <v>0</v>
      </c>
      <c r="Y544" s="13">
        <v>0</v>
      </c>
      <c r="Z544" s="13">
        <v>0.0064862458</v>
      </c>
    </row>
    <row r="545" s="2" customFormat="1" hidden="1" spans="1:26">
      <c r="A545" s="11" t="s">
        <v>935</v>
      </c>
      <c r="B545" s="11" t="s">
        <v>937</v>
      </c>
      <c r="C545" s="14" t="s">
        <v>227</v>
      </c>
      <c r="D545" s="14" t="s">
        <v>938</v>
      </c>
      <c r="E545" s="14" t="s">
        <v>939</v>
      </c>
      <c r="F545" s="3" t="s">
        <v>943</v>
      </c>
      <c r="G545" s="4">
        <v>65</v>
      </c>
      <c r="H545" s="12">
        <v>10440.448</v>
      </c>
      <c r="I545" s="12">
        <v>2882.428367</v>
      </c>
      <c r="J545" s="13">
        <v>0.2760828239</v>
      </c>
      <c r="K545" s="13">
        <v>0.2760828239</v>
      </c>
      <c r="L545" s="12">
        <v>23.6209230769</v>
      </c>
      <c r="M545" s="13">
        <v>0.1045766836</v>
      </c>
      <c r="N545" s="13">
        <v>0.0189291925</v>
      </c>
      <c r="O545" s="13">
        <v>0.2555231346</v>
      </c>
      <c r="P545" s="13">
        <v>0.015625</v>
      </c>
      <c r="Q545" s="13">
        <v>0.0195577967</v>
      </c>
      <c r="R545" s="13">
        <v>0.1756705294</v>
      </c>
      <c r="S545" s="13">
        <v>0</v>
      </c>
      <c r="T545" s="13">
        <v>0.1111856502</v>
      </c>
      <c r="U545" s="13">
        <v>0.0107844692</v>
      </c>
      <c r="V545" s="13">
        <v>0</v>
      </c>
      <c r="W545" s="13">
        <v>-0.0038001807</v>
      </c>
      <c r="X545" s="13">
        <v>0.0029895268</v>
      </c>
      <c r="Y545" s="13">
        <v>0</v>
      </c>
      <c r="Z545" s="13">
        <v>0.0128753734</v>
      </c>
    </row>
    <row r="546" s="2" customFormat="1" spans="1:26">
      <c r="A546" s="11" t="s">
        <v>935</v>
      </c>
      <c r="B546" s="11" t="s">
        <v>937</v>
      </c>
      <c r="C546" s="14" t="s">
        <v>227</v>
      </c>
      <c r="D546" s="14" t="s">
        <v>938</v>
      </c>
      <c r="E546" s="14" t="s">
        <v>939</v>
      </c>
      <c r="F546" s="3" t="s">
        <v>944</v>
      </c>
      <c r="G546" s="4">
        <v>104</v>
      </c>
      <c r="H546" s="12">
        <v>16965.728</v>
      </c>
      <c r="I546" s="12">
        <v>4986.186921</v>
      </c>
      <c r="J546" s="13">
        <v>0.2938976105</v>
      </c>
      <c r="K546" s="13">
        <v>0.2938976105</v>
      </c>
      <c r="L546" s="12">
        <v>23.99</v>
      </c>
      <c r="M546" s="13">
        <v>0.1029678113</v>
      </c>
      <c r="N546" s="13">
        <v>0.0187072985</v>
      </c>
      <c r="O546" s="13">
        <v>0.2554670215</v>
      </c>
      <c r="P546" s="13">
        <v>0.0288461538</v>
      </c>
      <c r="Q546" s="13">
        <v>0.008688673</v>
      </c>
      <c r="R546" s="13">
        <v>0.1733831235</v>
      </c>
      <c r="S546" s="13">
        <v>0</v>
      </c>
      <c r="T546" s="13">
        <v>0.1089997434</v>
      </c>
      <c r="U546" s="13">
        <v>0.0106185544</v>
      </c>
      <c r="V546" s="13">
        <v>-0.0030373232</v>
      </c>
      <c r="W546" s="13">
        <v>-0.0011699529</v>
      </c>
      <c r="X546" s="13">
        <v>0.0012264725</v>
      </c>
      <c r="Y546" s="13">
        <v>0</v>
      </c>
      <c r="Z546" s="13">
        <v>0.0014048133</v>
      </c>
    </row>
    <row r="547" s="2" customFormat="1" hidden="1" spans="1:26">
      <c r="A547" s="11" t="s">
        <v>935</v>
      </c>
      <c r="B547" s="11" t="s">
        <v>937</v>
      </c>
      <c r="C547" s="14" t="s">
        <v>227</v>
      </c>
      <c r="D547" s="14" t="s">
        <v>938</v>
      </c>
      <c r="E547" s="14" t="s">
        <v>939</v>
      </c>
      <c r="F547" s="3" t="s">
        <v>945</v>
      </c>
      <c r="G547" s="4">
        <v>5</v>
      </c>
      <c r="H547" s="12">
        <v>815.66</v>
      </c>
      <c r="I547" s="12">
        <v>130.986795</v>
      </c>
      <c r="J547" s="13">
        <v>0.1605899455</v>
      </c>
      <c r="K547" s="13">
        <v>0.1605899455</v>
      </c>
      <c r="L547" s="12">
        <v>23.99</v>
      </c>
      <c r="M547" s="13">
        <v>0.1029678113</v>
      </c>
      <c r="N547" s="13">
        <v>0.0187072983</v>
      </c>
      <c r="O547" s="13">
        <v>0.2555231346</v>
      </c>
      <c r="P547" s="13">
        <v>0.2</v>
      </c>
      <c r="Q547" s="13">
        <v>0</v>
      </c>
      <c r="R547" s="13">
        <v>0.1628062611</v>
      </c>
      <c r="S547" s="13">
        <v>0</v>
      </c>
      <c r="T547" s="13">
        <v>0.0887869945</v>
      </c>
      <c r="U547" s="13">
        <v>0.0106185542</v>
      </c>
      <c r="V547" s="13">
        <v>0</v>
      </c>
      <c r="W547" s="13">
        <v>0</v>
      </c>
      <c r="X547" s="13">
        <v>0</v>
      </c>
      <c r="Y547" s="13">
        <v>0</v>
      </c>
      <c r="Z547" s="13">
        <v>0</v>
      </c>
    </row>
    <row r="548" s="2" customFormat="1" hidden="1" spans="1:26">
      <c r="A548" s="11" t="s">
        <v>935</v>
      </c>
      <c r="B548" s="11" t="s">
        <v>937</v>
      </c>
      <c r="C548" s="14" t="s">
        <v>231</v>
      </c>
      <c r="D548" s="14" t="s">
        <v>938</v>
      </c>
      <c r="E548" s="14" t="s">
        <v>939</v>
      </c>
      <c r="F548" s="3" t="s">
        <v>936</v>
      </c>
      <c r="G548" s="4">
        <v>306</v>
      </c>
      <c r="H548" s="12">
        <v>50336.184</v>
      </c>
      <c r="I548" s="12">
        <v>8336.513171</v>
      </c>
      <c r="J548" s="13">
        <v>0.1656167096</v>
      </c>
      <c r="K548" s="13">
        <v>0.1656167096</v>
      </c>
      <c r="L548" s="12">
        <v>24.1907843137</v>
      </c>
      <c r="M548" s="13">
        <v>0.1100536989</v>
      </c>
      <c r="N548" s="13">
        <v>0.037080985</v>
      </c>
      <c r="O548" s="13">
        <v>0.3177734728</v>
      </c>
      <c r="P548" s="13">
        <v>0.0136388566</v>
      </c>
      <c r="Q548" s="13">
        <v>0.0216679343</v>
      </c>
      <c r="R548" s="13">
        <v>0.2009506745</v>
      </c>
      <c r="S548" s="13">
        <v>0</v>
      </c>
      <c r="T548" s="13">
        <v>0.1128029093</v>
      </c>
      <c r="U548" s="13">
        <v>0.0113492903</v>
      </c>
      <c r="V548" s="13">
        <v>0</v>
      </c>
      <c r="W548" s="13">
        <v>0</v>
      </c>
      <c r="X548" s="13">
        <v>0.0009199743</v>
      </c>
      <c r="Y548" s="13">
        <v>0</v>
      </c>
      <c r="Z548" s="13">
        <v>0.0081454938</v>
      </c>
    </row>
    <row r="549" s="2" customFormat="1" hidden="1" spans="1:26">
      <c r="A549" s="11" t="s">
        <v>935</v>
      </c>
      <c r="B549" s="11" t="s">
        <v>937</v>
      </c>
      <c r="C549" s="14" t="s">
        <v>231</v>
      </c>
      <c r="D549" s="14" t="s">
        <v>938</v>
      </c>
      <c r="E549" s="14" t="s">
        <v>939</v>
      </c>
      <c r="F549" s="3" t="s">
        <v>940</v>
      </c>
      <c r="G549" s="4">
        <v>3</v>
      </c>
      <c r="H549" s="12">
        <v>489.396</v>
      </c>
      <c r="I549" s="12">
        <v>84.741021</v>
      </c>
      <c r="J549" s="13">
        <v>0.1731542983</v>
      </c>
      <c r="K549" s="13">
        <v>0.1731542983</v>
      </c>
      <c r="L549" s="12">
        <v>23.99</v>
      </c>
      <c r="M549" s="13">
        <v>0.1109747934</v>
      </c>
      <c r="N549" s="13">
        <v>0.0506160532</v>
      </c>
      <c r="O549" s="13">
        <v>0.3038766152</v>
      </c>
      <c r="P549" s="13">
        <v>0</v>
      </c>
      <c r="Q549" s="13">
        <v>0.0008192343</v>
      </c>
      <c r="R549" s="13">
        <v>0.2367822151</v>
      </c>
      <c r="S549" s="13">
        <v>0</v>
      </c>
      <c r="T549" s="13">
        <v>0.1119911074</v>
      </c>
      <c r="U549" s="13">
        <v>0.0114442782</v>
      </c>
      <c r="V549" s="13">
        <v>0</v>
      </c>
      <c r="W549" s="13">
        <v>0</v>
      </c>
      <c r="X549" s="13">
        <v>0</v>
      </c>
      <c r="Y549" s="13">
        <v>0</v>
      </c>
      <c r="Z549" s="13">
        <v>0.0003414045</v>
      </c>
    </row>
    <row r="550" s="2" customFormat="1" hidden="1" spans="1:26">
      <c r="A550" s="11" t="s">
        <v>935</v>
      </c>
      <c r="B550" s="11" t="s">
        <v>937</v>
      </c>
      <c r="C550" s="14" t="s">
        <v>231</v>
      </c>
      <c r="D550" s="14" t="s">
        <v>938</v>
      </c>
      <c r="E550" s="14" t="s">
        <v>939</v>
      </c>
      <c r="F550" s="3" t="s">
        <v>941</v>
      </c>
      <c r="G550" s="4">
        <v>66</v>
      </c>
      <c r="H550" s="12">
        <v>9898.488</v>
      </c>
      <c r="I550" s="12">
        <v>1286.081057</v>
      </c>
      <c r="J550" s="13">
        <v>0.1299270208</v>
      </c>
      <c r="K550" s="13">
        <v>0.1299270208</v>
      </c>
      <c r="L550" s="12">
        <v>22.0554545454</v>
      </c>
      <c r="M550" s="13">
        <v>0.1207087021</v>
      </c>
      <c r="N550" s="13">
        <v>0.0550557285</v>
      </c>
      <c r="O550" s="13">
        <v>0.3456439003</v>
      </c>
      <c r="P550" s="13">
        <v>0</v>
      </c>
      <c r="Q550" s="13">
        <v>0.0218244052</v>
      </c>
      <c r="R550" s="13">
        <v>0.19263983</v>
      </c>
      <c r="S550" s="13">
        <v>0</v>
      </c>
      <c r="T550" s="13">
        <v>0.1164145473</v>
      </c>
      <c r="U550" s="13">
        <v>0.0124480878</v>
      </c>
      <c r="V550" s="13">
        <v>0</v>
      </c>
      <c r="W550" s="13">
        <v>0</v>
      </c>
      <c r="X550" s="13">
        <v>0</v>
      </c>
      <c r="Y550" s="13">
        <v>0</v>
      </c>
      <c r="Z550" s="13">
        <v>0.0053377775</v>
      </c>
    </row>
    <row r="551" s="2" customFormat="1" hidden="1" spans="1:26">
      <c r="A551" s="11" t="s">
        <v>935</v>
      </c>
      <c r="B551" s="11" t="s">
        <v>937</v>
      </c>
      <c r="C551" s="14" t="s">
        <v>231</v>
      </c>
      <c r="D551" s="14" t="s">
        <v>938</v>
      </c>
      <c r="E551" s="14" t="s">
        <v>939</v>
      </c>
      <c r="F551" s="3" t="s">
        <v>942</v>
      </c>
      <c r="G551" s="4">
        <v>115</v>
      </c>
      <c r="H551" s="12">
        <v>18475.396</v>
      </c>
      <c r="I551" s="12">
        <v>1536.136163</v>
      </c>
      <c r="J551" s="13">
        <v>0.0831449654</v>
      </c>
      <c r="K551" s="13">
        <v>0.0831449654</v>
      </c>
      <c r="L551" s="12">
        <v>23.6258260869</v>
      </c>
      <c r="M551" s="13">
        <v>0.1126853843</v>
      </c>
      <c r="N551" s="13">
        <v>0.0290288573</v>
      </c>
      <c r="O551" s="13">
        <v>0.3263377954</v>
      </c>
      <c r="P551" s="13">
        <v>0.018395492</v>
      </c>
      <c r="Q551" s="13">
        <v>0.0246222894</v>
      </c>
      <c r="R551" s="13">
        <v>0.2834040378</v>
      </c>
      <c r="S551" s="13">
        <v>0</v>
      </c>
      <c r="T551" s="13">
        <v>0.1042742466</v>
      </c>
      <c r="U551" s="13">
        <v>0.0116206829</v>
      </c>
      <c r="V551" s="13">
        <v>0</v>
      </c>
      <c r="W551" s="13">
        <v>0</v>
      </c>
      <c r="X551" s="13">
        <v>0</v>
      </c>
      <c r="Y551" s="13">
        <v>0</v>
      </c>
      <c r="Z551" s="13">
        <v>0.0064862483</v>
      </c>
    </row>
    <row r="552" s="2" customFormat="1" hidden="1" spans="1:26">
      <c r="A552" s="11" t="s">
        <v>935</v>
      </c>
      <c r="B552" s="11" t="s">
        <v>937</v>
      </c>
      <c r="C552" s="14" t="s">
        <v>231</v>
      </c>
      <c r="D552" s="14" t="s">
        <v>938</v>
      </c>
      <c r="E552" s="14" t="s">
        <v>939</v>
      </c>
      <c r="F552" s="3" t="s">
        <v>943</v>
      </c>
      <c r="G552" s="4">
        <v>104</v>
      </c>
      <c r="H552" s="12">
        <v>18046.928</v>
      </c>
      <c r="I552" s="12">
        <v>4763.08463</v>
      </c>
      <c r="J552" s="13">
        <v>0.2639277238</v>
      </c>
      <c r="K552" s="13">
        <v>0.2639277238</v>
      </c>
      <c r="L552" s="12">
        <v>25.5188461538</v>
      </c>
      <c r="M552" s="13">
        <v>0.104326241</v>
      </c>
      <c r="N552" s="13">
        <v>0.0359206553</v>
      </c>
      <c r="O552" s="13">
        <v>0.3021296477</v>
      </c>
      <c r="P552" s="13">
        <v>0.0094161178</v>
      </c>
      <c r="Q552" s="13">
        <v>0.0168757494</v>
      </c>
      <c r="R552" s="13">
        <v>0.1231826704</v>
      </c>
      <c r="S552" s="13">
        <v>0</v>
      </c>
      <c r="T552" s="13">
        <v>0.119142715</v>
      </c>
      <c r="U552" s="13">
        <v>0.0107586461</v>
      </c>
      <c r="V552" s="13">
        <v>0</v>
      </c>
      <c r="W552" s="13">
        <v>0</v>
      </c>
      <c r="X552" s="13">
        <v>0.0014444451</v>
      </c>
      <c r="Y552" s="13">
        <v>0</v>
      </c>
      <c r="Z552" s="13">
        <v>0.012875388</v>
      </c>
    </row>
    <row r="553" s="2" customFormat="1" spans="1:26">
      <c r="A553" s="11" t="s">
        <v>935</v>
      </c>
      <c r="B553" s="11" t="s">
        <v>937</v>
      </c>
      <c r="C553" s="14" t="s">
        <v>231</v>
      </c>
      <c r="D553" s="14" t="s">
        <v>938</v>
      </c>
      <c r="E553" s="14" t="s">
        <v>939</v>
      </c>
      <c r="F553" s="3" t="s">
        <v>944</v>
      </c>
      <c r="G553" s="4">
        <v>18</v>
      </c>
      <c r="H553" s="12">
        <v>3425.976</v>
      </c>
      <c r="I553" s="12">
        <v>666.4703</v>
      </c>
      <c r="J553" s="13">
        <v>0.1945344333</v>
      </c>
      <c r="K553" s="13">
        <v>0.1945344333</v>
      </c>
      <c r="L553" s="12">
        <v>27.99</v>
      </c>
      <c r="M553" s="13">
        <v>0.0951155874</v>
      </c>
      <c r="N553" s="13">
        <v>0.0327493274</v>
      </c>
      <c r="O553" s="13">
        <v>0.2754555198</v>
      </c>
      <c r="P553" s="13">
        <v>0.0515858838</v>
      </c>
      <c r="Q553" s="13">
        <v>0.0335056649</v>
      </c>
      <c r="R553" s="13">
        <v>0.1848513247</v>
      </c>
      <c r="S553" s="13">
        <v>0</v>
      </c>
      <c r="T553" s="13">
        <v>0.1150807828</v>
      </c>
      <c r="U553" s="13">
        <v>0.0098087972</v>
      </c>
      <c r="V553" s="13">
        <v>0</v>
      </c>
      <c r="W553" s="13">
        <v>0</v>
      </c>
      <c r="X553" s="13">
        <v>0.0059078645</v>
      </c>
      <c r="Y553" s="13">
        <v>0</v>
      </c>
      <c r="Z553" s="13">
        <v>0.0014048136</v>
      </c>
    </row>
    <row r="554" s="2" customFormat="1" hidden="1" spans="1:26">
      <c r="A554" s="11" t="s">
        <v>935</v>
      </c>
      <c r="B554" s="11" t="s">
        <v>937</v>
      </c>
      <c r="C554" s="14" t="s">
        <v>235</v>
      </c>
      <c r="D554" s="14" t="s">
        <v>938</v>
      </c>
      <c r="E554" s="14" t="s">
        <v>939</v>
      </c>
      <c r="F554" s="3" t="s">
        <v>936</v>
      </c>
      <c r="G554" s="4">
        <v>102</v>
      </c>
      <c r="H554" s="12">
        <v>15247.98</v>
      </c>
      <c r="I554" s="12">
        <v>478.015986</v>
      </c>
      <c r="J554" s="13">
        <v>0.031349463</v>
      </c>
      <c r="K554" s="13">
        <v>0.031349463</v>
      </c>
      <c r="L554" s="12">
        <v>21.9838235294</v>
      </c>
      <c r="M554" s="13">
        <v>0.1377656465</v>
      </c>
      <c r="N554" s="13">
        <v>0.0417346401</v>
      </c>
      <c r="O554" s="13">
        <v>0.3124579124</v>
      </c>
      <c r="P554" s="13">
        <v>0.1487100586</v>
      </c>
      <c r="Q554" s="13">
        <v>0.015488627</v>
      </c>
      <c r="R554" s="13">
        <v>0.1994770437</v>
      </c>
      <c r="S554" s="13">
        <v>0</v>
      </c>
      <c r="T554" s="13">
        <v>0.098659888</v>
      </c>
      <c r="U554" s="13">
        <v>0.014207086</v>
      </c>
      <c r="V554" s="13">
        <v>-0.0121613485</v>
      </c>
      <c r="W554" s="13">
        <v>-0.0036793281</v>
      </c>
      <c r="X554" s="13">
        <v>0.0006823198</v>
      </c>
      <c r="Y554" s="13">
        <v>0</v>
      </c>
      <c r="Z554" s="13">
        <v>0.015307991</v>
      </c>
    </row>
    <row r="555" s="2" customFormat="1" hidden="1" spans="1:26">
      <c r="A555" s="11" t="s">
        <v>935</v>
      </c>
      <c r="B555" s="11" t="s">
        <v>937</v>
      </c>
      <c r="C555" s="14" t="s">
        <v>235</v>
      </c>
      <c r="D555" s="14" t="s">
        <v>938</v>
      </c>
      <c r="E555" s="14" t="s">
        <v>939</v>
      </c>
      <c r="F555" s="3" t="s">
        <v>940</v>
      </c>
      <c r="G555" s="4">
        <v>5</v>
      </c>
      <c r="H555" s="12">
        <v>829.26</v>
      </c>
      <c r="I555" s="12">
        <v>-92.003706</v>
      </c>
      <c r="J555" s="13">
        <v>-0.1109467549</v>
      </c>
      <c r="K555" s="13">
        <v>-0.1109467549</v>
      </c>
      <c r="L555" s="12">
        <v>24.39</v>
      </c>
      <c r="M555" s="13">
        <v>0.1361913694</v>
      </c>
      <c r="N555" s="13">
        <v>0.0584898765</v>
      </c>
      <c r="O555" s="13">
        <v>0.3087330873</v>
      </c>
      <c r="P555" s="13">
        <v>0.1967199671</v>
      </c>
      <c r="Q555" s="13">
        <v>0.0008192111</v>
      </c>
      <c r="R555" s="13">
        <v>0.3040941972</v>
      </c>
      <c r="S555" s="13">
        <v>0</v>
      </c>
      <c r="T555" s="13">
        <v>0.0915129151</v>
      </c>
      <c r="U555" s="13">
        <v>0.0140447386</v>
      </c>
      <c r="V555" s="13">
        <v>0</v>
      </c>
      <c r="W555" s="13">
        <v>0</v>
      </c>
      <c r="X555" s="13">
        <v>0</v>
      </c>
      <c r="Y555" s="13">
        <v>0</v>
      </c>
      <c r="Z555" s="13">
        <v>0.0003413923</v>
      </c>
    </row>
    <row r="556" s="2" customFormat="1" hidden="1" spans="1:26">
      <c r="A556" s="11" t="s">
        <v>935</v>
      </c>
      <c r="B556" s="11" t="s">
        <v>937</v>
      </c>
      <c r="C556" s="14" t="s">
        <v>235</v>
      </c>
      <c r="D556" s="14" t="s">
        <v>938</v>
      </c>
      <c r="E556" s="14" t="s">
        <v>939</v>
      </c>
      <c r="F556" s="3" t="s">
        <v>941</v>
      </c>
      <c r="G556" s="4">
        <v>30</v>
      </c>
      <c r="H556" s="12">
        <v>3617.396</v>
      </c>
      <c r="I556" s="12">
        <v>-325.890615</v>
      </c>
      <c r="J556" s="13">
        <v>-0.0900898367</v>
      </c>
      <c r="K556" s="13">
        <v>-0.0900898367</v>
      </c>
      <c r="L556" s="12">
        <v>17.7323333333</v>
      </c>
      <c r="M556" s="13">
        <v>0.1561040801</v>
      </c>
      <c r="N556" s="13">
        <v>0.0290331359</v>
      </c>
      <c r="O556" s="13">
        <v>0.3162960317</v>
      </c>
      <c r="P556" s="13">
        <v>0.2254826399</v>
      </c>
      <c r="Q556" s="13">
        <v>0.0065052656</v>
      </c>
      <c r="R556" s="13">
        <v>0.2426898679</v>
      </c>
      <c r="S556" s="13">
        <v>0</v>
      </c>
      <c r="T556" s="13">
        <v>0.0864710416</v>
      </c>
      <c r="U556" s="13">
        <v>0.0160982375</v>
      </c>
      <c r="V556" s="13">
        <v>0.0060717709</v>
      </c>
      <c r="W556" s="13">
        <v>0</v>
      </c>
      <c r="X556" s="13">
        <v>0</v>
      </c>
      <c r="Y556" s="13">
        <v>0</v>
      </c>
      <c r="Z556" s="13">
        <v>0.005337765</v>
      </c>
    </row>
    <row r="557" s="2" customFormat="1" hidden="1" spans="1:26">
      <c r="A557" s="11" t="s">
        <v>935</v>
      </c>
      <c r="B557" s="11" t="s">
        <v>937</v>
      </c>
      <c r="C557" s="14" t="s">
        <v>235</v>
      </c>
      <c r="D557" s="14" t="s">
        <v>938</v>
      </c>
      <c r="E557" s="14" t="s">
        <v>939</v>
      </c>
      <c r="F557" s="3" t="s">
        <v>942</v>
      </c>
      <c r="G557" s="4">
        <v>7</v>
      </c>
      <c r="H557" s="12">
        <v>619.004</v>
      </c>
      <c r="I557" s="12">
        <v>-714.403517</v>
      </c>
      <c r="J557" s="13">
        <v>-1.1541177714</v>
      </c>
      <c r="K557" s="13">
        <v>-1.1541177714</v>
      </c>
      <c r="L557" s="12">
        <v>13.0042857142</v>
      </c>
      <c r="M557" s="13">
        <v>0.1094707514</v>
      </c>
      <c r="N557" s="13">
        <v>0.0264790696</v>
      </c>
      <c r="O557" s="13">
        <v>0.256728551</v>
      </c>
      <c r="P557" s="13">
        <v>1.5548720202</v>
      </c>
      <c r="Q557" s="13">
        <v>0.0237805135</v>
      </c>
      <c r="R557" s="13">
        <v>0.2690467315</v>
      </c>
      <c r="S557" s="13">
        <v>0</v>
      </c>
      <c r="T557" s="13">
        <v>-0.0383390091</v>
      </c>
      <c r="U557" s="13">
        <v>0.0112891742</v>
      </c>
      <c r="V557" s="13">
        <v>0.024936834</v>
      </c>
      <c r="W557" s="13">
        <v>-0.090633214</v>
      </c>
      <c r="X557" s="13">
        <v>0</v>
      </c>
      <c r="Y557" s="13">
        <v>0</v>
      </c>
      <c r="Z557" s="13">
        <v>0.006486349</v>
      </c>
    </row>
    <row r="558" s="2" customFormat="1" hidden="1" spans="1:26">
      <c r="A558" s="11" t="s">
        <v>935</v>
      </c>
      <c r="B558" s="11" t="s">
        <v>937</v>
      </c>
      <c r="C558" s="14" t="s">
        <v>235</v>
      </c>
      <c r="D558" s="14" t="s">
        <v>938</v>
      </c>
      <c r="E558" s="14" t="s">
        <v>939</v>
      </c>
      <c r="F558" s="3" t="s">
        <v>943</v>
      </c>
      <c r="G558" s="4">
        <v>24</v>
      </c>
      <c r="H558" s="12">
        <v>4282.368</v>
      </c>
      <c r="I558" s="12">
        <v>932.335604</v>
      </c>
      <c r="J558" s="13">
        <v>0.2177149661</v>
      </c>
      <c r="K558" s="13">
        <v>0.2177149661</v>
      </c>
      <c r="L558" s="12">
        <v>26.24</v>
      </c>
      <c r="M558" s="13">
        <v>0.1265894626</v>
      </c>
      <c r="N558" s="13">
        <v>0.0116845296</v>
      </c>
      <c r="O558" s="13">
        <v>0.2980182926</v>
      </c>
      <c r="P558" s="13">
        <v>0</v>
      </c>
      <c r="Q558" s="13">
        <v>0.0106708526</v>
      </c>
      <c r="R558" s="13">
        <v>0.1919821556</v>
      </c>
      <c r="S558" s="13">
        <v>0</v>
      </c>
      <c r="T558" s="13">
        <v>0.1149803099</v>
      </c>
      <c r="U558" s="13">
        <v>0.0130545417</v>
      </c>
      <c r="V558" s="13">
        <v>0</v>
      </c>
      <c r="W558" s="13">
        <v>0</v>
      </c>
      <c r="X558" s="13">
        <v>0.0024294967</v>
      </c>
      <c r="Y558" s="13">
        <v>0</v>
      </c>
      <c r="Z558" s="13">
        <v>0.012875392</v>
      </c>
    </row>
    <row r="559" s="2" customFormat="1" spans="1:26">
      <c r="A559" s="11" t="s">
        <v>935</v>
      </c>
      <c r="B559" s="11" t="s">
        <v>937</v>
      </c>
      <c r="C559" s="14" t="s">
        <v>235</v>
      </c>
      <c r="D559" s="14" t="s">
        <v>938</v>
      </c>
      <c r="E559" s="14" t="s">
        <v>939</v>
      </c>
      <c r="F559" s="3" t="s">
        <v>944</v>
      </c>
      <c r="G559" s="4">
        <v>34</v>
      </c>
      <c r="H559" s="12">
        <v>5546.488</v>
      </c>
      <c r="I559" s="12">
        <v>737.645887</v>
      </c>
      <c r="J559" s="13">
        <v>0.132993326</v>
      </c>
      <c r="K559" s="13">
        <v>0.132993326</v>
      </c>
      <c r="L559" s="12">
        <v>23.99</v>
      </c>
      <c r="M559" s="13">
        <v>0.1384621717</v>
      </c>
      <c r="N559" s="13">
        <v>0.0709059718</v>
      </c>
      <c r="O559" s="13">
        <v>0.3284701959</v>
      </c>
      <c r="P559" s="13">
        <v>0.0294117647</v>
      </c>
      <c r="Q559" s="13">
        <v>0.0273221656</v>
      </c>
      <c r="R559" s="13">
        <v>0.1586215521</v>
      </c>
      <c r="S559" s="13">
        <v>0</v>
      </c>
      <c r="T559" s="13">
        <v>0.1118235539</v>
      </c>
      <c r="U559" s="13">
        <v>0.0142789152</v>
      </c>
      <c r="V559" s="13">
        <v>-0.0401760537</v>
      </c>
      <c r="W559" s="13">
        <v>0</v>
      </c>
      <c r="X559" s="13">
        <v>0</v>
      </c>
      <c r="Y559" s="13">
        <v>0</v>
      </c>
      <c r="Z559" s="13">
        <v>0.0278864364</v>
      </c>
    </row>
    <row r="560" s="2" customFormat="1" hidden="1" spans="1:26">
      <c r="A560" s="11" t="s">
        <v>935</v>
      </c>
      <c r="B560" s="11" t="s">
        <v>937</v>
      </c>
      <c r="C560" s="14" t="s">
        <v>235</v>
      </c>
      <c r="D560" s="14" t="s">
        <v>938</v>
      </c>
      <c r="E560" s="14" t="s">
        <v>939</v>
      </c>
      <c r="F560" s="3" t="s">
        <v>945</v>
      </c>
      <c r="G560" s="4">
        <v>2</v>
      </c>
      <c r="H560" s="12">
        <v>353.464</v>
      </c>
      <c r="I560" s="12">
        <v>-59.667667</v>
      </c>
      <c r="J560" s="13">
        <v>-0.1688083284</v>
      </c>
      <c r="K560" s="13">
        <v>-0.1688083284</v>
      </c>
      <c r="L560" s="12">
        <v>25.99</v>
      </c>
      <c r="M560" s="13">
        <v>0.1278071373</v>
      </c>
      <c r="N560" s="13">
        <v>0.0654495677</v>
      </c>
      <c r="O560" s="13">
        <v>0.3031935359</v>
      </c>
      <c r="P560" s="13">
        <v>0.4615236629</v>
      </c>
      <c r="Q560" s="13">
        <v>0</v>
      </c>
      <c r="R560" s="13">
        <v>0.1218559259</v>
      </c>
      <c r="S560" s="13">
        <v>0</v>
      </c>
      <c r="T560" s="13">
        <v>0.0757983839</v>
      </c>
      <c r="U560" s="13">
        <v>0.0131801145</v>
      </c>
      <c r="V560" s="13">
        <v>0</v>
      </c>
      <c r="W560" s="13">
        <v>0</v>
      </c>
      <c r="X560" s="13">
        <v>0</v>
      </c>
      <c r="Y560" s="13">
        <v>0</v>
      </c>
      <c r="Z560" s="13">
        <v>0</v>
      </c>
    </row>
    <row r="561" s="2" customFormat="1" hidden="1" spans="1:26">
      <c r="A561" s="11" t="s">
        <v>935</v>
      </c>
      <c r="B561" s="11" t="s">
        <v>937</v>
      </c>
      <c r="C561" s="14" t="s">
        <v>239</v>
      </c>
      <c r="D561" s="14" t="s">
        <v>938</v>
      </c>
      <c r="E561" s="14" t="s">
        <v>939</v>
      </c>
      <c r="F561" s="3" t="s">
        <v>936</v>
      </c>
      <c r="G561" s="4">
        <v>79</v>
      </c>
      <c r="H561" s="12">
        <v>11954.876</v>
      </c>
      <c r="I561" s="12">
        <v>1860.715801</v>
      </c>
      <c r="J561" s="13">
        <v>0.1556449268</v>
      </c>
      <c r="K561" s="13">
        <v>0.1556449268</v>
      </c>
      <c r="L561" s="12">
        <v>22.2540506328</v>
      </c>
      <c r="M561" s="13">
        <v>0.1303809849</v>
      </c>
      <c r="N561" s="13">
        <v>0.0261169939</v>
      </c>
      <c r="O561" s="13">
        <v>0.3016717195</v>
      </c>
      <c r="P561" s="13">
        <v>0.0761858174</v>
      </c>
      <c r="Q561" s="13">
        <v>0.027229178</v>
      </c>
      <c r="R561" s="13">
        <v>0.164415422</v>
      </c>
      <c r="S561" s="13">
        <v>0</v>
      </c>
      <c r="T561" s="13">
        <v>0.1033690353</v>
      </c>
      <c r="U561" s="13">
        <v>0.0134455387</v>
      </c>
      <c r="V561" s="13">
        <v>0.0003583475</v>
      </c>
      <c r="W561" s="13">
        <v>-0.0059675827</v>
      </c>
      <c r="X561" s="13">
        <v>0.0012911885</v>
      </c>
      <c r="Y561" s="13">
        <v>0</v>
      </c>
      <c r="Z561" s="13">
        <v>0.0058584298</v>
      </c>
    </row>
    <row r="562" s="2" customFormat="1" hidden="1" spans="1:26">
      <c r="A562" s="11" t="s">
        <v>935</v>
      </c>
      <c r="B562" s="11" t="s">
        <v>937</v>
      </c>
      <c r="C562" s="14" t="s">
        <v>239</v>
      </c>
      <c r="D562" s="14" t="s">
        <v>938</v>
      </c>
      <c r="E562" s="14" t="s">
        <v>939</v>
      </c>
      <c r="F562" s="3" t="s">
        <v>940</v>
      </c>
      <c r="G562" s="4">
        <v>3</v>
      </c>
      <c r="H562" s="12">
        <v>448.596</v>
      </c>
      <c r="I562" s="12">
        <v>-172.811102</v>
      </c>
      <c r="J562" s="13">
        <v>-0.385226578</v>
      </c>
      <c r="K562" s="13">
        <v>-0.385226578</v>
      </c>
      <c r="L562" s="12">
        <v>21.99</v>
      </c>
      <c r="M562" s="13">
        <v>0.1336381911</v>
      </c>
      <c r="N562" s="13">
        <v>0.0333048578</v>
      </c>
      <c r="O562" s="13">
        <v>0.2773988176</v>
      </c>
      <c r="P562" s="13">
        <v>0</v>
      </c>
      <c r="Q562" s="13">
        <v>0.0008192226</v>
      </c>
      <c r="R562" s="13">
        <v>0.8809222061</v>
      </c>
      <c r="S562" s="13">
        <v>0</v>
      </c>
      <c r="T562" s="13">
        <v>0.0450204638</v>
      </c>
      <c r="U562" s="13">
        <v>0.013781438</v>
      </c>
      <c r="V562" s="13">
        <v>0</v>
      </c>
      <c r="W562" s="13">
        <v>0</v>
      </c>
      <c r="X562" s="13">
        <v>0</v>
      </c>
      <c r="Y562" s="13">
        <v>0</v>
      </c>
      <c r="Z562" s="13">
        <v>0.0003413806</v>
      </c>
    </row>
    <row r="563" s="2" customFormat="1" hidden="1" spans="1:26">
      <c r="A563" s="11" t="s">
        <v>935</v>
      </c>
      <c r="B563" s="11" t="s">
        <v>937</v>
      </c>
      <c r="C563" s="14" t="s">
        <v>239</v>
      </c>
      <c r="D563" s="14" t="s">
        <v>938</v>
      </c>
      <c r="E563" s="14" t="s">
        <v>939</v>
      </c>
      <c r="F563" s="3" t="s">
        <v>941</v>
      </c>
      <c r="G563" s="4">
        <v>12</v>
      </c>
      <c r="H563" s="12">
        <v>1794.384</v>
      </c>
      <c r="I563" s="12">
        <v>315.374958</v>
      </c>
      <c r="J563" s="13">
        <v>0.1757566708</v>
      </c>
      <c r="K563" s="13">
        <v>0.1757566708</v>
      </c>
      <c r="L563" s="12">
        <v>21.99</v>
      </c>
      <c r="M563" s="13">
        <v>0.1336381911</v>
      </c>
      <c r="N563" s="13">
        <v>0.0301975162</v>
      </c>
      <c r="O563" s="13">
        <v>0.2930877671</v>
      </c>
      <c r="P563" s="13">
        <v>0.0833333333</v>
      </c>
      <c r="Q563" s="13">
        <v>0.0075550807</v>
      </c>
      <c r="R563" s="13">
        <v>0.1536666548</v>
      </c>
      <c r="S563" s="13">
        <v>0</v>
      </c>
      <c r="T563" s="13">
        <v>0.1036455964</v>
      </c>
      <c r="U563" s="13">
        <v>0.013781438</v>
      </c>
      <c r="V563" s="13">
        <v>0</v>
      </c>
      <c r="W563" s="13">
        <v>0</v>
      </c>
      <c r="X563" s="13">
        <v>0</v>
      </c>
      <c r="Y563" s="13">
        <v>0</v>
      </c>
      <c r="Z563" s="13">
        <v>0.005337751</v>
      </c>
    </row>
    <row r="564" s="2" customFormat="1" hidden="1" spans="1:26">
      <c r="A564" s="11" t="s">
        <v>935</v>
      </c>
      <c r="B564" s="11" t="s">
        <v>937</v>
      </c>
      <c r="C564" s="14" t="s">
        <v>239</v>
      </c>
      <c r="D564" s="14" t="s">
        <v>938</v>
      </c>
      <c r="E564" s="14" t="s">
        <v>939</v>
      </c>
      <c r="F564" s="3" t="s">
        <v>942</v>
      </c>
      <c r="G564" s="4">
        <v>18</v>
      </c>
      <c r="H564" s="12">
        <v>2554.624</v>
      </c>
      <c r="I564" s="12">
        <v>209.639121</v>
      </c>
      <c r="J564" s="13">
        <v>0.0820626131</v>
      </c>
      <c r="K564" s="13">
        <v>0.0820626131</v>
      </c>
      <c r="L564" s="12">
        <v>20.8711111111</v>
      </c>
      <c r="M564" s="13">
        <v>0.1329801027</v>
      </c>
      <c r="N564" s="13">
        <v>0.0249272452</v>
      </c>
      <c r="O564" s="13">
        <v>0.3122604344</v>
      </c>
      <c r="P564" s="13">
        <v>0.1756015758</v>
      </c>
      <c r="Q564" s="13">
        <v>0.0405920017</v>
      </c>
      <c r="R564" s="13">
        <v>0.1309863627</v>
      </c>
      <c r="S564" s="13">
        <v>0</v>
      </c>
      <c r="T564" s="13">
        <v>0.097290247</v>
      </c>
      <c r="U564" s="13">
        <v>0.0137135727</v>
      </c>
      <c r="V564" s="13">
        <v>0.0016769591</v>
      </c>
      <c r="W564" s="13">
        <v>-0.018577335</v>
      </c>
      <c r="X564" s="13">
        <v>0</v>
      </c>
      <c r="Y564" s="13">
        <v>0</v>
      </c>
      <c r="Z564" s="13">
        <v>0.0064862202</v>
      </c>
    </row>
    <row r="565" s="2" customFormat="1" hidden="1" spans="1:26">
      <c r="A565" s="11" t="s">
        <v>935</v>
      </c>
      <c r="B565" s="11" t="s">
        <v>937</v>
      </c>
      <c r="C565" s="14" t="s">
        <v>239</v>
      </c>
      <c r="D565" s="14" t="s">
        <v>938</v>
      </c>
      <c r="E565" s="14" t="s">
        <v>939</v>
      </c>
      <c r="F565" s="3" t="s">
        <v>943</v>
      </c>
      <c r="G565" s="4">
        <v>19</v>
      </c>
      <c r="H565" s="12">
        <v>2936.308</v>
      </c>
      <c r="I565" s="12">
        <v>600.393222</v>
      </c>
      <c r="J565" s="13">
        <v>0.2044721541</v>
      </c>
      <c r="K565" s="13">
        <v>0.2044721541</v>
      </c>
      <c r="L565" s="12">
        <v>22.7268421052</v>
      </c>
      <c r="M565" s="13">
        <v>0.1293054182</v>
      </c>
      <c r="N565" s="13">
        <v>0.0252384899</v>
      </c>
      <c r="O565" s="13">
        <v>0.3036057525</v>
      </c>
      <c r="P565" s="13">
        <v>0.0532410087</v>
      </c>
      <c r="Q565" s="13">
        <v>0.0383961004</v>
      </c>
      <c r="R565" s="13">
        <v>0.1192839384</v>
      </c>
      <c r="S565" s="13">
        <v>0</v>
      </c>
      <c r="T565" s="13">
        <v>0.1083810009</v>
      </c>
      <c r="U565" s="13">
        <v>0.0133346208</v>
      </c>
      <c r="V565" s="13">
        <v>0</v>
      </c>
      <c r="W565" s="13">
        <v>-0.0081338899</v>
      </c>
      <c r="X565" s="13">
        <v>0</v>
      </c>
      <c r="Y565" s="13">
        <v>0</v>
      </c>
      <c r="Z565" s="13">
        <v>0.0128754054</v>
      </c>
    </row>
    <row r="566" s="2" customFormat="1" spans="1:26">
      <c r="A566" s="11" t="s">
        <v>935</v>
      </c>
      <c r="B566" s="11" t="s">
        <v>937</v>
      </c>
      <c r="C566" s="14" t="s">
        <v>239</v>
      </c>
      <c r="D566" s="14" t="s">
        <v>938</v>
      </c>
      <c r="E566" s="14" t="s">
        <v>939</v>
      </c>
      <c r="F566" s="3" t="s">
        <v>944</v>
      </c>
      <c r="G566" s="4">
        <v>27</v>
      </c>
      <c r="H566" s="12">
        <v>4220.964</v>
      </c>
      <c r="I566" s="12">
        <v>923.148512</v>
      </c>
      <c r="J566" s="13">
        <v>0.2187056113</v>
      </c>
      <c r="K566" s="13">
        <v>0.2187056113</v>
      </c>
      <c r="L566" s="12">
        <v>22.99</v>
      </c>
      <c r="M566" s="13">
        <v>0.1278253076</v>
      </c>
      <c r="N566" s="13">
        <v>0.0249495942</v>
      </c>
      <c r="O566" s="13">
        <v>0.3001466015</v>
      </c>
      <c r="P566" s="13">
        <v>0.037037037</v>
      </c>
      <c r="Q566" s="13">
        <v>0.0225439383</v>
      </c>
      <c r="R566" s="13">
        <v>0.1412130955</v>
      </c>
      <c r="S566" s="13">
        <v>0</v>
      </c>
      <c r="T566" s="13">
        <v>0.1096450952</v>
      </c>
      <c r="U566" s="13">
        <v>0.0131819844</v>
      </c>
      <c r="V566" s="13">
        <v>0</v>
      </c>
      <c r="W566" s="13">
        <v>0</v>
      </c>
      <c r="X566" s="13">
        <v>0.003346919</v>
      </c>
      <c r="Y566" s="13">
        <v>0</v>
      </c>
      <c r="Z566" s="13">
        <v>0.0014048153</v>
      </c>
    </row>
    <row r="567" s="2" customFormat="1" hidden="1" spans="1:26">
      <c r="A567" s="11" t="s">
        <v>935</v>
      </c>
      <c r="B567" s="11" t="s">
        <v>937</v>
      </c>
      <c r="C567" s="14" t="s">
        <v>239</v>
      </c>
      <c r="D567" s="14" t="s">
        <v>938</v>
      </c>
      <c r="E567" s="14" t="s">
        <v>939</v>
      </c>
      <c r="F567" s="3" t="s">
        <v>945</v>
      </c>
      <c r="G567" s="4">
        <v>0</v>
      </c>
      <c r="H567" s="12">
        <v>0</v>
      </c>
      <c r="I567" s="12">
        <v>-15.02891</v>
      </c>
      <c r="J567" s="13"/>
      <c r="K567" s="13"/>
      <c r="L567" s="12"/>
      <c r="M567" s="13"/>
      <c r="N567" s="13"/>
      <c r="O567" s="13"/>
      <c r="P567" s="13"/>
      <c r="Q567" s="13"/>
      <c r="R567" s="13"/>
      <c r="S567" s="13"/>
      <c r="T567" s="13"/>
      <c r="U567" s="13"/>
      <c r="V567" s="13"/>
      <c r="W567" s="13"/>
      <c r="X567" s="13"/>
      <c r="Y567" s="13"/>
      <c r="Z567" s="13"/>
    </row>
    <row r="568" s="2" customFormat="1" hidden="1" spans="1:26">
      <c r="A568" s="11" t="s">
        <v>935</v>
      </c>
      <c r="B568" s="11" t="s">
        <v>937</v>
      </c>
      <c r="C568" s="14" t="s">
        <v>243</v>
      </c>
      <c r="D568" s="14" t="s">
        <v>938</v>
      </c>
      <c r="E568" s="14" t="s">
        <v>939</v>
      </c>
      <c r="F568" s="3" t="s">
        <v>936</v>
      </c>
      <c r="G568" s="4">
        <v>60</v>
      </c>
      <c r="H568" s="12">
        <v>9271.12</v>
      </c>
      <c r="I568" s="12">
        <v>538.797561</v>
      </c>
      <c r="J568" s="13">
        <v>0.0581156927</v>
      </c>
      <c r="K568" s="13">
        <v>0.0581156927</v>
      </c>
      <c r="L568" s="12">
        <v>22.7233333333</v>
      </c>
      <c r="M568" s="13">
        <v>0.1253564531</v>
      </c>
      <c r="N568" s="13">
        <v>0.0265815354</v>
      </c>
      <c r="O568" s="13">
        <v>0.321761772</v>
      </c>
      <c r="P568" s="13">
        <v>0.0168622561</v>
      </c>
      <c r="Q568" s="13">
        <v>0.0624061914</v>
      </c>
      <c r="R568" s="13">
        <v>0.262896813</v>
      </c>
      <c r="S568" s="13">
        <v>0</v>
      </c>
      <c r="T568" s="13">
        <v>0.1078480269</v>
      </c>
      <c r="U568" s="13">
        <v>0.012927383</v>
      </c>
      <c r="V568" s="13">
        <v>0</v>
      </c>
      <c r="W568" s="13">
        <v>0</v>
      </c>
      <c r="X568" s="13">
        <v>0</v>
      </c>
      <c r="Y568" s="13">
        <v>0</v>
      </c>
      <c r="Z568" s="13">
        <v>0.0052438758</v>
      </c>
    </row>
    <row r="569" s="2" customFormat="1" hidden="1" spans="1:26">
      <c r="A569" s="11" t="s">
        <v>935</v>
      </c>
      <c r="B569" s="11" t="s">
        <v>937</v>
      </c>
      <c r="C569" s="14" t="s">
        <v>243</v>
      </c>
      <c r="D569" s="14" t="s">
        <v>938</v>
      </c>
      <c r="E569" s="14" t="s">
        <v>939</v>
      </c>
      <c r="F569" s="3" t="s">
        <v>941</v>
      </c>
      <c r="G569" s="4">
        <v>11</v>
      </c>
      <c r="H569" s="12">
        <v>1756.372</v>
      </c>
      <c r="I569" s="12">
        <v>98.007142</v>
      </c>
      <c r="J569" s="13">
        <v>0.055800902</v>
      </c>
      <c r="K569" s="13">
        <v>0.055800902</v>
      </c>
      <c r="L569" s="12">
        <v>23.4809090908</v>
      </c>
      <c r="M569" s="13">
        <v>0.1213120181</v>
      </c>
      <c r="N569" s="13">
        <v>0.0350048452</v>
      </c>
      <c r="O569" s="13">
        <v>0.2983855356</v>
      </c>
      <c r="P569" s="13">
        <v>0</v>
      </c>
      <c r="Q569" s="13">
        <v>0.0137772243</v>
      </c>
      <c r="R569" s="13">
        <v>0.3622037272</v>
      </c>
      <c r="S569" s="13">
        <v>0</v>
      </c>
      <c r="T569" s="13">
        <v>0.0956676603</v>
      </c>
      <c r="U569" s="13">
        <v>0.0125103007</v>
      </c>
      <c r="V569" s="13">
        <v>0</v>
      </c>
      <c r="W569" s="13">
        <v>0</v>
      </c>
      <c r="X569" s="13">
        <v>0</v>
      </c>
      <c r="Y569" s="13">
        <v>0</v>
      </c>
      <c r="Z569" s="13">
        <v>0.005337786</v>
      </c>
    </row>
    <row r="570" s="2" customFormat="1" hidden="1" spans="1:26">
      <c r="A570" s="11" t="s">
        <v>935</v>
      </c>
      <c r="B570" s="11" t="s">
        <v>937</v>
      </c>
      <c r="C570" s="14" t="s">
        <v>243</v>
      </c>
      <c r="D570" s="14" t="s">
        <v>938</v>
      </c>
      <c r="E570" s="14" t="s">
        <v>939</v>
      </c>
      <c r="F570" s="3" t="s">
        <v>942</v>
      </c>
      <c r="G570" s="4">
        <v>17</v>
      </c>
      <c r="H570" s="12">
        <v>2512.124</v>
      </c>
      <c r="I570" s="12">
        <v>82.853994</v>
      </c>
      <c r="J570" s="13">
        <v>0.0329816497</v>
      </c>
      <c r="K570" s="13">
        <v>0.0329816497</v>
      </c>
      <c r="L570" s="12">
        <v>21.7311764705</v>
      </c>
      <c r="M570" s="13">
        <v>0.1310797174</v>
      </c>
      <c r="N570" s="13">
        <v>0.0255439122</v>
      </c>
      <c r="O570" s="13">
        <v>0.3396042552</v>
      </c>
      <c r="P570" s="13">
        <v>0</v>
      </c>
      <c r="Q570" s="13">
        <v>0.0824477776</v>
      </c>
      <c r="R570" s="13">
        <v>0.2519703644</v>
      </c>
      <c r="S570" s="13">
        <v>0</v>
      </c>
      <c r="T570" s="13">
        <v>0.1163684595</v>
      </c>
      <c r="U570" s="13">
        <v>0.0135175946</v>
      </c>
      <c r="V570" s="13">
        <v>0</v>
      </c>
      <c r="W570" s="13">
        <v>0</v>
      </c>
      <c r="X570" s="13">
        <v>0</v>
      </c>
      <c r="Y570" s="13">
        <v>0</v>
      </c>
      <c r="Z570" s="13">
        <v>0.0064862689</v>
      </c>
    </row>
    <row r="571" s="2" customFormat="1" hidden="1" spans="1:26">
      <c r="A571" s="11" t="s">
        <v>935</v>
      </c>
      <c r="B571" s="11" t="s">
        <v>937</v>
      </c>
      <c r="C571" s="14" t="s">
        <v>243</v>
      </c>
      <c r="D571" s="14" t="s">
        <v>938</v>
      </c>
      <c r="E571" s="14" t="s">
        <v>939</v>
      </c>
      <c r="F571" s="3" t="s">
        <v>943</v>
      </c>
      <c r="G571" s="4">
        <v>9</v>
      </c>
      <c r="H571" s="12">
        <v>1406.988</v>
      </c>
      <c r="I571" s="12">
        <v>44.051933</v>
      </c>
      <c r="J571" s="13">
        <v>0.0313093878</v>
      </c>
      <c r="K571" s="13">
        <v>0.0313093878</v>
      </c>
      <c r="L571" s="12">
        <v>22.99</v>
      </c>
      <c r="M571" s="13">
        <v>0.1239024128</v>
      </c>
      <c r="N571" s="13">
        <v>0.0241452485</v>
      </c>
      <c r="O571" s="13">
        <v>0.3210091344</v>
      </c>
      <c r="P571" s="13">
        <v>0</v>
      </c>
      <c r="Q571" s="13">
        <v>0.1293902918</v>
      </c>
      <c r="R571" s="13">
        <v>0.2367176769</v>
      </c>
      <c r="S571" s="13">
        <v>0</v>
      </c>
      <c r="T571" s="13">
        <v>0.1078729882</v>
      </c>
      <c r="U571" s="13">
        <v>0.0127774352</v>
      </c>
      <c r="V571" s="13">
        <v>0</v>
      </c>
      <c r="W571" s="13">
        <v>0</v>
      </c>
      <c r="X571" s="13">
        <v>0</v>
      </c>
      <c r="Y571" s="13">
        <v>0</v>
      </c>
      <c r="Z571" s="13">
        <v>0.0128754239</v>
      </c>
    </row>
    <row r="572" s="2" customFormat="1" spans="1:26">
      <c r="A572" s="11" t="s">
        <v>935</v>
      </c>
      <c r="B572" s="11" t="s">
        <v>937</v>
      </c>
      <c r="C572" s="14" t="s">
        <v>243</v>
      </c>
      <c r="D572" s="14" t="s">
        <v>938</v>
      </c>
      <c r="E572" s="14" t="s">
        <v>939</v>
      </c>
      <c r="F572" s="3" t="s">
        <v>944</v>
      </c>
      <c r="G572" s="4">
        <v>22</v>
      </c>
      <c r="H572" s="12">
        <v>3439.304</v>
      </c>
      <c r="I572" s="12">
        <v>291.048133</v>
      </c>
      <c r="J572" s="13">
        <v>0.084624137</v>
      </c>
      <c r="K572" s="13">
        <v>0.084624137</v>
      </c>
      <c r="L572" s="12">
        <v>22.99</v>
      </c>
      <c r="M572" s="13">
        <v>0.1239024128</v>
      </c>
      <c r="N572" s="13">
        <v>0.0241452485</v>
      </c>
      <c r="O572" s="13">
        <v>0.3210091344</v>
      </c>
      <c r="P572" s="13">
        <v>0.0454545454</v>
      </c>
      <c r="Q572" s="13">
        <v>0.0480352216</v>
      </c>
      <c r="R572" s="13">
        <v>0.2308136046</v>
      </c>
      <c r="S572" s="13">
        <v>0</v>
      </c>
      <c r="T572" s="13">
        <v>0.1078334453</v>
      </c>
      <c r="U572" s="13">
        <v>0.0127774352</v>
      </c>
      <c r="V572" s="13">
        <v>0</v>
      </c>
      <c r="W572" s="13">
        <v>0</v>
      </c>
      <c r="X572" s="13">
        <v>0</v>
      </c>
      <c r="Y572" s="13">
        <v>0</v>
      </c>
      <c r="Z572" s="13">
        <v>0.0014048147</v>
      </c>
    </row>
    <row r="573" s="2" customFormat="1" hidden="1" spans="1:26">
      <c r="A573" s="11" t="s">
        <v>935</v>
      </c>
      <c r="B573" s="11" t="s">
        <v>937</v>
      </c>
      <c r="C573" s="14" t="s">
        <v>243</v>
      </c>
      <c r="D573" s="14" t="s">
        <v>938</v>
      </c>
      <c r="E573" s="14" t="s">
        <v>939</v>
      </c>
      <c r="F573" s="3" t="s">
        <v>945</v>
      </c>
      <c r="G573" s="4">
        <v>1</v>
      </c>
      <c r="H573" s="12">
        <v>156.332</v>
      </c>
      <c r="I573" s="12">
        <v>22.836359</v>
      </c>
      <c r="J573" s="13">
        <v>0.1460760368</v>
      </c>
      <c r="K573" s="13">
        <v>0.1460760368</v>
      </c>
      <c r="L573" s="12">
        <v>22.99</v>
      </c>
      <c r="M573" s="13">
        <v>0.1239024128</v>
      </c>
      <c r="N573" s="13">
        <v>0.0241452485</v>
      </c>
      <c r="O573" s="13">
        <v>0.3210091344</v>
      </c>
      <c r="P573" s="13">
        <v>0</v>
      </c>
      <c r="Q573" s="13">
        <v>0</v>
      </c>
      <c r="R573" s="13">
        <v>0.2642167437</v>
      </c>
      <c r="S573" s="13">
        <v>0</v>
      </c>
      <c r="T573" s="13">
        <v>0.1078729882</v>
      </c>
      <c r="U573" s="13">
        <v>0.0127774352</v>
      </c>
      <c r="V573" s="13">
        <v>0</v>
      </c>
      <c r="W573" s="13">
        <v>0</v>
      </c>
      <c r="X573" s="13">
        <v>0</v>
      </c>
      <c r="Y573" s="13">
        <v>0</v>
      </c>
      <c r="Z573" s="13">
        <v>0</v>
      </c>
    </row>
    <row r="574" s="2" customFormat="1" hidden="1" spans="1:26">
      <c r="A574" s="11" t="s">
        <v>935</v>
      </c>
      <c r="B574" s="11" t="s">
        <v>937</v>
      </c>
      <c r="C574" s="14" t="s">
        <v>247</v>
      </c>
      <c r="D574" s="14" t="s">
        <v>938</v>
      </c>
      <c r="E574" s="14" t="s">
        <v>939</v>
      </c>
      <c r="F574" s="3" t="s">
        <v>936</v>
      </c>
      <c r="G574" s="4">
        <v>11</v>
      </c>
      <c r="H574" s="12">
        <v>1753.652</v>
      </c>
      <c r="I574" s="12">
        <v>585.073947</v>
      </c>
      <c r="J574" s="13">
        <v>0.3336317279</v>
      </c>
      <c r="K574" s="13">
        <v>0.3336317279</v>
      </c>
      <c r="L574" s="12">
        <v>23.4445454545</v>
      </c>
      <c r="M574" s="13">
        <v>0.1062626952</v>
      </c>
      <c r="N574" s="13">
        <v>0.0527279488</v>
      </c>
      <c r="O574" s="13">
        <v>0.2614680677</v>
      </c>
      <c r="P574" s="13">
        <v>0</v>
      </c>
      <c r="Q574" s="13">
        <v>0.0259672626</v>
      </c>
      <c r="R574" s="13">
        <v>0.0877684272</v>
      </c>
      <c r="S574" s="13">
        <v>0</v>
      </c>
      <c r="T574" s="13">
        <v>0.1199348559</v>
      </c>
      <c r="U574" s="13">
        <v>0.0109583435</v>
      </c>
      <c r="V574" s="13">
        <v>0</v>
      </c>
      <c r="W574" s="13">
        <v>0</v>
      </c>
      <c r="X574" s="13">
        <v>0</v>
      </c>
      <c r="Y574" s="13">
        <v>0</v>
      </c>
      <c r="Z574" s="13">
        <v>0.0012806708</v>
      </c>
    </row>
    <row r="575" s="2" customFormat="1" hidden="1" spans="1:26">
      <c r="A575" s="11" t="s">
        <v>935</v>
      </c>
      <c r="B575" s="11" t="s">
        <v>937</v>
      </c>
      <c r="C575" s="14" t="s">
        <v>247</v>
      </c>
      <c r="D575" s="14" t="s">
        <v>938</v>
      </c>
      <c r="E575" s="14" t="s">
        <v>939</v>
      </c>
      <c r="F575" s="3" t="s">
        <v>943</v>
      </c>
      <c r="G575" s="4">
        <v>0</v>
      </c>
      <c r="H575" s="12">
        <v>0</v>
      </c>
      <c r="I575" s="12">
        <v>-2.7846</v>
      </c>
      <c r="J575" s="13"/>
      <c r="K575" s="13"/>
      <c r="L575" s="12"/>
      <c r="M575" s="13"/>
      <c r="N575" s="13"/>
      <c r="O575" s="13"/>
      <c r="P575" s="13"/>
      <c r="Q575" s="13"/>
      <c r="R575" s="13"/>
      <c r="S575" s="13"/>
      <c r="T575" s="13"/>
      <c r="U575" s="13"/>
      <c r="V575" s="13"/>
      <c r="W575" s="13"/>
      <c r="X575" s="13"/>
      <c r="Y575" s="13"/>
      <c r="Z575" s="13"/>
    </row>
    <row r="576" s="2" customFormat="1" spans="1:26">
      <c r="A576" s="11" t="s">
        <v>935</v>
      </c>
      <c r="B576" s="11" t="s">
        <v>937</v>
      </c>
      <c r="C576" s="14" t="s">
        <v>247</v>
      </c>
      <c r="D576" s="14" t="s">
        <v>938</v>
      </c>
      <c r="E576" s="14" t="s">
        <v>939</v>
      </c>
      <c r="F576" s="3" t="s">
        <v>944</v>
      </c>
      <c r="G576" s="4">
        <v>10</v>
      </c>
      <c r="H576" s="12">
        <v>1598.68</v>
      </c>
      <c r="I576" s="12">
        <v>538.180534</v>
      </c>
      <c r="J576" s="13">
        <v>0.3366405622</v>
      </c>
      <c r="K576" s="13">
        <v>0.3366405622</v>
      </c>
      <c r="L576" s="12">
        <v>23.51</v>
      </c>
      <c r="M576" s="13">
        <v>0.1059668476</v>
      </c>
      <c r="N576" s="13">
        <v>0.0525811481</v>
      </c>
      <c r="O576" s="13">
        <v>0.2607401105</v>
      </c>
      <c r="P576" s="13">
        <v>0</v>
      </c>
      <c r="Q576" s="13">
        <v>0.0267426514</v>
      </c>
      <c r="R576" s="13">
        <v>0.0850470719</v>
      </c>
      <c r="S576" s="13">
        <v>0</v>
      </c>
      <c r="T576" s="13">
        <v>0.1199489578</v>
      </c>
      <c r="U576" s="13">
        <v>0.0109278342</v>
      </c>
      <c r="V576" s="13">
        <v>0</v>
      </c>
      <c r="W576" s="13">
        <v>0</v>
      </c>
      <c r="X576" s="13">
        <v>0</v>
      </c>
      <c r="Y576" s="13">
        <v>0</v>
      </c>
      <c r="Z576" s="13">
        <v>0.0014048158</v>
      </c>
    </row>
    <row r="577" s="2" customFormat="1" hidden="1" spans="1:26">
      <c r="A577" s="11" t="s">
        <v>935</v>
      </c>
      <c r="B577" s="11" t="s">
        <v>937</v>
      </c>
      <c r="C577" s="14" t="s">
        <v>247</v>
      </c>
      <c r="D577" s="14" t="s">
        <v>938</v>
      </c>
      <c r="E577" s="14" t="s">
        <v>939</v>
      </c>
      <c r="F577" s="3" t="s">
        <v>945</v>
      </c>
      <c r="G577" s="4">
        <v>1</v>
      </c>
      <c r="H577" s="12">
        <v>154.972</v>
      </c>
      <c r="I577" s="12">
        <v>49.678013</v>
      </c>
      <c r="J577" s="13">
        <v>0.3205612175</v>
      </c>
      <c r="K577" s="13">
        <v>0.3205612175</v>
      </c>
      <c r="L577" s="12">
        <v>22.79</v>
      </c>
      <c r="M577" s="13">
        <v>0.1093146374</v>
      </c>
      <c r="N577" s="13">
        <v>0.054242334</v>
      </c>
      <c r="O577" s="13">
        <v>0.2689776217</v>
      </c>
      <c r="P577" s="13">
        <v>0</v>
      </c>
      <c r="Q577" s="13">
        <v>0</v>
      </c>
      <c r="R577" s="13">
        <v>0.1158417327</v>
      </c>
      <c r="S577" s="13">
        <v>0</v>
      </c>
      <c r="T577" s="13">
        <v>0.1197893813</v>
      </c>
      <c r="U577" s="13">
        <v>0.0112730751</v>
      </c>
      <c r="V577" s="13">
        <v>0</v>
      </c>
      <c r="W577" s="13">
        <v>0</v>
      </c>
      <c r="X577" s="13">
        <v>0</v>
      </c>
      <c r="Y577" s="13">
        <v>0</v>
      </c>
      <c r="Z577" s="13">
        <v>0</v>
      </c>
    </row>
    <row r="578" s="2" customFormat="1" hidden="1" spans="1:26">
      <c r="A578" s="11" t="s">
        <v>935</v>
      </c>
      <c r="B578" s="11" t="s">
        <v>937</v>
      </c>
      <c r="C578" s="14" t="s">
        <v>251</v>
      </c>
      <c r="D578" s="14" t="s">
        <v>938</v>
      </c>
      <c r="E578" s="14" t="s">
        <v>939</v>
      </c>
      <c r="F578" s="3" t="s">
        <v>936</v>
      </c>
      <c r="G578" s="4">
        <v>114</v>
      </c>
      <c r="H578" s="12">
        <v>18134.988</v>
      </c>
      <c r="I578" s="12">
        <v>3455.56028</v>
      </c>
      <c r="J578" s="13">
        <v>0.1905465986</v>
      </c>
      <c r="K578" s="13">
        <v>0.1905465986</v>
      </c>
      <c r="L578" s="12">
        <v>23.3939473684</v>
      </c>
      <c r="M578" s="13">
        <v>0.1355722395</v>
      </c>
      <c r="N578" s="13">
        <v>0.0359612225</v>
      </c>
      <c r="O578" s="13">
        <v>0.2902797619</v>
      </c>
      <c r="P578" s="13">
        <v>0.0727133649</v>
      </c>
      <c r="Q578" s="13">
        <v>0.0126852997</v>
      </c>
      <c r="R578" s="13">
        <v>0.13314659</v>
      </c>
      <c r="S578" s="13">
        <v>0</v>
      </c>
      <c r="T578" s="13">
        <v>0.1079526493</v>
      </c>
      <c r="U578" s="13">
        <v>0.0139808861</v>
      </c>
      <c r="V578" s="13">
        <v>-7.27433e-5</v>
      </c>
      <c r="W578" s="13">
        <v>-0.0061000828</v>
      </c>
      <c r="X578" s="13">
        <v>0.0017023446</v>
      </c>
      <c r="Y578" s="13">
        <v>0</v>
      </c>
      <c r="Z578" s="13">
        <v>0.0116318685</v>
      </c>
    </row>
    <row r="579" s="2" customFormat="1" hidden="1" spans="1:26">
      <c r="A579" s="11" t="s">
        <v>935</v>
      </c>
      <c r="B579" s="11" t="s">
        <v>937</v>
      </c>
      <c r="C579" s="14" t="s">
        <v>251</v>
      </c>
      <c r="D579" s="14" t="s">
        <v>938</v>
      </c>
      <c r="E579" s="14" t="s">
        <v>939</v>
      </c>
      <c r="F579" s="3" t="s">
        <v>940</v>
      </c>
      <c r="G579" s="4">
        <v>7</v>
      </c>
      <c r="H579" s="12">
        <v>1141.924</v>
      </c>
      <c r="I579" s="12">
        <v>28.464157</v>
      </c>
      <c r="J579" s="13">
        <v>0.0249264898</v>
      </c>
      <c r="K579" s="13">
        <v>0.0249264898</v>
      </c>
      <c r="L579" s="12">
        <v>23.99</v>
      </c>
      <c r="M579" s="13">
        <v>0.1357769045</v>
      </c>
      <c r="N579" s="13">
        <v>0.0396434114</v>
      </c>
      <c r="O579" s="13">
        <v>0.2780325135</v>
      </c>
      <c r="P579" s="13">
        <v>0</v>
      </c>
      <c r="Q579" s="13">
        <v>0.00081922</v>
      </c>
      <c r="R579" s="13">
        <v>0.4205889638</v>
      </c>
      <c r="S579" s="13">
        <v>0</v>
      </c>
      <c r="T579" s="13">
        <v>0.0858691121</v>
      </c>
      <c r="U579" s="13">
        <v>0.0140019922</v>
      </c>
      <c r="V579" s="13">
        <v>0</v>
      </c>
      <c r="W579" s="13">
        <v>0</v>
      </c>
      <c r="X579" s="13">
        <v>0</v>
      </c>
      <c r="Y579" s="13">
        <v>0</v>
      </c>
      <c r="Z579" s="13">
        <v>0.0003413922</v>
      </c>
    </row>
    <row r="580" s="2" customFormat="1" hidden="1" spans="1:26">
      <c r="A580" s="11" t="s">
        <v>935</v>
      </c>
      <c r="B580" s="11" t="s">
        <v>937</v>
      </c>
      <c r="C580" s="14" t="s">
        <v>251</v>
      </c>
      <c r="D580" s="14" t="s">
        <v>938</v>
      </c>
      <c r="E580" s="14" t="s">
        <v>939</v>
      </c>
      <c r="F580" s="3" t="s">
        <v>941</v>
      </c>
      <c r="G580" s="4">
        <v>28</v>
      </c>
      <c r="H580" s="12">
        <v>4404.564</v>
      </c>
      <c r="I580" s="12">
        <v>627.602324</v>
      </c>
      <c r="J580" s="13">
        <v>0.1424890917</v>
      </c>
      <c r="K580" s="13">
        <v>0.1424890917</v>
      </c>
      <c r="L580" s="12">
        <v>23.1332142857</v>
      </c>
      <c r="M580" s="13">
        <v>0.1408056788</v>
      </c>
      <c r="N580" s="13">
        <v>0.0432138518</v>
      </c>
      <c r="O580" s="13">
        <v>0.2859370416</v>
      </c>
      <c r="P580" s="13">
        <v>0.074074074</v>
      </c>
      <c r="Q580" s="13">
        <v>0.0041780355</v>
      </c>
      <c r="R580" s="13">
        <v>0.1666210936</v>
      </c>
      <c r="S580" s="13">
        <v>0</v>
      </c>
      <c r="T580" s="13">
        <v>0.1047041205</v>
      </c>
      <c r="U580" s="13">
        <v>0.0145205845</v>
      </c>
      <c r="V580" s="13">
        <v>0.0181186605</v>
      </c>
      <c r="W580" s="13">
        <v>0</v>
      </c>
      <c r="X580" s="13">
        <v>0</v>
      </c>
      <c r="Y580" s="13">
        <v>0</v>
      </c>
      <c r="Z580" s="13">
        <v>0.0053377669</v>
      </c>
    </row>
    <row r="581" s="2" customFormat="1" hidden="1" spans="1:26">
      <c r="A581" s="11" t="s">
        <v>935</v>
      </c>
      <c r="B581" s="11" t="s">
        <v>937</v>
      </c>
      <c r="C581" s="14" t="s">
        <v>251</v>
      </c>
      <c r="D581" s="14" t="s">
        <v>938</v>
      </c>
      <c r="E581" s="14" t="s">
        <v>939</v>
      </c>
      <c r="F581" s="3" t="s">
        <v>942</v>
      </c>
      <c r="G581" s="4">
        <v>47</v>
      </c>
      <c r="H581" s="12">
        <v>7055.476</v>
      </c>
      <c r="I581" s="12">
        <v>1446.875425</v>
      </c>
      <c r="J581" s="13">
        <v>0.2050712701</v>
      </c>
      <c r="K581" s="13">
        <v>0.2050712701</v>
      </c>
      <c r="L581" s="12">
        <v>22.0759574467</v>
      </c>
      <c r="M581" s="13">
        <v>0.1381310844</v>
      </c>
      <c r="N581" s="13">
        <v>0.0341804861</v>
      </c>
      <c r="O581" s="13">
        <v>0.2996327958</v>
      </c>
      <c r="P581" s="13">
        <v>0.0693639947</v>
      </c>
      <c r="Q581" s="13">
        <v>0.0159778848</v>
      </c>
      <c r="R581" s="13">
        <v>0.1080352543</v>
      </c>
      <c r="S581" s="13">
        <v>0</v>
      </c>
      <c r="T581" s="13">
        <v>0.1109129986</v>
      </c>
      <c r="U581" s="13">
        <v>0.014244767</v>
      </c>
      <c r="V581" s="13">
        <v>0.0018793912</v>
      </c>
      <c r="W581" s="13">
        <v>-0.003916172</v>
      </c>
      <c r="X581" s="13">
        <v>0</v>
      </c>
      <c r="Y581" s="13">
        <v>0</v>
      </c>
      <c r="Z581" s="13">
        <v>0.0064862444</v>
      </c>
    </row>
    <row r="582" s="2" customFormat="1" hidden="1" spans="1:26">
      <c r="A582" s="11" t="s">
        <v>935</v>
      </c>
      <c r="B582" s="11" t="s">
        <v>937</v>
      </c>
      <c r="C582" s="14" t="s">
        <v>251</v>
      </c>
      <c r="D582" s="14" t="s">
        <v>938</v>
      </c>
      <c r="E582" s="14" t="s">
        <v>939</v>
      </c>
      <c r="F582" s="3" t="s">
        <v>943</v>
      </c>
      <c r="G582" s="4">
        <v>32</v>
      </c>
      <c r="H582" s="12">
        <v>5533.024</v>
      </c>
      <c r="I582" s="12">
        <v>1651.079929</v>
      </c>
      <c r="J582" s="13">
        <v>0.2984046208</v>
      </c>
      <c r="K582" s="13">
        <v>0.2984046208</v>
      </c>
      <c r="L582" s="12">
        <v>25.4275</v>
      </c>
      <c r="M582" s="13">
        <v>0.1281009907</v>
      </c>
      <c r="N582" s="13">
        <v>0.0316985431</v>
      </c>
      <c r="O582" s="13">
        <v>0.2843378232</v>
      </c>
      <c r="P582" s="13">
        <v>0.0589666699</v>
      </c>
      <c r="Q582" s="13">
        <v>0.0150777572</v>
      </c>
      <c r="R582" s="13">
        <v>0.0652683832</v>
      </c>
      <c r="S582" s="13">
        <v>0</v>
      </c>
      <c r="T582" s="13">
        <v>0.1143938649</v>
      </c>
      <c r="U582" s="13">
        <v>0.0132104136</v>
      </c>
      <c r="V582" s="13">
        <v>-0.017058303</v>
      </c>
      <c r="W582" s="13">
        <v>-0.0099874708</v>
      </c>
      <c r="X582" s="13">
        <v>0.004711311</v>
      </c>
      <c r="Y582" s="13">
        <v>0</v>
      </c>
      <c r="Z582" s="13">
        <v>0.0128753958</v>
      </c>
    </row>
    <row r="583" s="2" customFormat="1" spans="1:26">
      <c r="A583" s="11" t="s">
        <v>935</v>
      </c>
      <c r="B583" s="11" t="s">
        <v>937</v>
      </c>
      <c r="C583" s="14" t="s">
        <v>251</v>
      </c>
      <c r="D583" s="14" t="s">
        <v>938</v>
      </c>
      <c r="E583" s="14" t="s">
        <v>939</v>
      </c>
      <c r="F583" s="3" t="s">
        <v>944</v>
      </c>
      <c r="G583" s="4">
        <v>0</v>
      </c>
      <c r="H583" s="12">
        <v>0</v>
      </c>
      <c r="I583" s="12">
        <v>-256.823319</v>
      </c>
      <c r="J583" s="13"/>
      <c r="K583" s="13"/>
      <c r="L583" s="12"/>
      <c r="M583" s="13"/>
      <c r="N583" s="13"/>
      <c r="O583" s="13"/>
      <c r="P583" s="13"/>
      <c r="Q583" s="13"/>
      <c r="R583" s="13"/>
      <c r="S583" s="13"/>
      <c r="T583" s="13"/>
      <c r="U583" s="13"/>
      <c r="V583" s="13"/>
      <c r="W583" s="13"/>
      <c r="X583" s="13"/>
      <c r="Y583" s="13"/>
      <c r="Z583" s="13"/>
    </row>
    <row r="584" s="2" customFormat="1" hidden="1" spans="1:26">
      <c r="A584" s="11" t="s">
        <v>935</v>
      </c>
      <c r="B584" s="11" t="s">
        <v>937</v>
      </c>
      <c r="C584" s="14" t="s">
        <v>251</v>
      </c>
      <c r="D584" s="14" t="s">
        <v>938</v>
      </c>
      <c r="E584" s="14" t="s">
        <v>939</v>
      </c>
      <c r="F584" s="3" t="s">
        <v>945</v>
      </c>
      <c r="G584" s="4">
        <v>0</v>
      </c>
      <c r="H584" s="12">
        <v>0</v>
      </c>
      <c r="I584" s="12">
        <v>-41.638236</v>
      </c>
      <c r="J584" s="13"/>
      <c r="K584" s="13"/>
      <c r="L584" s="12"/>
      <c r="M584" s="13"/>
      <c r="N584" s="13"/>
      <c r="O584" s="13"/>
      <c r="P584" s="13"/>
      <c r="Q584" s="13"/>
      <c r="R584" s="13"/>
      <c r="S584" s="13"/>
      <c r="T584" s="13"/>
      <c r="U584" s="13"/>
      <c r="V584" s="13"/>
      <c r="W584" s="13"/>
      <c r="X584" s="13"/>
      <c r="Y584" s="13"/>
      <c r="Z584" s="13"/>
    </row>
    <row r="585" s="2" customFormat="1" hidden="1" spans="1:26">
      <c r="A585" s="11" t="s">
        <v>935</v>
      </c>
      <c r="B585" s="11" t="s">
        <v>937</v>
      </c>
      <c r="C585" s="14" t="s">
        <v>255</v>
      </c>
      <c r="D585" s="14" t="s">
        <v>938</v>
      </c>
      <c r="E585" s="14" t="s">
        <v>939</v>
      </c>
      <c r="F585" s="3" t="s">
        <v>936</v>
      </c>
      <c r="G585" s="4">
        <v>59</v>
      </c>
      <c r="H585" s="12">
        <v>10982.068</v>
      </c>
      <c r="I585" s="12">
        <v>894.047384</v>
      </c>
      <c r="J585" s="13">
        <v>0.0814097475</v>
      </c>
      <c r="K585" s="13">
        <v>0.0814097475</v>
      </c>
      <c r="L585" s="12">
        <v>27.3730508474</v>
      </c>
      <c r="M585" s="13">
        <v>0.1169422882</v>
      </c>
      <c r="N585" s="13">
        <v>0.0399941977</v>
      </c>
      <c r="O585" s="13">
        <v>0.2787413081</v>
      </c>
      <c r="P585" s="13">
        <v>0</v>
      </c>
      <c r="Q585" s="13">
        <v>0.0305835807</v>
      </c>
      <c r="R585" s="13">
        <v>0.3336198389</v>
      </c>
      <c r="S585" s="13">
        <v>0</v>
      </c>
      <c r="T585" s="13">
        <v>0.0992130079</v>
      </c>
      <c r="U585" s="13">
        <v>0.0120596767</v>
      </c>
      <c r="V585" s="13">
        <v>0</v>
      </c>
      <c r="W585" s="13">
        <v>0</v>
      </c>
      <c r="X585" s="13">
        <v>0</v>
      </c>
      <c r="Y585" s="13">
        <v>0</v>
      </c>
      <c r="Z585" s="13">
        <v>0.0074363537</v>
      </c>
    </row>
    <row r="586" s="2" customFormat="1" hidden="1" spans="1:26">
      <c r="A586" s="11" t="s">
        <v>935</v>
      </c>
      <c r="B586" s="11" t="s">
        <v>937</v>
      </c>
      <c r="C586" s="14" t="s">
        <v>255</v>
      </c>
      <c r="D586" s="14" t="s">
        <v>938</v>
      </c>
      <c r="E586" s="14" t="s">
        <v>939</v>
      </c>
      <c r="F586" s="3" t="s">
        <v>941</v>
      </c>
      <c r="G586" s="4">
        <v>1</v>
      </c>
      <c r="H586" s="12">
        <v>176.732</v>
      </c>
      <c r="I586" s="12">
        <v>51.29761</v>
      </c>
      <c r="J586" s="13">
        <v>0.29025649</v>
      </c>
      <c r="K586" s="13">
        <v>0.29025649</v>
      </c>
      <c r="L586" s="12">
        <v>25.99</v>
      </c>
      <c r="M586" s="13">
        <v>0.1231653407</v>
      </c>
      <c r="N586" s="13">
        <v>0.0410191589</v>
      </c>
      <c r="O586" s="13">
        <v>0.2935744517</v>
      </c>
      <c r="P586" s="13">
        <v>0</v>
      </c>
      <c r="Q586" s="13">
        <v>0.001791164</v>
      </c>
      <c r="R586" s="13">
        <v>0.1121078016</v>
      </c>
      <c r="S586" s="13">
        <v>0</v>
      </c>
      <c r="T586" s="13">
        <v>0.1200461716</v>
      </c>
      <c r="U586" s="13">
        <v>0.0127014292</v>
      </c>
      <c r="V586" s="13">
        <v>0</v>
      </c>
      <c r="W586" s="13">
        <v>0</v>
      </c>
      <c r="X586" s="13">
        <v>0</v>
      </c>
      <c r="Y586" s="13">
        <v>0</v>
      </c>
      <c r="Z586" s="13">
        <v>0.0053379919</v>
      </c>
    </row>
    <row r="587" s="2" customFormat="1" hidden="1" spans="1:26">
      <c r="A587" s="11" t="s">
        <v>935</v>
      </c>
      <c r="B587" s="11" t="s">
        <v>937</v>
      </c>
      <c r="C587" s="14" t="s">
        <v>255</v>
      </c>
      <c r="D587" s="14" t="s">
        <v>938</v>
      </c>
      <c r="E587" s="14" t="s">
        <v>939</v>
      </c>
      <c r="F587" s="3" t="s">
        <v>942</v>
      </c>
      <c r="G587" s="4">
        <v>11</v>
      </c>
      <c r="H587" s="12">
        <v>1944.052</v>
      </c>
      <c r="I587" s="12">
        <v>94.197074</v>
      </c>
      <c r="J587" s="13">
        <v>0.0484539888</v>
      </c>
      <c r="K587" s="13">
        <v>0.0484539888</v>
      </c>
      <c r="L587" s="12">
        <v>25.99</v>
      </c>
      <c r="M587" s="13">
        <v>0.1231653407</v>
      </c>
      <c r="N587" s="13">
        <v>0.0410191589</v>
      </c>
      <c r="O587" s="13">
        <v>0.2935744517</v>
      </c>
      <c r="P587" s="13">
        <v>0</v>
      </c>
      <c r="Q587" s="13">
        <v>0.037282745</v>
      </c>
      <c r="R587" s="13">
        <v>0.3271344279</v>
      </c>
      <c r="S587" s="13">
        <v>0</v>
      </c>
      <c r="T587" s="13">
        <v>0.1101822379</v>
      </c>
      <c r="U587" s="13">
        <v>0.0127014292</v>
      </c>
      <c r="V587" s="13">
        <v>0</v>
      </c>
      <c r="W587" s="13">
        <v>0</v>
      </c>
      <c r="X587" s="13">
        <v>0</v>
      </c>
      <c r="Y587" s="13">
        <v>0</v>
      </c>
      <c r="Z587" s="13">
        <v>0.0064862195</v>
      </c>
    </row>
    <row r="588" s="2" customFormat="1" hidden="1" spans="1:26">
      <c r="A588" s="11" t="s">
        <v>935</v>
      </c>
      <c r="B588" s="11" t="s">
        <v>937</v>
      </c>
      <c r="C588" s="14" t="s">
        <v>255</v>
      </c>
      <c r="D588" s="14" t="s">
        <v>938</v>
      </c>
      <c r="E588" s="14" t="s">
        <v>939</v>
      </c>
      <c r="F588" s="3" t="s">
        <v>943</v>
      </c>
      <c r="G588" s="4">
        <v>27</v>
      </c>
      <c r="H588" s="12">
        <v>4877.844</v>
      </c>
      <c r="I588" s="12">
        <v>176.692211</v>
      </c>
      <c r="J588" s="13">
        <v>0.0362234239</v>
      </c>
      <c r="K588" s="13">
        <v>0.0362234239</v>
      </c>
      <c r="L588" s="12">
        <v>26.5677777777</v>
      </c>
      <c r="M588" s="13">
        <v>0.1204868255</v>
      </c>
      <c r="N588" s="13">
        <v>0.0324803505</v>
      </c>
      <c r="O588" s="13">
        <v>0.2871899962</v>
      </c>
      <c r="P588" s="13">
        <v>0</v>
      </c>
      <c r="Q588" s="13">
        <v>0.0235327476</v>
      </c>
      <c r="R588" s="13">
        <v>0.3815096134</v>
      </c>
      <c r="S588" s="13">
        <v>0</v>
      </c>
      <c r="T588" s="13">
        <v>0.0932764557</v>
      </c>
      <c r="U588" s="13">
        <v>0.0124252073</v>
      </c>
      <c r="V588" s="13">
        <v>0</v>
      </c>
      <c r="W588" s="13">
        <v>0</v>
      </c>
      <c r="X588" s="13">
        <v>0</v>
      </c>
      <c r="Y588" s="13">
        <v>0</v>
      </c>
      <c r="Z588" s="13">
        <v>0.0128753795</v>
      </c>
    </row>
    <row r="589" s="2" customFormat="1" spans="1:26">
      <c r="A589" s="11" t="s">
        <v>935</v>
      </c>
      <c r="B589" s="11" t="s">
        <v>937</v>
      </c>
      <c r="C589" s="14" t="s">
        <v>255</v>
      </c>
      <c r="D589" s="14" t="s">
        <v>938</v>
      </c>
      <c r="E589" s="14" t="s">
        <v>939</v>
      </c>
      <c r="F589" s="3" t="s">
        <v>944</v>
      </c>
      <c r="G589" s="4">
        <v>19</v>
      </c>
      <c r="H589" s="12">
        <v>3779.508</v>
      </c>
      <c r="I589" s="12">
        <v>522.089675</v>
      </c>
      <c r="J589" s="13">
        <v>0.1381369413</v>
      </c>
      <c r="K589" s="13">
        <v>0.1381369413</v>
      </c>
      <c r="L589" s="12">
        <v>29.2531578947</v>
      </c>
      <c r="M589" s="13">
        <v>0.1094263808</v>
      </c>
      <c r="N589" s="13">
        <v>0.0487107139</v>
      </c>
      <c r="O589" s="13">
        <v>0.2608265414</v>
      </c>
      <c r="P589" s="13">
        <v>0</v>
      </c>
      <c r="Q589" s="13">
        <v>0.0392341386</v>
      </c>
      <c r="R589" s="13">
        <v>0.2918412742</v>
      </c>
      <c r="S589" s="13">
        <v>0</v>
      </c>
      <c r="T589" s="13">
        <v>0.0991345963</v>
      </c>
      <c r="U589" s="13">
        <v>0.0112845984</v>
      </c>
      <c r="V589" s="13">
        <v>0</v>
      </c>
      <c r="W589" s="13">
        <v>0</v>
      </c>
      <c r="X589" s="13">
        <v>0</v>
      </c>
      <c r="Y589" s="13">
        <v>0</v>
      </c>
      <c r="Z589" s="13">
        <v>0.0014048145</v>
      </c>
    </row>
    <row r="590" s="2" customFormat="1" hidden="1" spans="1:26">
      <c r="A590" s="11" t="s">
        <v>935</v>
      </c>
      <c r="B590" s="11" t="s">
        <v>937</v>
      </c>
      <c r="C590" s="14" t="s">
        <v>255</v>
      </c>
      <c r="D590" s="14" t="s">
        <v>938</v>
      </c>
      <c r="E590" s="14" t="s">
        <v>939</v>
      </c>
      <c r="F590" s="3" t="s">
        <v>945</v>
      </c>
      <c r="G590" s="4">
        <v>1</v>
      </c>
      <c r="H590" s="12">
        <v>203.932</v>
      </c>
      <c r="I590" s="12">
        <v>49.770814</v>
      </c>
      <c r="J590" s="13">
        <v>0.2440559304</v>
      </c>
      <c r="K590" s="13">
        <v>0.2440559304</v>
      </c>
      <c r="L590" s="12">
        <v>29.99</v>
      </c>
      <c r="M590" s="13">
        <v>0.1067378194</v>
      </c>
      <c r="N590" s="13">
        <v>0.0475139114</v>
      </c>
      <c r="O590" s="13">
        <v>0.2544181393</v>
      </c>
      <c r="P590" s="13">
        <v>0</v>
      </c>
      <c r="Q590" s="13">
        <v>0</v>
      </c>
      <c r="R590" s="13">
        <v>0.2162268452</v>
      </c>
      <c r="S590" s="13">
        <v>0</v>
      </c>
      <c r="T590" s="13">
        <v>0.1200400133</v>
      </c>
      <c r="U590" s="13">
        <v>0.0110073406</v>
      </c>
      <c r="V590" s="13">
        <v>0</v>
      </c>
      <c r="W590" s="13">
        <v>0</v>
      </c>
      <c r="X590" s="13">
        <v>0</v>
      </c>
      <c r="Y590" s="13">
        <v>0</v>
      </c>
      <c r="Z590" s="13">
        <v>0</v>
      </c>
    </row>
    <row r="591" s="2" customFormat="1" hidden="1" spans="1:26">
      <c r="A591" s="11" t="s">
        <v>935</v>
      </c>
      <c r="B591" s="11" t="s">
        <v>937</v>
      </c>
      <c r="C591" s="14" t="s">
        <v>259</v>
      </c>
      <c r="D591" s="14" t="s">
        <v>938</v>
      </c>
      <c r="E591" s="14" t="s">
        <v>939</v>
      </c>
      <c r="F591" s="3" t="s">
        <v>936</v>
      </c>
      <c r="G591" s="4">
        <v>118</v>
      </c>
      <c r="H591" s="12">
        <v>19732.376</v>
      </c>
      <c r="I591" s="12">
        <v>3836.040051</v>
      </c>
      <c r="J591" s="13">
        <v>0.1944033526</v>
      </c>
      <c r="K591" s="13">
        <v>0.1944033526</v>
      </c>
      <c r="L591" s="12">
        <v>24.5916949152</v>
      </c>
      <c r="M591" s="13">
        <v>0.1224528124</v>
      </c>
      <c r="N591" s="13">
        <v>0.042161422</v>
      </c>
      <c r="O591" s="13">
        <v>0.3069280658</v>
      </c>
      <c r="P591" s="13">
        <v>0</v>
      </c>
      <c r="Q591" s="13">
        <v>0.0124882093</v>
      </c>
      <c r="R591" s="13">
        <v>0.1925098365</v>
      </c>
      <c r="S591" s="13">
        <v>0</v>
      </c>
      <c r="T591" s="13">
        <v>0.1108269982</v>
      </c>
      <c r="U591" s="13">
        <v>0.012627948</v>
      </c>
      <c r="V591" s="13">
        <v>-0.0026114645</v>
      </c>
      <c r="W591" s="13">
        <v>0</v>
      </c>
      <c r="X591" s="13">
        <v>0</v>
      </c>
      <c r="Y591" s="13">
        <v>0</v>
      </c>
      <c r="Z591" s="13">
        <v>0.0082128192</v>
      </c>
    </row>
    <row r="592" s="2" customFormat="1" hidden="1" spans="1:26">
      <c r="A592" s="11" t="s">
        <v>935</v>
      </c>
      <c r="B592" s="11" t="s">
        <v>937</v>
      </c>
      <c r="C592" s="14" t="s">
        <v>259</v>
      </c>
      <c r="D592" s="14" t="s">
        <v>938</v>
      </c>
      <c r="E592" s="14" t="s">
        <v>939</v>
      </c>
      <c r="F592" s="3" t="s">
        <v>941</v>
      </c>
      <c r="G592" s="4">
        <v>8</v>
      </c>
      <c r="H592" s="12">
        <v>1128.256</v>
      </c>
      <c r="I592" s="12">
        <v>-26.181464</v>
      </c>
      <c r="J592" s="13">
        <v>-0.0232052512</v>
      </c>
      <c r="K592" s="13">
        <v>-0.0232052512</v>
      </c>
      <c r="L592" s="12">
        <v>20.74</v>
      </c>
      <c r="M592" s="13">
        <v>0.1451939347</v>
      </c>
      <c r="N592" s="13">
        <v>0.0480853777</v>
      </c>
      <c r="O592" s="13">
        <v>0.362524108</v>
      </c>
      <c r="P592" s="13">
        <v>0</v>
      </c>
      <c r="Q592" s="13">
        <v>0.0017910811</v>
      </c>
      <c r="R592" s="13">
        <v>0.3505554226</v>
      </c>
      <c r="S592" s="13">
        <v>0</v>
      </c>
      <c r="T592" s="13">
        <v>0.0947444551</v>
      </c>
      <c r="U592" s="13">
        <v>0.0149731266</v>
      </c>
      <c r="V592" s="13">
        <v>0</v>
      </c>
      <c r="W592" s="13">
        <v>0</v>
      </c>
      <c r="X592" s="13">
        <v>0</v>
      </c>
      <c r="Y592" s="13">
        <v>0</v>
      </c>
      <c r="Z592" s="13">
        <v>0.0053377451</v>
      </c>
    </row>
    <row r="593" s="2" customFormat="1" hidden="1" spans="1:26">
      <c r="A593" s="11" t="s">
        <v>935</v>
      </c>
      <c r="B593" s="11" t="s">
        <v>937</v>
      </c>
      <c r="C593" s="14" t="s">
        <v>259</v>
      </c>
      <c r="D593" s="14" t="s">
        <v>938</v>
      </c>
      <c r="E593" s="14" t="s">
        <v>939</v>
      </c>
      <c r="F593" s="3" t="s">
        <v>942</v>
      </c>
      <c r="G593" s="4">
        <v>68</v>
      </c>
      <c r="H593" s="12">
        <v>11201.776</v>
      </c>
      <c r="I593" s="12">
        <v>1879.561202</v>
      </c>
      <c r="J593" s="13">
        <v>0.1677913575</v>
      </c>
      <c r="K593" s="13">
        <v>0.1677913575</v>
      </c>
      <c r="L593" s="12">
        <v>24.2252941176</v>
      </c>
      <c r="M593" s="13">
        <v>0.124304877</v>
      </c>
      <c r="N593" s="13">
        <v>0.0411673323</v>
      </c>
      <c r="O593" s="13">
        <v>0.3116577228</v>
      </c>
      <c r="P593" s="13">
        <v>0</v>
      </c>
      <c r="Q593" s="13">
        <v>0.010078354</v>
      </c>
      <c r="R593" s="13">
        <v>0.2239408081</v>
      </c>
      <c r="S593" s="13">
        <v>0</v>
      </c>
      <c r="T593" s="13">
        <v>0.1063545637</v>
      </c>
      <c r="U593" s="13">
        <v>0.0128189422</v>
      </c>
      <c r="V593" s="13">
        <v>-0.0046001991</v>
      </c>
      <c r="W593" s="13">
        <v>0</v>
      </c>
      <c r="X593" s="13">
        <v>0</v>
      </c>
      <c r="Y593" s="13">
        <v>0</v>
      </c>
      <c r="Z593" s="13">
        <v>0.0064862411</v>
      </c>
    </row>
    <row r="594" s="2" customFormat="1" hidden="1" spans="1:26">
      <c r="A594" s="11" t="s">
        <v>935</v>
      </c>
      <c r="B594" s="11" t="s">
        <v>937</v>
      </c>
      <c r="C594" s="14" t="s">
        <v>259</v>
      </c>
      <c r="D594" s="14" t="s">
        <v>938</v>
      </c>
      <c r="E594" s="14" t="s">
        <v>939</v>
      </c>
      <c r="F594" s="3" t="s">
        <v>943</v>
      </c>
      <c r="G594" s="4">
        <v>36</v>
      </c>
      <c r="H594" s="12">
        <v>6362.352</v>
      </c>
      <c r="I594" s="12">
        <v>1990.140907</v>
      </c>
      <c r="J594" s="13">
        <v>0.3127995601</v>
      </c>
      <c r="K594" s="13">
        <v>0.3127995601</v>
      </c>
      <c r="L594" s="12">
        <v>25.99</v>
      </c>
      <c r="M594" s="13">
        <v>0.1158646481</v>
      </c>
      <c r="N594" s="13">
        <v>0.0426453047</v>
      </c>
      <c r="O594" s="13">
        <v>0.2904963447</v>
      </c>
      <c r="P594" s="13">
        <v>0</v>
      </c>
      <c r="Q594" s="13">
        <v>0.0192846164</v>
      </c>
      <c r="R594" s="13">
        <v>0.0740394332</v>
      </c>
      <c r="S594" s="13">
        <v>0</v>
      </c>
      <c r="T594" s="13">
        <v>0.1200461716</v>
      </c>
      <c r="U594" s="13">
        <v>0.0119485435</v>
      </c>
      <c r="V594" s="13">
        <v>0</v>
      </c>
      <c r="W594" s="13">
        <v>0</v>
      </c>
      <c r="X594" s="13">
        <v>0</v>
      </c>
      <c r="Y594" s="13">
        <v>0</v>
      </c>
      <c r="Z594" s="13">
        <v>0.0128753773</v>
      </c>
    </row>
    <row r="595" s="2" customFormat="1" spans="1:26">
      <c r="A595" s="11" t="s">
        <v>935</v>
      </c>
      <c r="B595" s="11" t="s">
        <v>937</v>
      </c>
      <c r="C595" s="14" t="s">
        <v>259</v>
      </c>
      <c r="D595" s="14" t="s">
        <v>938</v>
      </c>
      <c r="E595" s="14" t="s">
        <v>939</v>
      </c>
      <c r="F595" s="3" t="s">
        <v>944</v>
      </c>
      <c r="G595" s="4">
        <v>6</v>
      </c>
      <c r="H595" s="12">
        <v>1039.992</v>
      </c>
      <c r="I595" s="12">
        <v>148.969964</v>
      </c>
      <c r="J595" s="13">
        <v>0.1432414518</v>
      </c>
      <c r="K595" s="13">
        <v>0.1432414518</v>
      </c>
      <c r="L595" s="12">
        <v>25.49</v>
      </c>
      <c r="M595" s="13">
        <v>0.1181373952</v>
      </c>
      <c r="N595" s="13">
        <v>0.0434818152</v>
      </c>
      <c r="O595" s="13">
        <v>0.2961945861</v>
      </c>
      <c r="P595" s="13">
        <v>0</v>
      </c>
      <c r="Q595" s="13">
        <v>0.0084714709</v>
      </c>
      <c r="R595" s="13">
        <v>0.2568384718</v>
      </c>
      <c r="S595" s="13">
        <v>0</v>
      </c>
      <c r="T595" s="13">
        <v>0.1200470772</v>
      </c>
      <c r="U595" s="13">
        <v>0.0121829206</v>
      </c>
      <c r="V595" s="13">
        <v>0</v>
      </c>
      <c r="W595" s="13">
        <v>0</v>
      </c>
      <c r="X595" s="13">
        <v>0</v>
      </c>
      <c r="Y595" s="13">
        <v>0</v>
      </c>
      <c r="Z595" s="13">
        <v>0.0014048108</v>
      </c>
    </row>
    <row r="596" s="2" customFormat="1" hidden="1" spans="1:26">
      <c r="A596" s="11" t="s">
        <v>935</v>
      </c>
      <c r="B596" s="11" t="s">
        <v>937</v>
      </c>
      <c r="C596" s="14" t="s">
        <v>259</v>
      </c>
      <c r="D596" s="14" t="s">
        <v>938</v>
      </c>
      <c r="E596" s="14" t="s">
        <v>939</v>
      </c>
      <c r="F596" s="3" t="s">
        <v>945</v>
      </c>
      <c r="G596" s="4">
        <v>0</v>
      </c>
      <c r="H596" s="12">
        <v>0</v>
      </c>
      <c r="I596" s="12">
        <v>-156.450558</v>
      </c>
      <c r="J596" s="13"/>
      <c r="K596" s="13"/>
      <c r="L596" s="12"/>
      <c r="M596" s="13"/>
      <c r="N596" s="13"/>
      <c r="O596" s="13"/>
      <c r="P596" s="13"/>
      <c r="Q596" s="13"/>
      <c r="R596" s="13"/>
      <c r="S596" s="13"/>
      <c r="T596" s="13"/>
      <c r="U596" s="13"/>
      <c r="V596" s="13"/>
      <c r="W596" s="13"/>
      <c r="X596" s="13"/>
      <c r="Y596" s="13"/>
      <c r="Z596" s="13"/>
    </row>
    <row r="597" s="2" customFormat="1" hidden="1" spans="1:26">
      <c r="A597" s="11" t="s">
        <v>935</v>
      </c>
      <c r="B597" s="11" t="s">
        <v>937</v>
      </c>
      <c r="C597" s="14" t="s">
        <v>263</v>
      </c>
      <c r="D597" s="14" t="s">
        <v>938</v>
      </c>
      <c r="E597" s="14" t="s">
        <v>939</v>
      </c>
      <c r="F597" s="3" t="s">
        <v>936</v>
      </c>
      <c r="G597" s="4">
        <v>115</v>
      </c>
      <c r="H597" s="12">
        <v>18191.632</v>
      </c>
      <c r="I597" s="12">
        <v>2975.227674</v>
      </c>
      <c r="J597" s="13">
        <v>0.1635492447</v>
      </c>
      <c r="K597" s="13">
        <v>0.1635492447</v>
      </c>
      <c r="L597" s="12">
        <v>23.2629565217</v>
      </c>
      <c r="M597" s="13">
        <v>0.1241087981</v>
      </c>
      <c r="N597" s="13">
        <v>0.0282290493</v>
      </c>
      <c r="O597" s="13">
        <v>0.3006833031</v>
      </c>
      <c r="P597" s="13">
        <v>0.0807067777</v>
      </c>
      <c r="Q597" s="13">
        <v>0.0100541292</v>
      </c>
      <c r="R597" s="13">
        <v>0.1717080435</v>
      </c>
      <c r="S597" s="13">
        <v>0</v>
      </c>
      <c r="T597" s="13">
        <v>0.1056428582</v>
      </c>
      <c r="U597" s="13">
        <v>0.0127987215</v>
      </c>
      <c r="V597" s="13">
        <v>-0.0037043405</v>
      </c>
      <c r="W597" s="13">
        <v>-0.0028092974</v>
      </c>
      <c r="X597" s="13">
        <v>0.003394088</v>
      </c>
      <c r="Y597" s="13">
        <v>0</v>
      </c>
      <c r="Z597" s="13">
        <v>0.0056386242</v>
      </c>
    </row>
    <row r="598" s="2" customFormat="1" hidden="1" spans="1:26">
      <c r="A598" s="11" t="s">
        <v>935</v>
      </c>
      <c r="B598" s="11" t="s">
        <v>937</v>
      </c>
      <c r="C598" s="14" t="s">
        <v>263</v>
      </c>
      <c r="D598" s="14" t="s">
        <v>938</v>
      </c>
      <c r="E598" s="14" t="s">
        <v>939</v>
      </c>
      <c r="F598" s="3" t="s">
        <v>940</v>
      </c>
      <c r="G598" s="4">
        <v>9</v>
      </c>
      <c r="H598" s="12">
        <v>1468.188</v>
      </c>
      <c r="I598" s="12">
        <v>228.804465</v>
      </c>
      <c r="J598" s="13">
        <v>0.1558413942</v>
      </c>
      <c r="K598" s="13">
        <v>0.1558413942</v>
      </c>
      <c r="L598" s="12">
        <v>23.99</v>
      </c>
      <c r="M598" s="13">
        <v>0.1235711387</v>
      </c>
      <c r="N598" s="13">
        <v>0.0376379312</v>
      </c>
      <c r="O598" s="13">
        <v>0.2780325135</v>
      </c>
      <c r="P598" s="13">
        <v>0</v>
      </c>
      <c r="Q598" s="13">
        <v>0.0008192193</v>
      </c>
      <c r="R598" s="13">
        <v>0.293657761</v>
      </c>
      <c r="S598" s="13">
        <v>0</v>
      </c>
      <c r="T598" s="13">
        <v>0.0973553795</v>
      </c>
      <c r="U598" s="13">
        <v>0.0127432753</v>
      </c>
      <c r="V598" s="13">
        <v>0</v>
      </c>
      <c r="W598" s="13">
        <v>0</v>
      </c>
      <c r="X598" s="13">
        <v>0</v>
      </c>
      <c r="Y598" s="13">
        <v>0</v>
      </c>
      <c r="Z598" s="13">
        <v>0.0003413867</v>
      </c>
    </row>
    <row r="599" s="2" customFormat="1" hidden="1" spans="1:26">
      <c r="A599" s="11" t="s">
        <v>935</v>
      </c>
      <c r="B599" s="11" t="s">
        <v>937</v>
      </c>
      <c r="C599" s="14" t="s">
        <v>263</v>
      </c>
      <c r="D599" s="14" t="s">
        <v>938</v>
      </c>
      <c r="E599" s="14" t="s">
        <v>939</v>
      </c>
      <c r="F599" s="3" t="s">
        <v>941</v>
      </c>
      <c r="G599" s="4">
        <v>53</v>
      </c>
      <c r="H599" s="12">
        <v>8645.996</v>
      </c>
      <c r="I599" s="12">
        <v>1961.373804</v>
      </c>
      <c r="J599" s="13">
        <v>0.2268534248</v>
      </c>
      <c r="K599" s="13">
        <v>0.2268534248</v>
      </c>
      <c r="L599" s="12">
        <v>23.99</v>
      </c>
      <c r="M599" s="13">
        <v>0.1235711387</v>
      </c>
      <c r="N599" s="13">
        <v>0.0263653115</v>
      </c>
      <c r="O599" s="13">
        <v>0.301029517</v>
      </c>
      <c r="P599" s="13">
        <v>0.037735849</v>
      </c>
      <c r="Q599" s="13">
        <v>0.0056286898</v>
      </c>
      <c r="R599" s="13">
        <v>0.1528810958</v>
      </c>
      <c r="S599" s="13">
        <v>0</v>
      </c>
      <c r="T599" s="13">
        <v>0.1106829103</v>
      </c>
      <c r="U599" s="13">
        <v>0.0127432753</v>
      </c>
      <c r="V599" s="13">
        <v>0</v>
      </c>
      <c r="W599" s="13">
        <v>-0.0028289896</v>
      </c>
      <c r="X599" s="13">
        <v>0</v>
      </c>
      <c r="Y599" s="13">
        <v>0</v>
      </c>
      <c r="Z599" s="13">
        <v>0.005337777</v>
      </c>
    </row>
    <row r="600" s="2" customFormat="1" hidden="1" spans="1:26">
      <c r="A600" s="11" t="s">
        <v>935</v>
      </c>
      <c r="B600" s="11" t="s">
        <v>937</v>
      </c>
      <c r="C600" s="14" t="s">
        <v>263</v>
      </c>
      <c r="D600" s="14" t="s">
        <v>938</v>
      </c>
      <c r="E600" s="14" t="s">
        <v>939</v>
      </c>
      <c r="F600" s="3" t="s">
        <v>942</v>
      </c>
      <c r="G600" s="4">
        <v>48</v>
      </c>
      <c r="H600" s="12">
        <v>7207.388</v>
      </c>
      <c r="I600" s="12">
        <v>985.991198</v>
      </c>
      <c r="J600" s="13">
        <v>0.136802847</v>
      </c>
      <c r="K600" s="13">
        <v>0.136802847</v>
      </c>
      <c r="L600" s="12">
        <v>22.0814583333</v>
      </c>
      <c r="M600" s="13">
        <v>0.1258608964</v>
      </c>
      <c r="N600" s="13">
        <v>0.0274010584</v>
      </c>
      <c r="O600" s="13">
        <v>0.3063656348</v>
      </c>
      <c r="P600" s="13">
        <v>0.1131699861</v>
      </c>
      <c r="Q600" s="13">
        <v>0.0141883714</v>
      </c>
      <c r="R600" s="13">
        <v>0.1514630174</v>
      </c>
      <c r="S600" s="13">
        <v>0</v>
      </c>
      <c r="T600" s="13">
        <v>0.1036691794</v>
      </c>
      <c r="U600" s="13">
        <v>0.0129794066</v>
      </c>
      <c r="V600" s="13">
        <v>0.0016133445</v>
      </c>
      <c r="W600" s="13">
        <v>0</v>
      </c>
      <c r="X600" s="13">
        <v>0</v>
      </c>
      <c r="Y600" s="13">
        <v>0</v>
      </c>
      <c r="Z600" s="13">
        <v>0.0064862574</v>
      </c>
    </row>
    <row r="601" s="2" customFormat="1" hidden="1" spans="1:26">
      <c r="A601" s="11" t="s">
        <v>935</v>
      </c>
      <c r="B601" s="11" t="s">
        <v>937</v>
      </c>
      <c r="C601" s="14" t="s">
        <v>263</v>
      </c>
      <c r="D601" s="14" t="s">
        <v>938</v>
      </c>
      <c r="E601" s="14" t="s">
        <v>939</v>
      </c>
      <c r="F601" s="3" t="s">
        <v>943</v>
      </c>
      <c r="G601" s="4">
        <v>4</v>
      </c>
      <c r="H601" s="12">
        <v>693.328</v>
      </c>
      <c r="I601" s="12">
        <v>-128.442825</v>
      </c>
      <c r="J601" s="13">
        <v>-0.1852554995</v>
      </c>
      <c r="K601" s="13">
        <v>-0.1852554995</v>
      </c>
      <c r="L601" s="12">
        <v>25.49</v>
      </c>
      <c r="M601" s="13">
        <v>0.1162993965</v>
      </c>
      <c r="N601" s="13">
        <v>0.0374302783</v>
      </c>
      <c r="O601" s="13">
        <v>0.289525304</v>
      </c>
      <c r="P601" s="13">
        <v>0.4705766967</v>
      </c>
      <c r="Q601" s="13">
        <v>0.0387713318</v>
      </c>
      <c r="R601" s="13">
        <v>0.2300626802</v>
      </c>
      <c r="S601" s="13">
        <v>0</v>
      </c>
      <c r="T601" s="13">
        <v>0.0771871322</v>
      </c>
      <c r="U601" s="13">
        <v>0.0119933768</v>
      </c>
      <c r="V601" s="13">
        <v>-0.1139662612</v>
      </c>
      <c r="W601" s="13">
        <v>-0.0384324187</v>
      </c>
      <c r="X601" s="13">
        <v>0.0529325139</v>
      </c>
      <c r="Y601" s="13">
        <v>0</v>
      </c>
      <c r="Z601" s="13">
        <v>0.0128754687</v>
      </c>
    </row>
    <row r="602" s="2" customFormat="1" spans="1:26">
      <c r="A602" s="11" t="s">
        <v>935</v>
      </c>
      <c r="B602" s="11" t="s">
        <v>937</v>
      </c>
      <c r="C602" s="14" t="s">
        <v>263</v>
      </c>
      <c r="D602" s="14" t="s">
        <v>938</v>
      </c>
      <c r="E602" s="14" t="s">
        <v>939</v>
      </c>
      <c r="F602" s="3" t="s">
        <v>944</v>
      </c>
      <c r="G602" s="4">
        <v>1</v>
      </c>
      <c r="H602" s="12">
        <v>176.732</v>
      </c>
      <c r="I602" s="12">
        <v>-22.942642</v>
      </c>
      <c r="J602" s="13">
        <v>-0.1298160038</v>
      </c>
      <c r="K602" s="13">
        <v>-0.1298160038</v>
      </c>
      <c r="L602" s="12">
        <v>25.99</v>
      </c>
      <c r="M602" s="13">
        <v>0.1140620091</v>
      </c>
      <c r="N602" s="13">
        <v>0.0389121438</v>
      </c>
      <c r="O602" s="13">
        <v>0.2839553674</v>
      </c>
      <c r="P602" s="13">
        <v>0</v>
      </c>
      <c r="Q602" s="13">
        <v>0.0220122728</v>
      </c>
      <c r="R602" s="13">
        <v>0.395952278</v>
      </c>
      <c r="S602" s="13">
        <v>0</v>
      </c>
      <c r="T602" s="13">
        <v>0.1200461716</v>
      </c>
      <c r="U602" s="13">
        <v>0.0117626462</v>
      </c>
      <c r="V602" s="13">
        <v>0</v>
      </c>
      <c r="W602" s="13">
        <v>0</v>
      </c>
      <c r="X602" s="13">
        <v>0.1417083833</v>
      </c>
      <c r="Y602" s="13">
        <v>0</v>
      </c>
      <c r="Z602" s="13">
        <v>0.0014047314</v>
      </c>
    </row>
    <row r="603" s="2" customFormat="1" hidden="1" spans="1:26">
      <c r="A603" s="11" t="s">
        <v>935</v>
      </c>
      <c r="B603" s="11" t="s">
        <v>937</v>
      </c>
      <c r="C603" s="14" t="s">
        <v>263</v>
      </c>
      <c r="D603" s="14" t="s">
        <v>938</v>
      </c>
      <c r="E603" s="14" t="s">
        <v>939</v>
      </c>
      <c r="F603" s="3" t="s">
        <v>945</v>
      </c>
      <c r="G603" s="4">
        <v>0</v>
      </c>
      <c r="H603" s="12">
        <v>0</v>
      </c>
      <c r="I603" s="12">
        <v>-49.556326</v>
      </c>
      <c r="J603" s="13"/>
      <c r="K603" s="13"/>
      <c r="L603" s="12"/>
      <c r="M603" s="13"/>
      <c r="N603" s="13"/>
      <c r="O603" s="13"/>
      <c r="P603" s="13"/>
      <c r="Q603" s="13"/>
      <c r="R603" s="13"/>
      <c r="S603" s="13"/>
      <c r="T603" s="13"/>
      <c r="U603" s="13"/>
      <c r="V603" s="13"/>
      <c r="W603" s="13"/>
      <c r="X603" s="13"/>
      <c r="Y603" s="13"/>
      <c r="Z603" s="13"/>
    </row>
    <row r="604" s="2" customFormat="1" hidden="1" spans="1:26">
      <c r="A604" s="11" t="s">
        <v>935</v>
      </c>
      <c r="B604" s="11" t="s">
        <v>937</v>
      </c>
      <c r="C604" s="14" t="s">
        <v>267</v>
      </c>
      <c r="D604" s="14" t="s">
        <v>938</v>
      </c>
      <c r="E604" s="14" t="s">
        <v>939</v>
      </c>
      <c r="F604" s="3" t="s">
        <v>936</v>
      </c>
      <c r="G604" s="4">
        <v>63</v>
      </c>
      <c r="H604" s="12">
        <v>12509.756</v>
      </c>
      <c r="I604" s="12">
        <v>484.286132</v>
      </c>
      <c r="J604" s="13">
        <v>0.038712676</v>
      </c>
      <c r="K604" s="13">
        <v>0.038712676</v>
      </c>
      <c r="L604" s="12">
        <v>29.2011111111</v>
      </c>
      <c r="M604" s="13">
        <v>0.1513361128</v>
      </c>
      <c r="N604" s="13">
        <v>0.084037035</v>
      </c>
      <c r="O604" s="13">
        <v>0.2596607</v>
      </c>
      <c r="P604" s="13">
        <v>0.0644463409</v>
      </c>
      <c r="Q604" s="13">
        <v>0.0198195533</v>
      </c>
      <c r="R604" s="13">
        <v>0.2679430443</v>
      </c>
      <c r="S604" s="13">
        <v>0</v>
      </c>
      <c r="T604" s="13">
        <v>0.0922067544</v>
      </c>
      <c r="U604" s="13">
        <v>0.0156065374</v>
      </c>
      <c r="V604" s="13">
        <v>0</v>
      </c>
      <c r="W604" s="13">
        <v>0</v>
      </c>
      <c r="X604" s="13">
        <v>0</v>
      </c>
      <c r="Y604" s="13">
        <v>0</v>
      </c>
      <c r="Z604" s="13">
        <v>0.0062312452</v>
      </c>
    </row>
    <row r="605" s="2" customFormat="1" hidden="1" spans="1:26">
      <c r="A605" s="11" t="s">
        <v>935</v>
      </c>
      <c r="B605" s="11" t="s">
        <v>937</v>
      </c>
      <c r="C605" s="14" t="s">
        <v>267</v>
      </c>
      <c r="D605" s="14" t="s">
        <v>938</v>
      </c>
      <c r="E605" s="14" t="s">
        <v>939</v>
      </c>
      <c r="F605" s="3" t="s">
        <v>942</v>
      </c>
      <c r="G605" s="4">
        <v>3</v>
      </c>
      <c r="H605" s="12">
        <v>644.436</v>
      </c>
      <c r="I605" s="12">
        <v>-102.704564</v>
      </c>
      <c r="J605" s="13">
        <v>-0.1593712393</v>
      </c>
      <c r="K605" s="13">
        <v>-0.1593712393</v>
      </c>
      <c r="L605" s="12">
        <v>31.59</v>
      </c>
      <c r="M605" s="13">
        <v>0.1398918216</v>
      </c>
      <c r="N605" s="13">
        <v>0.0349435087</v>
      </c>
      <c r="O605" s="13">
        <v>0.2336182336</v>
      </c>
      <c r="P605" s="13">
        <v>0</v>
      </c>
      <c r="Q605" s="13">
        <v>0.0003234269</v>
      </c>
      <c r="R605" s="13">
        <v>0.6833588563</v>
      </c>
      <c r="S605" s="13">
        <v>0</v>
      </c>
      <c r="T605" s="13">
        <v>0.0463226759</v>
      </c>
      <c r="U605" s="13">
        <v>0.0144263448</v>
      </c>
      <c r="V605" s="13">
        <v>0</v>
      </c>
      <c r="W605" s="13">
        <v>0</v>
      </c>
      <c r="X605" s="13">
        <v>0</v>
      </c>
      <c r="Y605" s="13">
        <v>0</v>
      </c>
      <c r="Z605" s="13">
        <v>0.006486371</v>
      </c>
    </row>
    <row r="606" s="2" customFormat="1" hidden="1" spans="1:26">
      <c r="A606" s="11" t="s">
        <v>935</v>
      </c>
      <c r="B606" s="11" t="s">
        <v>937</v>
      </c>
      <c r="C606" s="14" t="s">
        <v>267</v>
      </c>
      <c r="D606" s="14" t="s">
        <v>938</v>
      </c>
      <c r="E606" s="14" t="s">
        <v>939</v>
      </c>
      <c r="F606" s="3" t="s">
        <v>943</v>
      </c>
      <c r="G606" s="4">
        <v>24</v>
      </c>
      <c r="H606" s="12">
        <v>5003.168</v>
      </c>
      <c r="I606" s="12">
        <v>-350.062443</v>
      </c>
      <c r="J606" s="13">
        <v>-0.0699681567</v>
      </c>
      <c r="K606" s="13">
        <v>-0.0699681567</v>
      </c>
      <c r="L606" s="12">
        <v>30.6566666666</v>
      </c>
      <c r="M606" s="13">
        <v>0.1441507876</v>
      </c>
      <c r="N606" s="13">
        <v>0.0843729445</v>
      </c>
      <c r="O606" s="13">
        <v>0.2458274437</v>
      </c>
      <c r="P606" s="13">
        <v>0.0429351962</v>
      </c>
      <c r="Q606" s="13">
        <v>0.0141493149</v>
      </c>
      <c r="R606" s="13">
        <v>0.4393415938</v>
      </c>
      <c r="S606" s="13">
        <v>0</v>
      </c>
      <c r="T606" s="13">
        <v>0.0714499293</v>
      </c>
      <c r="U606" s="13">
        <v>0.0148655507</v>
      </c>
      <c r="V606" s="13">
        <v>0</v>
      </c>
      <c r="W606" s="13">
        <v>0</v>
      </c>
      <c r="X606" s="13">
        <v>0</v>
      </c>
      <c r="Y606" s="13">
        <v>0</v>
      </c>
      <c r="Z606" s="13">
        <v>0.0128753955</v>
      </c>
    </row>
    <row r="607" s="2" customFormat="1" spans="1:26">
      <c r="A607" s="11" t="s">
        <v>935</v>
      </c>
      <c r="B607" s="11" t="s">
        <v>937</v>
      </c>
      <c r="C607" s="14" t="s">
        <v>267</v>
      </c>
      <c r="D607" s="14" t="s">
        <v>938</v>
      </c>
      <c r="E607" s="14" t="s">
        <v>939</v>
      </c>
      <c r="F607" s="3" t="s">
        <v>944</v>
      </c>
      <c r="G607" s="4">
        <v>35</v>
      </c>
      <c r="H607" s="12">
        <v>6658.22</v>
      </c>
      <c r="I607" s="12">
        <v>919.82673</v>
      </c>
      <c r="J607" s="13">
        <v>0.1381490443</v>
      </c>
      <c r="K607" s="13">
        <v>0.1381490443</v>
      </c>
      <c r="L607" s="12">
        <v>27.9757142857</v>
      </c>
      <c r="M607" s="13">
        <v>0.1579649621</v>
      </c>
      <c r="N607" s="13">
        <v>0.0885793868</v>
      </c>
      <c r="O607" s="13">
        <v>0.2727365572</v>
      </c>
      <c r="P607" s="13">
        <v>0.0888219373</v>
      </c>
      <c r="Q607" s="13">
        <v>0.026574362</v>
      </c>
      <c r="R607" s="13">
        <v>0.0980862672</v>
      </c>
      <c r="S607" s="13">
        <v>0</v>
      </c>
      <c r="T607" s="13">
        <v>0.1113925343</v>
      </c>
      <c r="U607" s="13">
        <v>0.0162901376</v>
      </c>
      <c r="V607" s="13">
        <v>0</v>
      </c>
      <c r="W607" s="13">
        <v>0</v>
      </c>
      <c r="X607" s="13">
        <v>0</v>
      </c>
      <c r="Y607" s="13">
        <v>0</v>
      </c>
      <c r="Z607" s="13">
        <v>0.0014048108</v>
      </c>
    </row>
    <row r="608" s="2" customFormat="1" hidden="1" spans="1:26">
      <c r="A608" s="11" t="s">
        <v>935</v>
      </c>
      <c r="B608" s="11" t="s">
        <v>937</v>
      </c>
      <c r="C608" s="14" t="s">
        <v>267</v>
      </c>
      <c r="D608" s="14" t="s">
        <v>938</v>
      </c>
      <c r="E608" s="14" t="s">
        <v>939</v>
      </c>
      <c r="F608" s="3" t="s">
        <v>945</v>
      </c>
      <c r="G608" s="4">
        <v>1</v>
      </c>
      <c r="H608" s="12">
        <v>203.932</v>
      </c>
      <c r="I608" s="12">
        <v>17.226409</v>
      </c>
      <c r="J608" s="13">
        <v>0.0844713384</v>
      </c>
      <c r="K608" s="13">
        <v>0.0844713384</v>
      </c>
      <c r="L608" s="12">
        <v>29.99</v>
      </c>
      <c r="M608" s="13">
        <v>0.1473552066</v>
      </c>
      <c r="N608" s="13">
        <v>0.0826299305</v>
      </c>
      <c r="O608" s="13">
        <v>0.2544181393</v>
      </c>
      <c r="P608" s="13">
        <v>0</v>
      </c>
      <c r="Q608" s="13">
        <v>0</v>
      </c>
      <c r="R608" s="13">
        <v>0.295889365</v>
      </c>
      <c r="S608" s="13">
        <v>0</v>
      </c>
      <c r="T608" s="13">
        <v>0.1200400133</v>
      </c>
      <c r="U608" s="13">
        <v>0.0151960065</v>
      </c>
      <c r="V608" s="13">
        <v>0</v>
      </c>
      <c r="W608" s="13">
        <v>0</v>
      </c>
      <c r="X608" s="13">
        <v>0</v>
      </c>
      <c r="Y608" s="13">
        <v>0</v>
      </c>
      <c r="Z608" s="13">
        <v>0</v>
      </c>
    </row>
    <row r="609" s="2" customFormat="1" hidden="1" spans="1:26">
      <c r="A609" s="11" t="s">
        <v>935</v>
      </c>
      <c r="B609" s="11" t="s">
        <v>937</v>
      </c>
      <c r="C609" s="14" t="s">
        <v>270</v>
      </c>
      <c r="D609" s="14" t="s">
        <v>938</v>
      </c>
      <c r="E609" s="14" t="s">
        <v>939</v>
      </c>
      <c r="F609" s="3" t="s">
        <v>936</v>
      </c>
      <c r="G609" s="4">
        <v>167</v>
      </c>
      <c r="H609" s="12">
        <v>27318.32</v>
      </c>
      <c r="I609" s="12">
        <v>2419.470141</v>
      </c>
      <c r="J609" s="13">
        <v>0.0885658466</v>
      </c>
      <c r="K609" s="13">
        <v>0.0885658466</v>
      </c>
      <c r="L609" s="12">
        <v>24.0562874251</v>
      </c>
      <c r="M609" s="13">
        <v>0.1255592297</v>
      </c>
      <c r="N609" s="13">
        <v>0.0358055249</v>
      </c>
      <c r="O609" s="13">
        <v>0.2985015183</v>
      </c>
      <c r="P609" s="13">
        <v>0.0913401702</v>
      </c>
      <c r="Q609" s="13">
        <v>0.0202245433</v>
      </c>
      <c r="R609" s="13">
        <v>0.2122480809</v>
      </c>
      <c r="S609" s="13">
        <v>0</v>
      </c>
      <c r="T609" s="13">
        <v>0.103514711</v>
      </c>
      <c r="U609" s="13">
        <v>0.012948296</v>
      </c>
      <c r="V609" s="13">
        <v>0.0004729426</v>
      </c>
      <c r="W609" s="13">
        <v>0</v>
      </c>
      <c r="X609" s="13">
        <v>0.0039552944</v>
      </c>
      <c r="Y609" s="13">
        <v>0</v>
      </c>
      <c r="Z609" s="13">
        <v>0.0068638413</v>
      </c>
    </row>
    <row r="610" s="2" customFormat="1" hidden="1" spans="1:26">
      <c r="A610" s="11" t="s">
        <v>935</v>
      </c>
      <c r="B610" s="11" t="s">
        <v>937</v>
      </c>
      <c r="C610" s="14" t="s">
        <v>270</v>
      </c>
      <c r="D610" s="14" t="s">
        <v>938</v>
      </c>
      <c r="E610" s="14" t="s">
        <v>939</v>
      </c>
      <c r="F610" s="3" t="s">
        <v>940</v>
      </c>
      <c r="G610" s="4">
        <v>1</v>
      </c>
      <c r="H610" s="12">
        <v>176.732</v>
      </c>
      <c r="I610" s="12">
        <v>48.017042</v>
      </c>
      <c r="J610" s="13">
        <v>0.2716941018</v>
      </c>
      <c r="K610" s="13">
        <v>0.2716941018</v>
      </c>
      <c r="L610" s="12">
        <v>25.99</v>
      </c>
      <c r="M610" s="13">
        <v>0.1183432768</v>
      </c>
      <c r="N610" s="13">
        <v>0.0326886811</v>
      </c>
      <c r="O610" s="13">
        <v>0.2408618699</v>
      </c>
      <c r="P610" s="13">
        <v>0</v>
      </c>
      <c r="Q610" s="13">
        <v>0.0008191951</v>
      </c>
      <c r="R610" s="13">
        <v>0.2149288074</v>
      </c>
      <c r="S610" s="13">
        <v>0</v>
      </c>
      <c r="T610" s="13">
        <v>0.1081185071</v>
      </c>
      <c r="U610" s="13">
        <v>0.0122041509</v>
      </c>
      <c r="V610" s="13">
        <v>0</v>
      </c>
      <c r="W610" s="13">
        <v>0</v>
      </c>
      <c r="X610" s="13">
        <v>0</v>
      </c>
      <c r="Y610" s="13">
        <v>0</v>
      </c>
      <c r="Z610" s="13">
        <v>0.0003414095</v>
      </c>
    </row>
    <row r="611" s="2" customFormat="1" hidden="1" spans="1:26">
      <c r="A611" s="11" t="s">
        <v>935</v>
      </c>
      <c r="B611" s="11" t="s">
        <v>937</v>
      </c>
      <c r="C611" s="14" t="s">
        <v>270</v>
      </c>
      <c r="D611" s="14" t="s">
        <v>938</v>
      </c>
      <c r="E611" s="14" t="s">
        <v>939</v>
      </c>
      <c r="F611" s="3" t="s">
        <v>941</v>
      </c>
      <c r="G611" s="4">
        <v>17</v>
      </c>
      <c r="H611" s="12">
        <v>2740.332</v>
      </c>
      <c r="I611" s="12">
        <v>29.003108</v>
      </c>
      <c r="J611" s="13">
        <v>0.0105837934</v>
      </c>
      <c r="K611" s="13">
        <v>0.0105837934</v>
      </c>
      <c r="L611" s="12">
        <v>23.7052941176</v>
      </c>
      <c r="M611" s="13">
        <v>0.1221168471</v>
      </c>
      <c r="N611" s="13">
        <v>0.0386698195</v>
      </c>
      <c r="O611" s="13">
        <v>0.28650835</v>
      </c>
      <c r="P611" s="13">
        <v>0.1193081714</v>
      </c>
      <c r="Q611" s="13">
        <v>0.0080897515</v>
      </c>
      <c r="R611" s="13">
        <v>0.3052266487</v>
      </c>
      <c r="S611" s="13">
        <v>0</v>
      </c>
      <c r="T611" s="13">
        <v>0.0903744509</v>
      </c>
      <c r="U611" s="13">
        <v>0.0125933003</v>
      </c>
      <c r="V611" s="13">
        <v>0.0011910965</v>
      </c>
      <c r="W611" s="13">
        <v>0</v>
      </c>
      <c r="X611" s="13">
        <v>0</v>
      </c>
      <c r="Y611" s="13">
        <v>0</v>
      </c>
      <c r="Z611" s="13">
        <v>0.00533777</v>
      </c>
    </row>
    <row r="612" s="2" customFormat="1" hidden="1" spans="1:26">
      <c r="A612" s="11" t="s">
        <v>935</v>
      </c>
      <c r="B612" s="11" t="s">
        <v>937</v>
      </c>
      <c r="C612" s="14" t="s">
        <v>270</v>
      </c>
      <c r="D612" s="14" t="s">
        <v>938</v>
      </c>
      <c r="E612" s="14" t="s">
        <v>939</v>
      </c>
      <c r="F612" s="3" t="s">
        <v>942</v>
      </c>
      <c r="G612" s="4">
        <v>49</v>
      </c>
      <c r="H612" s="12">
        <v>7673.188</v>
      </c>
      <c r="I612" s="12">
        <v>333.601698</v>
      </c>
      <c r="J612" s="13">
        <v>0.0434762836</v>
      </c>
      <c r="K612" s="13">
        <v>0.0434762836</v>
      </c>
      <c r="L612" s="12">
        <v>23.0287755101</v>
      </c>
      <c r="M612" s="13">
        <v>0.1281093422</v>
      </c>
      <c r="N612" s="13">
        <v>0.0318889667</v>
      </c>
      <c r="O612" s="13">
        <v>0.3073882719</v>
      </c>
      <c r="P612" s="13">
        <v>0.106300015</v>
      </c>
      <c r="Q612" s="13">
        <v>0.0214192093</v>
      </c>
      <c r="R612" s="13">
        <v>0.2385309547</v>
      </c>
      <c r="S612" s="13">
        <v>0</v>
      </c>
      <c r="T612" s="13">
        <v>0.1019310357</v>
      </c>
      <c r="U612" s="13">
        <v>0.0132112764</v>
      </c>
      <c r="V612" s="13">
        <v>0.0012584078</v>
      </c>
      <c r="W612" s="13">
        <v>0</v>
      </c>
      <c r="X612" s="13">
        <v>0</v>
      </c>
      <c r="Y612" s="13">
        <v>0</v>
      </c>
      <c r="Z612" s="13">
        <v>0.006486236</v>
      </c>
    </row>
    <row r="613" s="2" customFormat="1" hidden="1" spans="1:26">
      <c r="A613" s="11" t="s">
        <v>935</v>
      </c>
      <c r="B613" s="11" t="s">
        <v>937</v>
      </c>
      <c r="C613" s="14" t="s">
        <v>270</v>
      </c>
      <c r="D613" s="14" t="s">
        <v>938</v>
      </c>
      <c r="E613" s="14" t="s">
        <v>939</v>
      </c>
      <c r="F613" s="3" t="s">
        <v>943</v>
      </c>
      <c r="G613" s="4">
        <v>52</v>
      </c>
      <c r="H613" s="12">
        <v>8741.264</v>
      </c>
      <c r="I613" s="12">
        <v>1194.038245</v>
      </c>
      <c r="J613" s="13">
        <v>0.136597893</v>
      </c>
      <c r="K613" s="13">
        <v>0.136597893</v>
      </c>
      <c r="L613" s="12">
        <v>24.7207692307</v>
      </c>
      <c r="M613" s="13">
        <v>0.1244193388</v>
      </c>
      <c r="N613" s="13">
        <v>0.0369430489</v>
      </c>
      <c r="O613" s="13">
        <v>0.2985343996</v>
      </c>
      <c r="P613" s="13">
        <v>0.0575427077</v>
      </c>
      <c r="Q613" s="13">
        <v>0.0250064614</v>
      </c>
      <c r="R613" s="13">
        <v>0.1849149736</v>
      </c>
      <c r="S613" s="13">
        <v>0</v>
      </c>
      <c r="T613" s="13">
        <v>0.105587018</v>
      </c>
      <c r="U613" s="13">
        <v>0.0128307448</v>
      </c>
      <c r="V613" s="13">
        <v>0</v>
      </c>
      <c r="W613" s="13">
        <v>0</v>
      </c>
      <c r="X613" s="13">
        <v>0.0047480314</v>
      </c>
      <c r="Y613" s="13">
        <v>0</v>
      </c>
      <c r="Z613" s="13">
        <v>0.0128753822</v>
      </c>
    </row>
    <row r="614" s="2" customFormat="1" spans="1:26">
      <c r="A614" s="11" t="s">
        <v>935</v>
      </c>
      <c r="B614" s="11" t="s">
        <v>937</v>
      </c>
      <c r="C614" s="14" t="s">
        <v>270</v>
      </c>
      <c r="D614" s="14" t="s">
        <v>938</v>
      </c>
      <c r="E614" s="14" t="s">
        <v>939</v>
      </c>
      <c r="F614" s="3" t="s">
        <v>944</v>
      </c>
      <c r="G614" s="4">
        <v>45</v>
      </c>
      <c r="H614" s="12">
        <v>7477.008</v>
      </c>
      <c r="I614" s="12">
        <v>814.741902</v>
      </c>
      <c r="J614" s="13">
        <v>0.1089663006</v>
      </c>
      <c r="K614" s="13">
        <v>0.1089663006</v>
      </c>
      <c r="L614" s="12">
        <v>24.4346666666</v>
      </c>
      <c r="M614" s="13">
        <v>0.1258761499</v>
      </c>
      <c r="N614" s="13">
        <v>0.0374626615</v>
      </c>
      <c r="O614" s="13">
        <v>0.2953181272</v>
      </c>
      <c r="P614" s="13">
        <v>0.0909090909</v>
      </c>
      <c r="Q614" s="13">
        <v>0.0196930996</v>
      </c>
      <c r="R614" s="13">
        <v>0.1903587248</v>
      </c>
      <c r="S614" s="13">
        <v>0</v>
      </c>
      <c r="T614" s="13">
        <v>0.1084797555</v>
      </c>
      <c r="U614" s="13">
        <v>0.0129809784</v>
      </c>
      <c r="V614" s="13">
        <v>0</v>
      </c>
      <c r="W614" s="13">
        <v>0</v>
      </c>
      <c r="X614" s="13">
        <v>0.0085502989</v>
      </c>
      <c r="Y614" s="13">
        <v>0</v>
      </c>
      <c r="Z614" s="13">
        <v>0.001404812</v>
      </c>
    </row>
    <row r="615" s="2" customFormat="1" hidden="1" spans="1:26">
      <c r="A615" s="11" t="s">
        <v>935</v>
      </c>
      <c r="B615" s="11" t="s">
        <v>937</v>
      </c>
      <c r="C615" s="14" t="s">
        <v>270</v>
      </c>
      <c r="D615" s="14" t="s">
        <v>938</v>
      </c>
      <c r="E615" s="14" t="s">
        <v>939</v>
      </c>
      <c r="F615" s="3" t="s">
        <v>945</v>
      </c>
      <c r="G615" s="4">
        <v>3</v>
      </c>
      <c r="H615" s="12">
        <v>509.796</v>
      </c>
      <c r="I615" s="12">
        <v>0.068146</v>
      </c>
      <c r="J615" s="13">
        <v>0.000133673</v>
      </c>
      <c r="K615" s="13">
        <v>0.000133673</v>
      </c>
      <c r="L615" s="12">
        <v>24.99</v>
      </c>
      <c r="M615" s="13">
        <v>0.1230789021</v>
      </c>
      <c r="N615" s="13">
        <v>0.0366301579</v>
      </c>
      <c r="O615" s="13">
        <v>0.2953181272</v>
      </c>
      <c r="P615" s="13">
        <v>0.3333333333</v>
      </c>
      <c r="Q615" s="13">
        <v>0</v>
      </c>
      <c r="R615" s="13">
        <v>0.105643577</v>
      </c>
      <c r="S615" s="13">
        <v>0</v>
      </c>
      <c r="T615" s="13">
        <v>0.088035214</v>
      </c>
      <c r="U615" s="13">
        <v>0.0126925122</v>
      </c>
      <c r="V615" s="13">
        <v>0</v>
      </c>
      <c r="W615" s="13">
        <v>0</v>
      </c>
      <c r="X615" s="13">
        <v>0.0051345028</v>
      </c>
      <c r="Y615" s="13">
        <v>0</v>
      </c>
      <c r="Z615" s="13">
        <v>0</v>
      </c>
    </row>
    <row r="616" s="2" customFormat="1" hidden="1" spans="1:26">
      <c r="A616" s="11" t="s">
        <v>935</v>
      </c>
      <c r="B616" s="11" t="s">
        <v>937</v>
      </c>
      <c r="C616" s="14" t="s">
        <v>274</v>
      </c>
      <c r="D616" s="14" t="s">
        <v>938</v>
      </c>
      <c r="E616" s="14" t="s">
        <v>939</v>
      </c>
      <c r="F616" s="3" t="s">
        <v>936</v>
      </c>
      <c r="G616" s="4">
        <v>42</v>
      </c>
      <c r="H616" s="12">
        <v>7470.344</v>
      </c>
      <c r="I616" s="12">
        <v>-173.154337</v>
      </c>
      <c r="J616" s="13">
        <v>-0.0231788973</v>
      </c>
      <c r="K616" s="13">
        <v>-0.0231788973</v>
      </c>
      <c r="L616" s="12">
        <v>26.1566666666</v>
      </c>
      <c r="M616" s="13">
        <v>0.1268584303</v>
      </c>
      <c r="N616" s="13">
        <v>0.0622362913</v>
      </c>
      <c r="O616" s="13">
        <v>0.2817091154</v>
      </c>
      <c r="P616" s="13">
        <v>0.022474467</v>
      </c>
      <c r="Q616" s="13">
        <v>0.0369404548</v>
      </c>
      <c r="R616" s="13">
        <v>0.3818825594</v>
      </c>
      <c r="S616" s="13">
        <v>0</v>
      </c>
      <c r="T616" s="13">
        <v>0.0899342787</v>
      </c>
      <c r="U616" s="13">
        <v>0.0130822738</v>
      </c>
      <c r="V616" s="13">
        <v>0</v>
      </c>
      <c r="W616" s="13">
        <v>0</v>
      </c>
      <c r="X616" s="13">
        <v>0</v>
      </c>
      <c r="Y616" s="13">
        <v>0</v>
      </c>
      <c r="Z616" s="13">
        <v>0.0080610262</v>
      </c>
    </row>
    <row r="617" s="2" customFormat="1" hidden="1" spans="1:26">
      <c r="A617" s="11" t="s">
        <v>935</v>
      </c>
      <c r="B617" s="11" t="s">
        <v>937</v>
      </c>
      <c r="C617" s="14" t="s">
        <v>274</v>
      </c>
      <c r="D617" s="14" t="s">
        <v>938</v>
      </c>
      <c r="E617" s="14" t="s">
        <v>939</v>
      </c>
      <c r="F617" s="3" t="s">
        <v>941</v>
      </c>
      <c r="G617" s="4">
        <v>0</v>
      </c>
      <c r="H617" s="12">
        <v>0</v>
      </c>
      <c r="I617" s="12">
        <v>-11.56</v>
      </c>
      <c r="J617" s="13"/>
      <c r="K617" s="13"/>
      <c r="L617" s="12"/>
      <c r="M617" s="13"/>
      <c r="N617" s="13"/>
      <c r="O617" s="13"/>
      <c r="P617" s="13"/>
      <c r="Q617" s="13"/>
      <c r="R617" s="13"/>
      <c r="S617" s="13"/>
      <c r="T617" s="13"/>
      <c r="U617" s="13"/>
      <c r="V617" s="13"/>
      <c r="W617" s="13"/>
      <c r="X617" s="13"/>
      <c r="Y617" s="13"/>
      <c r="Z617" s="13"/>
    </row>
    <row r="618" s="2" customFormat="1" hidden="1" spans="1:26">
      <c r="A618" s="11" t="s">
        <v>935</v>
      </c>
      <c r="B618" s="11" t="s">
        <v>937</v>
      </c>
      <c r="C618" s="14" t="s">
        <v>274</v>
      </c>
      <c r="D618" s="14" t="s">
        <v>938</v>
      </c>
      <c r="E618" s="14" t="s">
        <v>939</v>
      </c>
      <c r="F618" s="3" t="s">
        <v>942</v>
      </c>
      <c r="G618" s="4">
        <v>5</v>
      </c>
      <c r="H618" s="12">
        <v>917.66</v>
      </c>
      <c r="I618" s="12">
        <v>-380.499716</v>
      </c>
      <c r="J618" s="13">
        <v>-0.4146412789</v>
      </c>
      <c r="K618" s="13">
        <v>-0.4146412789</v>
      </c>
      <c r="L618" s="12">
        <v>26.99</v>
      </c>
      <c r="M618" s="13">
        <v>0.122941596</v>
      </c>
      <c r="N618" s="13">
        <v>0.0334543948</v>
      </c>
      <c r="O618" s="13">
        <v>0.2698777324</v>
      </c>
      <c r="P618" s="13">
        <v>0</v>
      </c>
      <c r="Q618" s="13">
        <v>0.0732178203</v>
      </c>
      <c r="R618" s="13">
        <v>0.8630841106</v>
      </c>
      <c r="S618" s="13">
        <v>0</v>
      </c>
      <c r="T618" s="13">
        <v>0.0329010744</v>
      </c>
      <c r="U618" s="13">
        <v>0.0126783503</v>
      </c>
      <c r="V618" s="13">
        <v>0</v>
      </c>
      <c r="W618" s="13">
        <v>0</v>
      </c>
      <c r="X618" s="13">
        <v>0</v>
      </c>
      <c r="Y618" s="13">
        <v>0</v>
      </c>
      <c r="Z618" s="13">
        <v>0.0064861996</v>
      </c>
    </row>
    <row r="619" s="2" customFormat="1" hidden="1" spans="1:26">
      <c r="A619" s="11" t="s">
        <v>935</v>
      </c>
      <c r="B619" s="11" t="s">
        <v>937</v>
      </c>
      <c r="C619" s="14" t="s">
        <v>274</v>
      </c>
      <c r="D619" s="14" t="s">
        <v>938</v>
      </c>
      <c r="E619" s="14" t="s">
        <v>939</v>
      </c>
      <c r="F619" s="3" t="s">
        <v>943</v>
      </c>
      <c r="G619" s="4">
        <v>22</v>
      </c>
      <c r="H619" s="12">
        <v>3990.104</v>
      </c>
      <c r="I619" s="12">
        <v>37.705109</v>
      </c>
      <c r="J619" s="13">
        <v>0.0094496556</v>
      </c>
      <c r="K619" s="13">
        <v>0.0094496556</v>
      </c>
      <c r="L619" s="12">
        <v>26.6718181818</v>
      </c>
      <c r="M619" s="13">
        <v>0.1244082294</v>
      </c>
      <c r="N619" s="13">
        <v>0.0647073048</v>
      </c>
      <c r="O619" s="13">
        <v>0.2766965472</v>
      </c>
      <c r="P619" s="13">
        <v>0</v>
      </c>
      <c r="Q619" s="13">
        <v>0.0147310085</v>
      </c>
      <c r="R619" s="13">
        <v>0.3962283752</v>
      </c>
      <c r="S619" s="13">
        <v>0</v>
      </c>
      <c r="T619" s="13">
        <v>0.0880738948</v>
      </c>
      <c r="U619" s="13">
        <v>0.0128295969</v>
      </c>
      <c r="V619" s="13">
        <v>0</v>
      </c>
      <c r="W619" s="13">
        <v>0</v>
      </c>
      <c r="X619" s="13">
        <v>0</v>
      </c>
      <c r="Y619" s="13">
        <v>0</v>
      </c>
      <c r="Z619" s="13">
        <v>0.0128753872</v>
      </c>
    </row>
    <row r="620" s="2" customFormat="1" spans="1:26">
      <c r="A620" s="11" t="s">
        <v>935</v>
      </c>
      <c r="B620" s="11" t="s">
        <v>937</v>
      </c>
      <c r="C620" s="14" t="s">
        <v>274</v>
      </c>
      <c r="D620" s="14" t="s">
        <v>938</v>
      </c>
      <c r="E620" s="14" t="s">
        <v>939</v>
      </c>
      <c r="F620" s="3" t="s">
        <v>944</v>
      </c>
      <c r="G620" s="4">
        <v>12</v>
      </c>
      <c r="H620" s="12">
        <v>2058.904</v>
      </c>
      <c r="I620" s="12">
        <v>202.197572</v>
      </c>
      <c r="J620" s="13">
        <v>0.0982064107</v>
      </c>
      <c r="K620" s="13">
        <v>0.0982064107</v>
      </c>
      <c r="L620" s="12">
        <v>25.2316666666</v>
      </c>
      <c r="M620" s="13">
        <v>0.1315090961</v>
      </c>
      <c r="N620" s="13">
        <v>0.0684006131</v>
      </c>
      <c r="O620" s="13">
        <v>0.2924895964</v>
      </c>
      <c r="P620" s="13">
        <v>0</v>
      </c>
      <c r="Q620" s="13">
        <v>0.0728497219</v>
      </c>
      <c r="R620" s="13">
        <v>0.2021181992</v>
      </c>
      <c r="S620" s="13">
        <v>0</v>
      </c>
      <c r="T620" s="13">
        <v>0.1194596736</v>
      </c>
      <c r="U620" s="13">
        <v>0.0135618736</v>
      </c>
      <c r="V620" s="13">
        <v>0</v>
      </c>
      <c r="W620" s="13">
        <v>0</v>
      </c>
      <c r="X620" s="13">
        <v>0</v>
      </c>
      <c r="Y620" s="13">
        <v>0</v>
      </c>
      <c r="Z620" s="13">
        <v>0.0014048148</v>
      </c>
    </row>
    <row r="621" s="2" customFormat="1" hidden="1" spans="1:26">
      <c r="A621" s="11" t="s">
        <v>935</v>
      </c>
      <c r="B621" s="11" t="s">
        <v>937</v>
      </c>
      <c r="C621" s="14" t="s">
        <v>274</v>
      </c>
      <c r="D621" s="14" t="s">
        <v>938</v>
      </c>
      <c r="E621" s="14" t="s">
        <v>939</v>
      </c>
      <c r="F621" s="3" t="s">
        <v>945</v>
      </c>
      <c r="G621" s="4">
        <v>3</v>
      </c>
      <c r="H621" s="12">
        <v>503.676</v>
      </c>
      <c r="I621" s="12">
        <v>-20.997302</v>
      </c>
      <c r="J621" s="13">
        <v>-0.0416881129</v>
      </c>
      <c r="K621" s="13">
        <v>-0.0416881129</v>
      </c>
      <c r="L621" s="12">
        <v>24.69</v>
      </c>
      <c r="M621" s="13">
        <v>0.1343942355</v>
      </c>
      <c r="N621" s="13">
        <v>0.0699012341</v>
      </c>
      <c r="O621" s="13">
        <v>0.2989064398</v>
      </c>
      <c r="P621" s="13">
        <v>0.3333333333</v>
      </c>
      <c r="Q621" s="13">
        <v>0</v>
      </c>
      <c r="R621" s="13">
        <v>0.1034036324</v>
      </c>
      <c r="S621" s="13">
        <v>0</v>
      </c>
      <c r="T621" s="13">
        <v>0.0878898339</v>
      </c>
      <c r="U621" s="13">
        <v>0.0138594036</v>
      </c>
      <c r="V621" s="13">
        <v>0</v>
      </c>
      <c r="W621" s="13">
        <v>0</v>
      </c>
      <c r="X621" s="13">
        <v>0</v>
      </c>
      <c r="Y621" s="13">
        <v>0</v>
      </c>
      <c r="Z621" s="13">
        <v>0</v>
      </c>
    </row>
    <row r="622" s="2" customFormat="1" hidden="1" spans="1:26">
      <c r="A622" s="11" t="s">
        <v>935</v>
      </c>
      <c r="B622" s="11" t="s">
        <v>937</v>
      </c>
      <c r="C622" s="14" t="s">
        <v>278</v>
      </c>
      <c r="D622" s="14" t="s">
        <v>938</v>
      </c>
      <c r="E622" s="14" t="s">
        <v>939</v>
      </c>
      <c r="F622" s="3" t="s">
        <v>936</v>
      </c>
      <c r="G622" s="4">
        <v>79</v>
      </c>
      <c r="H622" s="12">
        <v>12065.988</v>
      </c>
      <c r="I622" s="12">
        <v>533.998223</v>
      </c>
      <c r="J622" s="13">
        <v>0.0442564855</v>
      </c>
      <c r="K622" s="13">
        <v>0.0442564855</v>
      </c>
      <c r="L622" s="12">
        <v>22.4608860759</v>
      </c>
      <c r="M622" s="13">
        <v>0.1299500092</v>
      </c>
      <c r="N622" s="13">
        <v>0.061819815</v>
      </c>
      <c r="O622" s="13">
        <v>0.3517619941</v>
      </c>
      <c r="P622" s="13">
        <v>0.0890042323</v>
      </c>
      <c r="Q622" s="13">
        <v>0.0294136744</v>
      </c>
      <c r="R622" s="13">
        <v>0.1748529907</v>
      </c>
      <c r="S622" s="13">
        <v>0</v>
      </c>
      <c r="T622" s="13">
        <v>0.1049757384</v>
      </c>
      <c r="U622" s="13">
        <v>0.0134010938</v>
      </c>
      <c r="V622" s="13">
        <v>-0.0053313495</v>
      </c>
      <c r="W622" s="13">
        <v>-0.0026422317</v>
      </c>
      <c r="X622" s="13">
        <v>0.0025585967</v>
      </c>
      <c r="Y622" s="13">
        <v>0</v>
      </c>
      <c r="Z622" s="13">
        <v>0.0059789507</v>
      </c>
    </row>
    <row r="623" s="2" customFormat="1" hidden="1" spans="1:26">
      <c r="A623" s="11" t="s">
        <v>935</v>
      </c>
      <c r="B623" s="11" t="s">
        <v>937</v>
      </c>
      <c r="C623" s="14" t="s">
        <v>278</v>
      </c>
      <c r="D623" s="14" t="s">
        <v>938</v>
      </c>
      <c r="E623" s="14" t="s">
        <v>939</v>
      </c>
      <c r="F623" s="3" t="s">
        <v>941</v>
      </c>
      <c r="G623" s="4">
        <v>11</v>
      </c>
      <c r="H623" s="12">
        <v>1687.828</v>
      </c>
      <c r="I623" s="12">
        <v>-32.370624</v>
      </c>
      <c r="J623" s="13">
        <v>-0.0191788641</v>
      </c>
      <c r="K623" s="13">
        <v>-0.0191788641</v>
      </c>
      <c r="L623" s="12">
        <v>22.5645454545</v>
      </c>
      <c r="M623" s="13">
        <v>0.1293530312</v>
      </c>
      <c r="N623" s="13">
        <v>0.0620949474</v>
      </c>
      <c r="O623" s="13">
        <v>0.3364489746</v>
      </c>
      <c r="P623" s="13">
        <v>0</v>
      </c>
      <c r="Q623" s="13">
        <v>0.0067461571</v>
      </c>
      <c r="R623" s="13">
        <v>0.370052478</v>
      </c>
      <c r="S623" s="13">
        <v>0</v>
      </c>
      <c r="T623" s="13">
        <v>0.0958059707</v>
      </c>
      <c r="U623" s="13">
        <v>0.0133395304</v>
      </c>
      <c r="V623" s="13">
        <v>0</v>
      </c>
      <c r="W623" s="13">
        <v>0</v>
      </c>
      <c r="X623" s="13">
        <v>0</v>
      </c>
      <c r="Y623" s="13">
        <v>0</v>
      </c>
      <c r="Z623" s="13">
        <v>0.0053377743</v>
      </c>
    </row>
    <row r="624" s="2" customFormat="1" hidden="1" spans="1:26">
      <c r="A624" s="11" t="s">
        <v>935</v>
      </c>
      <c r="B624" s="11" t="s">
        <v>937</v>
      </c>
      <c r="C624" s="14" t="s">
        <v>278</v>
      </c>
      <c r="D624" s="14" t="s">
        <v>938</v>
      </c>
      <c r="E624" s="14" t="s">
        <v>939</v>
      </c>
      <c r="F624" s="3" t="s">
        <v>942</v>
      </c>
      <c r="G624" s="4">
        <v>27</v>
      </c>
      <c r="H624" s="12">
        <v>4016.148</v>
      </c>
      <c r="I624" s="12">
        <v>428.572416</v>
      </c>
      <c r="J624" s="13">
        <v>0.1067123064</v>
      </c>
      <c r="K624" s="13">
        <v>0.1067123064</v>
      </c>
      <c r="L624" s="12">
        <v>21.8744444444</v>
      </c>
      <c r="M624" s="13">
        <v>0.1334338963</v>
      </c>
      <c r="N624" s="13">
        <v>0.0362523022</v>
      </c>
      <c r="O624" s="13">
        <v>0.3628451939</v>
      </c>
      <c r="P624" s="13">
        <v>0</v>
      </c>
      <c r="Q624" s="13">
        <v>0.0294653284</v>
      </c>
      <c r="R624" s="13">
        <v>0.1982795787</v>
      </c>
      <c r="S624" s="13">
        <v>0</v>
      </c>
      <c r="T624" s="13">
        <v>0.1127647686</v>
      </c>
      <c r="U624" s="13">
        <v>0.0137603696</v>
      </c>
      <c r="V624" s="13">
        <v>0</v>
      </c>
      <c r="W624" s="13">
        <v>0</v>
      </c>
      <c r="X624" s="13">
        <v>0</v>
      </c>
      <c r="Y624" s="13">
        <v>0</v>
      </c>
      <c r="Z624" s="13">
        <v>0.0064862554</v>
      </c>
    </row>
    <row r="625" s="2" customFormat="1" hidden="1" spans="1:26">
      <c r="A625" s="11" t="s">
        <v>935</v>
      </c>
      <c r="B625" s="11" t="s">
        <v>937</v>
      </c>
      <c r="C625" s="14" t="s">
        <v>278</v>
      </c>
      <c r="D625" s="14" t="s">
        <v>938</v>
      </c>
      <c r="E625" s="14" t="s">
        <v>939</v>
      </c>
      <c r="F625" s="3" t="s">
        <v>943</v>
      </c>
      <c r="G625" s="4">
        <v>16</v>
      </c>
      <c r="H625" s="12">
        <v>2453.712</v>
      </c>
      <c r="I625" s="12">
        <v>28.94922</v>
      </c>
      <c r="J625" s="13">
        <v>0.0117981327</v>
      </c>
      <c r="K625" s="13">
        <v>0.0117981327</v>
      </c>
      <c r="L625" s="12">
        <v>22.5525</v>
      </c>
      <c r="M625" s="13">
        <v>0.1294221196</v>
      </c>
      <c r="N625" s="13">
        <v>0.0784662454</v>
      </c>
      <c r="O625" s="13">
        <v>0.3529542179</v>
      </c>
      <c r="P625" s="13">
        <v>0.182823412</v>
      </c>
      <c r="Q625" s="13">
        <v>0.0531989182</v>
      </c>
      <c r="R625" s="13">
        <v>0.1009726324</v>
      </c>
      <c r="S625" s="13">
        <v>0</v>
      </c>
      <c r="T625" s="13">
        <v>0.0990189557</v>
      </c>
      <c r="U625" s="13">
        <v>0.0133466551</v>
      </c>
      <c r="V625" s="13">
        <v>-0.0262166056</v>
      </c>
      <c r="W625" s="13">
        <v>-0.0129930228</v>
      </c>
      <c r="X625" s="13">
        <v>0.0043329437</v>
      </c>
      <c r="Y625" s="13">
        <v>0</v>
      </c>
      <c r="Z625" s="13">
        <v>0.0128753953</v>
      </c>
    </row>
    <row r="626" s="2" customFormat="1" spans="1:26">
      <c r="A626" s="11" t="s">
        <v>935</v>
      </c>
      <c r="B626" s="11" t="s">
        <v>937</v>
      </c>
      <c r="C626" s="14" t="s">
        <v>278</v>
      </c>
      <c r="D626" s="14" t="s">
        <v>938</v>
      </c>
      <c r="E626" s="14" t="s">
        <v>939</v>
      </c>
      <c r="F626" s="3" t="s">
        <v>944</v>
      </c>
      <c r="G626" s="4">
        <v>25</v>
      </c>
      <c r="H626" s="12">
        <v>3908.3</v>
      </c>
      <c r="I626" s="12">
        <v>264.144394</v>
      </c>
      <c r="J626" s="13">
        <v>0.0675854959</v>
      </c>
      <c r="K626" s="13">
        <v>0.0675854959</v>
      </c>
      <c r="L626" s="12">
        <v>22.99</v>
      </c>
      <c r="M626" s="13">
        <v>0.126959215</v>
      </c>
      <c r="N626" s="13">
        <v>0.0775230601</v>
      </c>
      <c r="O626" s="13">
        <v>0.3462374945</v>
      </c>
      <c r="P626" s="13">
        <v>0.12</v>
      </c>
      <c r="Q626" s="13">
        <v>0.0242168579</v>
      </c>
      <c r="R626" s="13">
        <v>0.109284875</v>
      </c>
      <c r="S626" s="13">
        <v>0</v>
      </c>
      <c r="T626" s="13">
        <v>0.1085167464</v>
      </c>
      <c r="U626" s="13">
        <v>0.0130926684</v>
      </c>
      <c r="V626" s="13">
        <v>0</v>
      </c>
      <c r="W626" s="13">
        <v>0</v>
      </c>
      <c r="X626" s="13">
        <v>0.0051787738</v>
      </c>
      <c r="Y626" s="13">
        <v>0</v>
      </c>
      <c r="Z626" s="13">
        <v>0.0014048125</v>
      </c>
    </row>
    <row r="627" s="2" customFormat="1" hidden="1" spans="1:26">
      <c r="A627" s="11" t="s">
        <v>935</v>
      </c>
      <c r="B627" s="11" t="s">
        <v>937</v>
      </c>
      <c r="C627" s="14" t="s">
        <v>278</v>
      </c>
      <c r="D627" s="14" t="s">
        <v>938</v>
      </c>
      <c r="E627" s="14" t="s">
        <v>939</v>
      </c>
      <c r="F627" s="3" t="s">
        <v>945</v>
      </c>
      <c r="G627" s="4">
        <v>0</v>
      </c>
      <c r="H627" s="12">
        <v>0</v>
      </c>
      <c r="I627" s="12">
        <v>-155.297183</v>
      </c>
      <c r="J627" s="13"/>
      <c r="K627" s="13"/>
      <c r="L627" s="12"/>
      <c r="M627" s="13"/>
      <c r="N627" s="13"/>
      <c r="O627" s="13"/>
      <c r="P627" s="13"/>
      <c r="Q627" s="13"/>
      <c r="R627" s="13"/>
      <c r="S627" s="13"/>
      <c r="T627" s="13"/>
      <c r="U627" s="13"/>
      <c r="V627" s="13"/>
      <c r="W627" s="13"/>
      <c r="X627" s="13"/>
      <c r="Y627" s="13"/>
      <c r="Z627" s="13"/>
    </row>
    <row r="628" s="2" customFormat="1" hidden="1" spans="1:26">
      <c r="A628" s="11" t="s">
        <v>935</v>
      </c>
      <c r="B628" s="11" t="s">
        <v>937</v>
      </c>
      <c r="C628" s="14" t="s">
        <v>282</v>
      </c>
      <c r="D628" s="14" t="s">
        <v>938</v>
      </c>
      <c r="E628" s="14" t="s">
        <v>939</v>
      </c>
      <c r="F628" s="3" t="s">
        <v>936</v>
      </c>
      <c r="G628" s="4">
        <v>152</v>
      </c>
      <c r="H628" s="12">
        <v>24851.28</v>
      </c>
      <c r="I628" s="12">
        <v>6131.975152</v>
      </c>
      <c r="J628" s="13">
        <v>0.2467468537</v>
      </c>
      <c r="K628" s="13">
        <v>0.2467468537</v>
      </c>
      <c r="L628" s="12">
        <v>24.0434210526</v>
      </c>
      <c r="M628" s="13">
        <v>0.1129690955</v>
      </c>
      <c r="N628" s="13">
        <v>0.0224255062</v>
      </c>
      <c r="O628" s="13">
        <v>0.283853226</v>
      </c>
      <c r="P628" s="13">
        <v>0.0347370437</v>
      </c>
      <c r="Q628" s="13">
        <v>0.0121124783</v>
      </c>
      <c r="R628" s="13">
        <v>0.1585221745</v>
      </c>
      <c r="S628" s="13">
        <v>0</v>
      </c>
      <c r="T628" s="13">
        <v>0.1131396048</v>
      </c>
      <c r="U628" s="13">
        <v>0.0116499399</v>
      </c>
      <c r="V628" s="13">
        <v>-0.0041673507</v>
      </c>
      <c r="W628" s="13">
        <v>0</v>
      </c>
      <c r="X628" s="13">
        <v>0.00124227</v>
      </c>
      <c r="Y628" s="13">
        <v>0</v>
      </c>
      <c r="Z628" s="13">
        <v>0.0067691576</v>
      </c>
    </row>
    <row r="629" s="2" customFormat="1" hidden="1" spans="1:26">
      <c r="A629" s="11" t="s">
        <v>935</v>
      </c>
      <c r="B629" s="11" t="s">
        <v>937</v>
      </c>
      <c r="C629" s="14" t="s">
        <v>282</v>
      </c>
      <c r="D629" s="14" t="s">
        <v>938</v>
      </c>
      <c r="E629" s="14" t="s">
        <v>939</v>
      </c>
      <c r="F629" s="3" t="s">
        <v>940</v>
      </c>
      <c r="G629" s="4">
        <v>4</v>
      </c>
      <c r="H629" s="12">
        <v>652.528</v>
      </c>
      <c r="I629" s="12">
        <v>114.551243</v>
      </c>
      <c r="J629" s="13">
        <v>0.1755499273</v>
      </c>
      <c r="K629" s="13">
        <v>0.1755499273</v>
      </c>
      <c r="L629" s="12">
        <v>23.99</v>
      </c>
      <c r="M629" s="13">
        <v>0.1132206556</v>
      </c>
      <c r="N629" s="13">
        <v>0.0305282961</v>
      </c>
      <c r="O629" s="13">
        <v>0.2542726135</v>
      </c>
      <c r="P629" s="13">
        <v>0</v>
      </c>
      <c r="Q629" s="13">
        <v>0.0008192276</v>
      </c>
      <c r="R629" s="13">
        <v>0.3026082604</v>
      </c>
      <c r="S629" s="13">
        <v>0</v>
      </c>
      <c r="T629" s="13">
        <v>0.1109837432</v>
      </c>
      <c r="U629" s="13">
        <v>0.0116758821</v>
      </c>
      <c r="V629" s="13">
        <v>0</v>
      </c>
      <c r="W629" s="13">
        <v>0</v>
      </c>
      <c r="X629" s="13">
        <v>0</v>
      </c>
      <c r="Y629" s="13">
        <v>0</v>
      </c>
      <c r="Z629" s="13">
        <v>0.0003413937</v>
      </c>
    </row>
    <row r="630" s="2" customFormat="1" hidden="1" spans="1:26">
      <c r="A630" s="11" t="s">
        <v>935</v>
      </c>
      <c r="B630" s="11" t="s">
        <v>937</v>
      </c>
      <c r="C630" s="14" t="s">
        <v>282</v>
      </c>
      <c r="D630" s="14" t="s">
        <v>938</v>
      </c>
      <c r="E630" s="14" t="s">
        <v>939</v>
      </c>
      <c r="F630" s="3" t="s">
        <v>941</v>
      </c>
      <c r="G630" s="4">
        <v>58</v>
      </c>
      <c r="H630" s="12">
        <v>8841.496</v>
      </c>
      <c r="I630" s="12">
        <v>1894.051441</v>
      </c>
      <c r="J630" s="13">
        <v>0.2142229596</v>
      </c>
      <c r="K630" s="13">
        <v>0.2142229596</v>
      </c>
      <c r="L630" s="12">
        <v>22.4175862068</v>
      </c>
      <c r="M630" s="13">
        <v>0.1211621761</v>
      </c>
      <c r="N630" s="13">
        <v>0.0326696176</v>
      </c>
      <c r="O630" s="13">
        <v>0.3027564565</v>
      </c>
      <c r="P630" s="13">
        <v>0</v>
      </c>
      <c r="Q630" s="13">
        <v>0.0091456915</v>
      </c>
      <c r="R630" s="13">
        <v>0.1915215145</v>
      </c>
      <c r="S630" s="13">
        <v>0</v>
      </c>
      <c r="T630" s="13">
        <v>0.1106889603</v>
      </c>
      <c r="U630" s="13">
        <v>0.0124948515</v>
      </c>
      <c r="V630" s="13">
        <v>0</v>
      </c>
      <c r="W630" s="13">
        <v>0</v>
      </c>
      <c r="X630" s="13">
        <v>0</v>
      </c>
      <c r="Y630" s="13">
        <v>0</v>
      </c>
      <c r="Z630" s="13">
        <v>0.0053377717</v>
      </c>
    </row>
    <row r="631" s="2" customFormat="1" hidden="1" spans="1:26">
      <c r="A631" s="11" t="s">
        <v>935</v>
      </c>
      <c r="B631" s="11" t="s">
        <v>937</v>
      </c>
      <c r="C631" s="14" t="s">
        <v>282</v>
      </c>
      <c r="D631" s="14" t="s">
        <v>938</v>
      </c>
      <c r="E631" s="14" t="s">
        <v>939</v>
      </c>
      <c r="F631" s="3" t="s">
        <v>942</v>
      </c>
      <c r="G631" s="4">
        <v>50</v>
      </c>
      <c r="H631" s="12">
        <v>8281.176</v>
      </c>
      <c r="I631" s="12">
        <v>2059.419927</v>
      </c>
      <c r="J631" s="13">
        <v>0.2486868926</v>
      </c>
      <c r="K631" s="13">
        <v>0.2486868926</v>
      </c>
      <c r="L631" s="12">
        <v>24.3564</v>
      </c>
      <c r="M631" s="13">
        <v>0.1115174463</v>
      </c>
      <c r="N631" s="13">
        <v>0.0154766605</v>
      </c>
      <c r="O631" s="13">
        <v>0.2832930975</v>
      </c>
      <c r="P631" s="13">
        <v>0.0615608217</v>
      </c>
      <c r="Q631" s="13">
        <v>0.0162661707</v>
      </c>
      <c r="R631" s="13">
        <v>0.1310822588</v>
      </c>
      <c r="S631" s="13">
        <v>0</v>
      </c>
      <c r="T631" s="13">
        <v>0.114130167</v>
      </c>
      <c r="U631" s="13">
        <v>0.0115002386</v>
      </c>
      <c r="V631" s="13">
        <v>0</v>
      </c>
      <c r="W631" s="13">
        <v>0</v>
      </c>
      <c r="X631" s="13">
        <v>0</v>
      </c>
      <c r="Y631" s="13">
        <v>0</v>
      </c>
      <c r="Z631" s="13">
        <v>0.0064862459</v>
      </c>
    </row>
    <row r="632" s="2" customFormat="1" hidden="1" spans="1:26">
      <c r="A632" s="11" t="s">
        <v>935</v>
      </c>
      <c r="B632" s="11" t="s">
        <v>937</v>
      </c>
      <c r="C632" s="14" t="s">
        <v>282</v>
      </c>
      <c r="D632" s="14" t="s">
        <v>938</v>
      </c>
      <c r="E632" s="14" t="s">
        <v>939</v>
      </c>
      <c r="F632" s="3" t="s">
        <v>943</v>
      </c>
      <c r="G632" s="4">
        <v>29</v>
      </c>
      <c r="H632" s="12">
        <v>4982.428</v>
      </c>
      <c r="I632" s="12">
        <v>1410.302511</v>
      </c>
      <c r="J632" s="13">
        <v>0.2830552716</v>
      </c>
      <c r="K632" s="13">
        <v>0.2830552716</v>
      </c>
      <c r="L632" s="12">
        <v>25.2658620689</v>
      </c>
      <c r="M632" s="13">
        <v>0.1075032991</v>
      </c>
      <c r="N632" s="13">
        <v>0.0149195675</v>
      </c>
      <c r="O632" s="13">
        <v>0.2729046962</v>
      </c>
      <c r="P632" s="13">
        <v>0.0354710594</v>
      </c>
      <c r="Q632" s="13">
        <v>0.0135979703</v>
      </c>
      <c r="R632" s="13">
        <v>0.127683255</v>
      </c>
      <c r="S632" s="13">
        <v>0</v>
      </c>
      <c r="T632" s="13">
        <v>0.1166355038</v>
      </c>
      <c r="U632" s="13">
        <v>0.0110862796</v>
      </c>
      <c r="V632" s="13">
        <v>0</v>
      </c>
      <c r="W632" s="13">
        <v>0</v>
      </c>
      <c r="X632" s="13">
        <v>0.004267717</v>
      </c>
      <c r="Y632" s="13">
        <v>0</v>
      </c>
      <c r="Z632" s="13">
        <v>0.01287538</v>
      </c>
    </row>
    <row r="633" s="2" customFormat="1" spans="1:26">
      <c r="A633" s="11" t="s">
        <v>935</v>
      </c>
      <c r="B633" s="11" t="s">
        <v>937</v>
      </c>
      <c r="C633" s="14" t="s">
        <v>282</v>
      </c>
      <c r="D633" s="14" t="s">
        <v>938</v>
      </c>
      <c r="E633" s="14" t="s">
        <v>939</v>
      </c>
      <c r="F633" s="3" t="s">
        <v>944</v>
      </c>
      <c r="G633" s="4">
        <v>11</v>
      </c>
      <c r="H633" s="12">
        <v>2093.652</v>
      </c>
      <c r="I633" s="12">
        <v>664.844578</v>
      </c>
      <c r="J633" s="13">
        <v>0.3175525722</v>
      </c>
      <c r="K633" s="13">
        <v>0.3175525722</v>
      </c>
      <c r="L633" s="12">
        <v>27.99</v>
      </c>
      <c r="M633" s="13">
        <v>0.0970404976</v>
      </c>
      <c r="N633" s="13">
        <v>0.0219869648</v>
      </c>
      <c r="O633" s="13">
        <v>0.2415148267</v>
      </c>
      <c r="P633" s="13">
        <v>0.0844132644</v>
      </c>
      <c r="Q633" s="13">
        <v>0.0081964409</v>
      </c>
      <c r="R633" s="13">
        <v>0.1508366471</v>
      </c>
      <c r="S633" s="13">
        <v>0</v>
      </c>
      <c r="T633" s="13">
        <v>0.1119230894</v>
      </c>
      <c r="U633" s="13">
        <v>0.010007303</v>
      </c>
      <c r="V633" s="13">
        <v>-0.0494657182</v>
      </c>
      <c r="W633" s="13">
        <v>0</v>
      </c>
      <c r="X633" s="13">
        <v>0.0045893047</v>
      </c>
      <c r="Y633" s="13">
        <v>0</v>
      </c>
      <c r="Z633" s="13">
        <v>0.001404807</v>
      </c>
    </row>
    <row r="634" s="2" customFormat="1" hidden="1" spans="1:26">
      <c r="A634" s="11" t="s">
        <v>935</v>
      </c>
      <c r="B634" s="11" t="s">
        <v>937</v>
      </c>
      <c r="C634" s="14" t="s">
        <v>282</v>
      </c>
      <c r="D634" s="14" t="s">
        <v>938</v>
      </c>
      <c r="E634" s="14" t="s">
        <v>939</v>
      </c>
      <c r="F634" s="3" t="s">
        <v>945</v>
      </c>
      <c r="G634" s="4">
        <v>0</v>
      </c>
      <c r="H634" s="12">
        <v>0</v>
      </c>
      <c r="I634" s="12">
        <v>-11.194548</v>
      </c>
      <c r="J634" s="13"/>
      <c r="K634" s="13"/>
      <c r="L634" s="12"/>
      <c r="M634" s="13"/>
      <c r="N634" s="13"/>
      <c r="O634" s="13"/>
      <c r="P634" s="13"/>
      <c r="Q634" s="13"/>
      <c r="R634" s="13"/>
      <c r="S634" s="13"/>
      <c r="T634" s="13"/>
      <c r="U634" s="13"/>
      <c r="V634" s="13"/>
      <c r="W634" s="13"/>
      <c r="X634" s="13"/>
      <c r="Y634" s="13"/>
      <c r="Z634" s="13"/>
    </row>
    <row r="635" s="2" customFormat="1" hidden="1" spans="1:26">
      <c r="A635" s="11" t="s">
        <v>935</v>
      </c>
      <c r="B635" s="11" t="s">
        <v>937</v>
      </c>
      <c r="C635" s="14" t="s">
        <v>286</v>
      </c>
      <c r="D635" s="14" t="s">
        <v>938</v>
      </c>
      <c r="E635" s="14" t="s">
        <v>939</v>
      </c>
      <c r="F635" s="3" t="s">
        <v>936</v>
      </c>
      <c r="G635" s="4">
        <v>318</v>
      </c>
      <c r="H635" s="12">
        <v>48636.32</v>
      </c>
      <c r="I635" s="12">
        <v>3791.140135</v>
      </c>
      <c r="J635" s="13">
        <v>0.0779487456</v>
      </c>
      <c r="K635" s="13">
        <v>0.0779487456</v>
      </c>
      <c r="L635" s="12">
        <v>22.4918238993</v>
      </c>
      <c r="M635" s="13">
        <v>0.1153931138</v>
      </c>
      <c r="N635" s="13">
        <v>0.0239399019</v>
      </c>
      <c r="O635" s="13">
        <v>0.3155402382</v>
      </c>
      <c r="P635" s="13">
        <v>0.105345059</v>
      </c>
      <c r="Q635" s="13">
        <v>0.0151405739</v>
      </c>
      <c r="R635" s="13">
        <v>0.2277842635</v>
      </c>
      <c r="S635" s="13">
        <v>0</v>
      </c>
      <c r="T635" s="13">
        <v>0.1059448576</v>
      </c>
      <c r="U635" s="13">
        <v>0.0118999153</v>
      </c>
      <c r="V635" s="13">
        <v>-0.0043216263</v>
      </c>
      <c r="W635" s="13">
        <v>-0.0048514208</v>
      </c>
      <c r="X635" s="13">
        <v>0.0031737598</v>
      </c>
      <c r="Y635" s="13">
        <v>0</v>
      </c>
      <c r="Z635" s="13">
        <v>0.007062618</v>
      </c>
    </row>
    <row r="636" s="2" customFormat="1" hidden="1" spans="1:26">
      <c r="A636" s="11" t="s">
        <v>935</v>
      </c>
      <c r="B636" s="11" t="s">
        <v>937</v>
      </c>
      <c r="C636" s="14" t="s">
        <v>286</v>
      </c>
      <c r="D636" s="14" t="s">
        <v>938</v>
      </c>
      <c r="E636" s="14" t="s">
        <v>939</v>
      </c>
      <c r="F636" s="3" t="s">
        <v>940</v>
      </c>
      <c r="G636" s="4">
        <v>16</v>
      </c>
      <c r="H636" s="12">
        <v>2392.512</v>
      </c>
      <c r="I636" s="12">
        <v>-422.075073</v>
      </c>
      <c r="J636" s="13">
        <v>-0.1764150286</v>
      </c>
      <c r="K636" s="13">
        <v>-0.1764150286</v>
      </c>
      <c r="L636" s="12">
        <v>21.99</v>
      </c>
      <c r="M636" s="13">
        <v>0.1191505095</v>
      </c>
      <c r="N636" s="13">
        <v>0.0390975109</v>
      </c>
      <c r="O636" s="13">
        <v>0.2846748522</v>
      </c>
      <c r="P636" s="13">
        <v>0.0625</v>
      </c>
      <c r="Q636" s="13">
        <v>0.0008192251</v>
      </c>
      <c r="R636" s="13">
        <v>0.607350873</v>
      </c>
      <c r="S636" s="13">
        <v>0</v>
      </c>
      <c r="T636" s="13">
        <v>0.0501932696</v>
      </c>
      <c r="U636" s="13">
        <v>0.0122873966</v>
      </c>
      <c r="V636" s="13">
        <v>0</v>
      </c>
      <c r="W636" s="13">
        <v>0</v>
      </c>
      <c r="X636" s="13">
        <v>0</v>
      </c>
      <c r="Y636" s="13">
        <v>0</v>
      </c>
      <c r="Z636" s="13">
        <v>0.0003413913</v>
      </c>
    </row>
    <row r="637" s="2" customFormat="1" hidden="1" spans="1:26">
      <c r="A637" s="11" t="s">
        <v>935</v>
      </c>
      <c r="B637" s="11" t="s">
        <v>937</v>
      </c>
      <c r="C637" s="14" t="s">
        <v>286</v>
      </c>
      <c r="D637" s="14" t="s">
        <v>938</v>
      </c>
      <c r="E637" s="14" t="s">
        <v>939</v>
      </c>
      <c r="F637" s="3" t="s">
        <v>941</v>
      </c>
      <c r="G637" s="4">
        <v>52</v>
      </c>
      <c r="H637" s="12">
        <v>7485.44</v>
      </c>
      <c r="I637" s="12">
        <v>701.572499</v>
      </c>
      <c r="J637" s="13">
        <v>0.0937249512</v>
      </c>
      <c r="K637" s="13">
        <v>0.0937249512</v>
      </c>
      <c r="L637" s="12">
        <v>21.1692307692</v>
      </c>
      <c r="M637" s="13">
        <v>0.1190097976</v>
      </c>
      <c r="N637" s="13">
        <v>0.039051345</v>
      </c>
      <c r="O637" s="13">
        <v>0.3234375</v>
      </c>
      <c r="P637" s="13">
        <v>0.0399527616</v>
      </c>
      <c r="Q637" s="13">
        <v>0.0169944943</v>
      </c>
      <c r="R637" s="13">
        <v>0.2380364453</v>
      </c>
      <c r="S637" s="13">
        <v>0</v>
      </c>
      <c r="T637" s="13">
        <v>0.1111010174</v>
      </c>
      <c r="U637" s="13">
        <v>0.0122728862</v>
      </c>
      <c r="V637" s="13">
        <v>0.0010810319</v>
      </c>
      <c r="W637" s="13">
        <v>0</v>
      </c>
      <c r="X637" s="13">
        <v>0</v>
      </c>
      <c r="Y637" s="13">
        <v>0</v>
      </c>
      <c r="Z637" s="13">
        <v>0.0053377689</v>
      </c>
    </row>
    <row r="638" s="2" customFormat="1" hidden="1" spans="1:26">
      <c r="A638" s="11" t="s">
        <v>935</v>
      </c>
      <c r="B638" s="11" t="s">
        <v>937</v>
      </c>
      <c r="C638" s="14" t="s">
        <v>286</v>
      </c>
      <c r="D638" s="14" t="s">
        <v>938</v>
      </c>
      <c r="E638" s="14" t="s">
        <v>939</v>
      </c>
      <c r="F638" s="3" t="s">
        <v>942</v>
      </c>
      <c r="G638" s="4">
        <v>88</v>
      </c>
      <c r="H638" s="12">
        <v>11562.516</v>
      </c>
      <c r="I638" s="12">
        <v>622.417878</v>
      </c>
      <c r="J638" s="13">
        <v>0.0538306609</v>
      </c>
      <c r="K638" s="13">
        <v>0.0538306609</v>
      </c>
      <c r="L638" s="12">
        <v>19.3223863636</v>
      </c>
      <c r="M638" s="13">
        <v>0.1340593014</v>
      </c>
      <c r="N638" s="13">
        <v>0.0152356595</v>
      </c>
      <c r="O638" s="13">
        <v>0.3677905397</v>
      </c>
      <c r="P638" s="13">
        <v>0.0846462828</v>
      </c>
      <c r="Q638" s="13">
        <v>0.0228987409</v>
      </c>
      <c r="R638" s="13">
        <v>0.1925018261</v>
      </c>
      <c r="S638" s="13">
        <v>0</v>
      </c>
      <c r="T638" s="13">
        <v>0.1118462452</v>
      </c>
      <c r="U638" s="13">
        <v>0.0138248658</v>
      </c>
      <c r="V638" s="13">
        <v>0.0003116968</v>
      </c>
      <c r="W638" s="13">
        <v>-0.003432068</v>
      </c>
      <c r="X638" s="13">
        <v>0</v>
      </c>
      <c r="Y638" s="13">
        <v>0</v>
      </c>
      <c r="Z638" s="13">
        <v>0.0064862484</v>
      </c>
    </row>
    <row r="639" s="2" customFormat="1" hidden="1" spans="1:26">
      <c r="A639" s="11" t="s">
        <v>935</v>
      </c>
      <c r="B639" s="11" t="s">
        <v>937</v>
      </c>
      <c r="C639" s="14" t="s">
        <v>286</v>
      </c>
      <c r="D639" s="14" t="s">
        <v>938</v>
      </c>
      <c r="E639" s="14" t="s">
        <v>939</v>
      </c>
      <c r="F639" s="3" t="s">
        <v>943</v>
      </c>
      <c r="G639" s="4">
        <v>100</v>
      </c>
      <c r="H639" s="12">
        <v>16522.708</v>
      </c>
      <c r="I639" s="12">
        <v>2462.280787</v>
      </c>
      <c r="J639" s="13">
        <v>0.1490240453</v>
      </c>
      <c r="K639" s="13">
        <v>0.1490240453</v>
      </c>
      <c r="L639" s="12">
        <v>24.2981</v>
      </c>
      <c r="M639" s="13">
        <v>0.1078322875</v>
      </c>
      <c r="N639" s="13">
        <v>0.0122549947</v>
      </c>
      <c r="O639" s="13">
        <v>0.2974265477</v>
      </c>
      <c r="P639" s="13">
        <v>0.1119758335</v>
      </c>
      <c r="Q639" s="13">
        <v>0.0114776336</v>
      </c>
      <c r="R639" s="13">
        <v>0.1809305536</v>
      </c>
      <c r="S639" s="13">
        <v>0</v>
      </c>
      <c r="T639" s="13">
        <v>0.1092184162</v>
      </c>
      <c r="U639" s="13">
        <v>0.0111202049</v>
      </c>
      <c r="V639" s="13">
        <v>0</v>
      </c>
      <c r="W639" s="13">
        <v>-0.0060043641</v>
      </c>
      <c r="X639" s="13">
        <v>0.0018684588</v>
      </c>
      <c r="Y639" s="13">
        <v>0</v>
      </c>
      <c r="Z639" s="13">
        <v>0.0128753877</v>
      </c>
    </row>
    <row r="640" s="2" customFormat="1" spans="1:26">
      <c r="A640" s="11" t="s">
        <v>935</v>
      </c>
      <c r="B640" s="11" t="s">
        <v>937</v>
      </c>
      <c r="C640" s="14" t="s">
        <v>286</v>
      </c>
      <c r="D640" s="14" t="s">
        <v>938</v>
      </c>
      <c r="E640" s="14" t="s">
        <v>939</v>
      </c>
      <c r="F640" s="3" t="s">
        <v>944</v>
      </c>
      <c r="G640" s="4">
        <v>62</v>
      </c>
      <c r="H640" s="12">
        <v>10673.144</v>
      </c>
      <c r="I640" s="12">
        <v>497.639906</v>
      </c>
      <c r="J640" s="13">
        <v>0.0466254278</v>
      </c>
      <c r="K640" s="13">
        <v>0.0466254278</v>
      </c>
      <c r="L640" s="12">
        <v>25.3158064516</v>
      </c>
      <c r="M640" s="13">
        <v>0.1034973825</v>
      </c>
      <c r="N640" s="13">
        <v>0.0374625051</v>
      </c>
      <c r="O640" s="13">
        <v>0.2883573949</v>
      </c>
      <c r="P640" s="13">
        <v>0.172969839</v>
      </c>
      <c r="Q640" s="13">
        <v>0.014316482</v>
      </c>
      <c r="R640" s="13">
        <v>0.2401314589</v>
      </c>
      <c r="S640" s="13">
        <v>0</v>
      </c>
      <c r="T640" s="13">
        <v>0.1033652314</v>
      </c>
      <c r="U640" s="13">
        <v>0.010673168</v>
      </c>
      <c r="V640" s="13">
        <v>-0.0207890008</v>
      </c>
      <c r="W640" s="13">
        <v>-0.0090941863</v>
      </c>
      <c r="X640" s="13">
        <v>0.0110794816</v>
      </c>
      <c r="Y640" s="13">
        <v>0</v>
      </c>
      <c r="Z640" s="13">
        <v>0.0014048153</v>
      </c>
    </row>
    <row r="641" s="2" customFormat="1" hidden="1" spans="1:26">
      <c r="A641" s="11" t="s">
        <v>935</v>
      </c>
      <c r="B641" s="11" t="s">
        <v>937</v>
      </c>
      <c r="C641" s="14" t="s">
        <v>286</v>
      </c>
      <c r="D641" s="14" t="s">
        <v>938</v>
      </c>
      <c r="E641" s="14" t="s">
        <v>939</v>
      </c>
      <c r="F641" s="3" t="s">
        <v>945</v>
      </c>
      <c r="G641" s="4">
        <v>0</v>
      </c>
      <c r="H641" s="12">
        <v>0</v>
      </c>
      <c r="I641" s="12">
        <v>-70.695862</v>
      </c>
      <c r="J641" s="13"/>
      <c r="K641" s="13"/>
      <c r="L641" s="12"/>
      <c r="M641" s="13"/>
      <c r="N641" s="13"/>
      <c r="O641" s="13"/>
      <c r="P641" s="13"/>
      <c r="Q641" s="13"/>
      <c r="R641" s="13"/>
      <c r="S641" s="13"/>
      <c r="T641" s="13"/>
      <c r="U641" s="13"/>
      <c r="V641" s="13"/>
      <c r="W641" s="13"/>
      <c r="X641" s="13"/>
      <c r="Y641" s="13"/>
      <c r="Z641" s="13"/>
    </row>
    <row r="642" s="2" customFormat="1" hidden="1" spans="1:26">
      <c r="A642" s="11" t="s">
        <v>935</v>
      </c>
      <c r="B642" s="11" t="s">
        <v>937</v>
      </c>
      <c r="C642" s="14" t="s">
        <v>290</v>
      </c>
      <c r="D642" s="14" t="s">
        <v>938</v>
      </c>
      <c r="E642" s="14" t="s">
        <v>939</v>
      </c>
      <c r="F642" s="3" t="s">
        <v>936</v>
      </c>
      <c r="G642" s="4">
        <v>98</v>
      </c>
      <c r="H642" s="12">
        <v>17540.056</v>
      </c>
      <c r="I642" s="12">
        <v>3166.553356</v>
      </c>
      <c r="J642" s="13">
        <v>0.1805326822</v>
      </c>
      <c r="K642" s="13">
        <v>0.1805326822</v>
      </c>
      <c r="L642" s="12">
        <v>26.3206122448</v>
      </c>
      <c r="M642" s="13">
        <v>0.1090692881</v>
      </c>
      <c r="N642" s="13">
        <v>0.0338861955</v>
      </c>
      <c r="O642" s="13">
        <v>0.2929612083</v>
      </c>
      <c r="P642" s="13">
        <v>0.0406913182</v>
      </c>
      <c r="Q642" s="13">
        <v>0.0182697901</v>
      </c>
      <c r="R642" s="13">
        <v>0.1940382465</v>
      </c>
      <c r="S642" s="13">
        <v>0</v>
      </c>
      <c r="T642" s="13">
        <v>0.1100363647</v>
      </c>
      <c r="U642" s="13">
        <v>0.0112477716</v>
      </c>
      <c r="V642" s="13">
        <v>0</v>
      </c>
      <c r="W642" s="13">
        <v>0</v>
      </c>
      <c r="X642" s="13">
        <v>0.0026401283</v>
      </c>
      <c r="Y642" s="13">
        <v>0</v>
      </c>
      <c r="Z642" s="13">
        <v>0.006627006</v>
      </c>
    </row>
    <row r="643" s="2" customFormat="1" hidden="1" spans="1:26">
      <c r="A643" s="11" t="s">
        <v>935</v>
      </c>
      <c r="B643" s="11" t="s">
        <v>937</v>
      </c>
      <c r="C643" s="14" t="s">
        <v>290</v>
      </c>
      <c r="D643" s="14" t="s">
        <v>938</v>
      </c>
      <c r="E643" s="14" t="s">
        <v>939</v>
      </c>
      <c r="F643" s="3" t="s">
        <v>940</v>
      </c>
      <c r="G643" s="4">
        <v>1</v>
      </c>
      <c r="H643" s="12">
        <v>176.732</v>
      </c>
      <c r="I643" s="12">
        <v>-113.307517</v>
      </c>
      <c r="J643" s="13">
        <v>-0.641126208</v>
      </c>
      <c r="K643" s="13">
        <v>-0.641126208</v>
      </c>
      <c r="L643" s="12">
        <v>25.99</v>
      </c>
      <c r="M643" s="13">
        <v>0.110456731</v>
      </c>
      <c r="N643" s="13">
        <v>0.0411653577</v>
      </c>
      <c r="O643" s="13">
        <v>0.2743362831</v>
      </c>
      <c r="P643" s="13">
        <v>0</v>
      </c>
      <c r="Q643" s="13">
        <v>0.0008191951</v>
      </c>
      <c r="R643" s="13">
        <v>1.1910734784</v>
      </c>
      <c r="S643" s="13">
        <v>0</v>
      </c>
      <c r="T643" s="13">
        <v>0.0115429011</v>
      </c>
      <c r="U643" s="13">
        <v>0.0113908516</v>
      </c>
      <c r="V643" s="13">
        <v>0</v>
      </c>
      <c r="W643" s="13">
        <v>0</v>
      </c>
      <c r="X643" s="13">
        <v>0</v>
      </c>
      <c r="Y643" s="13">
        <v>0</v>
      </c>
      <c r="Z643" s="13">
        <v>0.0003414095</v>
      </c>
    </row>
    <row r="644" s="2" customFormat="1" hidden="1" spans="1:26">
      <c r="A644" s="11" t="s">
        <v>935</v>
      </c>
      <c r="B644" s="11" t="s">
        <v>937</v>
      </c>
      <c r="C644" s="14" t="s">
        <v>290</v>
      </c>
      <c r="D644" s="14" t="s">
        <v>938</v>
      </c>
      <c r="E644" s="14" t="s">
        <v>939</v>
      </c>
      <c r="F644" s="3" t="s">
        <v>941</v>
      </c>
      <c r="G644" s="4">
        <v>21</v>
      </c>
      <c r="H644" s="12">
        <v>3711.372</v>
      </c>
      <c r="I644" s="12">
        <v>610.775997</v>
      </c>
      <c r="J644" s="13">
        <v>0.1645687893</v>
      </c>
      <c r="K644" s="13">
        <v>0.1645687893</v>
      </c>
      <c r="L644" s="12">
        <v>25.99</v>
      </c>
      <c r="M644" s="13">
        <v>0.110456731</v>
      </c>
      <c r="N644" s="13">
        <v>0.0379715444</v>
      </c>
      <c r="O644" s="13">
        <v>0.3103391414</v>
      </c>
      <c r="P644" s="13">
        <v>0</v>
      </c>
      <c r="Q644" s="13">
        <v>0.011509293</v>
      </c>
      <c r="R644" s="13">
        <v>0.2386583845</v>
      </c>
      <c r="S644" s="13">
        <v>0</v>
      </c>
      <c r="T644" s="13">
        <v>0.1097674929</v>
      </c>
      <c r="U644" s="13">
        <v>0.0113908516</v>
      </c>
      <c r="V644" s="13">
        <v>0</v>
      </c>
      <c r="W644" s="13">
        <v>0</v>
      </c>
      <c r="X644" s="13">
        <v>0</v>
      </c>
      <c r="Y644" s="13">
        <v>0</v>
      </c>
      <c r="Z644" s="13">
        <v>0.0053377713</v>
      </c>
    </row>
    <row r="645" s="2" customFormat="1" hidden="1" spans="1:26">
      <c r="A645" s="11" t="s">
        <v>935</v>
      </c>
      <c r="B645" s="11" t="s">
        <v>937</v>
      </c>
      <c r="C645" s="14" t="s">
        <v>290</v>
      </c>
      <c r="D645" s="14" t="s">
        <v>938</v>
      </c>
      <c r="E645" s="14" t="s">
        <v>939</v>
      </c>
      <c r="F645" s="3" t="s">
        <v>942</v>
      </c>
      <c r="G645" s="4">
        <v>35</v>
      </c>
      <c r="H645" s="12">
        <v>6167.94</v>
      </c>
      <c r="I645" s="12">
        <v>1142.926154</v>
      </c>
      <c r="J645" s="13">
        <v>0.1853011141</v>
      </c>
      <c r="K645" s="13">
        <v>0.1853011141</v>
      </c>
      <c r="L645" s="12">
        <v>25.9157142857</v>
      </c>
      <c r="M645" s="13">
        <v>0.1107733481</v>
      </c>
      <c r="N645" s="13">
        <v>0.0333126238</v>
      </c>
      <c r="O645" s="13">
        <v>0.2936221817</v>
      </c>
      <c r="P645" s="13">
        <v>0.0573066534</v>
      </c>
      <c r="Q645" s="13">
        <v>0.0197883928</v>
      </c>
      <c r="R645" s="13">
        <v>0.1736677528</v>
      </c>
      <c r="S645" s="13">
        <v>0</v>
      </c>
      <c r="T645" s="13">
        <v>0.1083181743</v>
      </c>
      <c r="U645" s="13">
        <v>0.0114235028</v>
      </c>
      <c r="V645" s="13">
        <v>0</v>
      </c>
      <c r="W645" s="13">
        <v>0</v>
      </c>
      <c r="X645" s="13">
        <v>0</v>
      </c>
      <c r="Y645" s="13">
        <v>0</v>
      </c>
      <c r="Z645" s="13">
        <v>0.0064862557</v>
      </c>
    </row>
    <row r="646" s="2" customFormat="1" hidden="1" spans="1:26">
      <c r="A646" s="11" t="s">
        <v>935</v>
      </c>
      <c r="B646" s="11" t="s">
        <v>937</v>
      </c>
      <c r="C646" s="14" t="s">
        <v>290</v>
      </c>
      <c r="D646" s="14" t="s">
        <v>938</v>
      </c>
      <c r="E646" s="14" t="s">
        <v>939</v>
      </c>
      <c r="F646" s="3" t="s">
        <v>943</v>
      </c>
      <c r="G646" s="4">
        <v>22</v>
      </c>
      <c r="H646" s="12">
        <v>3996.904</v>
      </c>
      <c r="I646" s="12">
        <v>637.522846</v>
      </c>
      <c r="J646" s="13">
        <v>0.1595041677</v>
      </c>
      <c r="K646" s="13">
        <v>0.1595041677</v>
      </c>
      <c r="L646" s="12">
        <v>26.7172727272</v>
      </c>
      <c r="M646" s="13">
        <v>0.1074499807</v>
      </c>
      <c r="N646" s="13">
        <v>0.0323131951</v>
      </c>
      <c r="O646" s="13">
        <v>0.2855830412</v>
      </c>
      <c r="P646" s="13">
        <v>0.0442172241</v>
      </c>
      <c r="Q646" s="13">
        <v>0.0259252221</v>
      </c>
      <c r="R646" s="13">
        <v>0.1976995797</v>
      </c>
      <c r="S646" s="13">
        <v>0</v>
      </c>
      <c r="T646" s="13">
        <v>0.1129674367</v>
      </c>
      <c r="U646" s="13">
        <v>0.0110807805</v>
      </c>
      <c r="V646" s="13">
        <v>0</v>
      </c>
      <c r="W646" s="13">
        <v>0</v>
      </c>
      <c r="X646" s="13">
        <v>0.0103839862</v>
      </c>
      <c r="Y646" s="13">
        <v>0</v>
      </c>
      <c r="Z646" s="13">
        <v>0.0128753855</v>
      </c>
    </row>
    <row r="647" s="2" customFormat="1" spans="1:26">
      <c r="A647" s="11" t="s">
        <v>935</v>
      </c>
      <c r="B647" s="11" t="s">
        <v>937</v>
      </c>
      <c r="C647" s="14" t="s">
        <v>290</v>
      </c>
      <c r="D647" s="14" t="s">
        <v>938</v>
      </c>
      <c r="E647" s="14" t="s">
        <v>939</v>
      </c>
      <c r="F647" s="3" t="s">
        <v>944</v>
      </c>
      <c r="G647" s="4">
        <v>19</v>
      </c>
      <c r="H647" s="12">
        <v>3487.108</v>
      </c>
      <c r="I647" s="12">
        <v>888.635876</v>
      </c>
      <c r="J647" s="13">
        <v>0.2548346297</v>
      </c>
      <c r="K647" s="13">
        <v>0.2548346297</v>
      </c>
      <c r="L647" s="12">
        <v>26.99</v>
      </c>
      <c r="M647" s="13">
        <v>0.1063642253</v>
      </c>
      <c r="N647" s="13">
        <v>0.031986678</v>
      </c>
      <c r="O647" s="13">
        <v>0.2826972952</v>
      </c>
      <c r="P647" s="13">
        <v>0.0526315789</v>
      </c>
      <c r="Q647" s="13">
        <v>0.0148887995</v>
      </c>
      <c r="R647" s="13">
        <v>0.1278516028</v>
      </c>
      <c r="S647" s="13">
        <v>0</v>
      </c>
      <c r="T647" s="13">
        <v>0.1149938573</v>
      </c>
      <c r="U647" s="13">
        <v>0.0109688119</v>
      </c>
      <c r="V647" s="13">
        <v>0</v>
      </c>
      <c r="W647" s="13">
        <v>0</v>
      </c>
      <c r="X647" s="13">
        <v>0.0013777041</v>
      </c>
      <c r="Y647" s="13">
        <v>0</v>
      </c>
      <c r="Z647" s="13">
        <v>0.0014048168</v>
      </c>
    </row>
    <row r="648" s="2" customFormat="1" hidden="1" spans="1:26">
      <c r="A648" s="11" t="s">
        <v>935</v>
      </c>
      <c r="B648" s="11" t="s">
        <v>937</v>
      </c>
      <c r="C648" s="14" t="s">
        <v>294</v>
      </c>
      <c r="D648" s="14" t="s">
        <v>938</v>
      </c>
      <c r="E648" s="14" t="s">
        <v>939</v>
      </c>
      <c r="F648" s="3" t="s">
        <v>936</v>
      </c>
      <c r="G648" s="4">
        <v>161</v>
      </c>
      <c r="H648" s="12">
        <v>24233.772</v>
      </c>
      <c r="I648" s="12">
        <v>4523.218283</v>
      </c>
      <c r="J648" s="13">
        <v>0.1866493702</v>
      </c>
      <c r="K648" s="13">
        <v>0.1866493702</v>
      </c>
      <c r="L648" s="12">
        <v>22.1353416148</v>
      </c>
      <c r="M648" s="13">
        <v>0.1160399582</v>
      </c>
      <c r="N648" s="13">
        <v>0.0197979468</v>
      </c>
      <c r="O648" s="13">
        <v>0.3105570193</v>
      </c>
      <c r="P648" s="13">
        <v>0.0493912379</v>
      </c>
      <c r="Q648" s="13">
        <v>0.02344122</v>
      </c>
      <c r="R648" s="13">
        <v>0.1678158831</v>
      </c>
      <c r="S648" s="13">
        <v>0</v>
      </c>
      <c r="T648" s="13">
        <v>0.1115189166</v>
      </c>
      <c r="U648" s="13">
        <v>0.0119666232</v>
      </c>
      <c r="V648" s="13">
        <v>0</v>
      </c>
      <c r="W648" s="13">
        <v>-0.0041252791</v>
      </c>
      <c r="X648" s="13">
        <v>0.0012739246</v>
      </c>
      <c r="Y648" s="13">
        <v>0</v>
      </c>
      <c r="Z648" s="13">
        <v>0.0056731786</v>
      </c>
    </row>
    <row r="649" s="2" customFormat="1" hidden="1" spans="1:26">
      <c r="A649" s="11" t="s">
        <v>935</v>
      </c>
      <c r="B649" s="11" t="s">
        <v>937</v>
      </c>
      <c r="C649" s="14" t="s">
        <v>294</v>
      </c>
      <c r="D649" s="14" t="s">
        <v>938</v>
      </c>
      <c r="E649" s="14" t="s">
        <v>939</v>
      </c>
      <c r="F649" s="3" t="s">
        <v>940</v>
      </c>
      <c r="G649" s="4">
        <v>3</v>
      </c>
      <c r="H649" s="12">
        <v>460.836</v>
      </c>
      <c r="I649" s="12">
        <v>-146.46566</v>
      </c>
      <c r="J649" s="13">
        <v>-0.3178259944</v>
      </c>
      <c r="K649" s="13">
        <v>-0.3178259944</v>
      </c>
      <c r="L649" s="12">
        <v>22.59</v>
      </c>
      <c r="M649" s="13">
        <v>0.1137044762</v>
      </c>
      <c r="N649" s="13">
        <v>0.0297703044</v>
      </c>
      <c r="O649" s="13">
        <v>0.2952633908</v>
      </c>
      <c r="P649" s="13">
        <v>0</v>
      </c>
      <c r="Q649" s="13">
        <v>0.0008191981</v>
      </c>
      <c r="R649" s="13">
        <v>0.821343851</v>
      </c>
      <c r="S649" s="13">
        <v>0</v>
      </c>
      <c r="T649" s="13">
        <v>0.0448576066</v>
      </c>
      <c r="U649" s="13">
        <v>0.0117257766</v>
      </c>
      <c r="V649" s="13">
        <v>0</v>
      </c>
      <c r="W649" s="13">
        <v>0</v>
      </c>
      <c r="X649" s="13">
        <v>0</v>
      </c>
      <c r="Y649" s="13">
        <v>0</v>
      </c>
      <c r="Z649" s="13">
        <v>0.0003413904</v>
      </c>
    </row>
    <row r="650" s="2" customFormat="1" hidden="1" spans="1:26">
      <c r="A650" s="11" t="s">
        <v>935</v>
      </c>
      <c r="B650" s="11" t="s">
        <v>937</v>
      </c>
      <c r="C650" s="14" t="s">
        <v>294</v>
      </c>
      <c r="D650" s="14" t="s">
        <v>938</v>
      </c>
      <c r="E650" s="14" t="s">
        <v>939</v>
      </c>
      <c r="F650" s="3" t="s">
        <v>941</v>
      </c>
      <c r="G650" s="4">
        <v>33</v>
      </c>
      <c r="H650" s="12">
        <v>5069.196</v>
      </c>
      <c r="I650" s="12">
        <v>880.608155</v>
      </c>
      <c r="J650" s="13">
        <v>0.1737175195</v>
      </c>
      <c r="K650" s="13">
        <v>0.1737175195</v>
      </c>
      <c r="L650" s="12">
        <v>22.59</v>
      </c>
      <c r="M650" s="13">
        <v>0.1137044762</v>
      </c>
      <c r="N650" s="13">
        <v>0.0297703044</v>
      </c>
      <c r="O650" s="13">
        <v>0.3008169342</v>
      </c>
      <c r="P650" s="13">
        <v>0.0303030303</v>
      </c>
      <c r="Q650" s="13">
        <v>0.0240830711</v>
      </c>
      <c r="R650" s="13">
        <v>0.2029713899</v>
      </c>
      <c r="S650" s="13">
        <v>0</v>
      </c>
      <c r="T650" s="13">
        <v>0.1075697211</v>
      </c>
      <c r="U650" s="13">
        <v>0.0117257766</v>
      </c>
      <c r="V650" s="13">
        <v>0</v>
      </c>
      <c r="W650" s="13">
        <v>0</v>
      </c>
      <c r="X650" s="13">
        <v>0</v>
      </c>
      <c r="Y650" s="13">
        <v>0</v>
      </c>
      <c r="Z650" s="13">
        <v>0.0053377764</v>
      </c>
    </row>
    <row r="651" s="2" customFormat="1" hidden="1" spans="1:26">
      <c r="A651" s="11" t="s">
        <v>935</v>
      </c>
      <c r="B651" s="11" t="s">
        <v>937</v>
      </c>
      <c r="C651" s="14" t="s">
        <v>294</v>
      </c>
      <c r="D651" s="14" t="s">
        <v>938</v>
      </c>
      <c r="E651" s="14" t="s">
        <v>939</v>
      </c>
      <c r="F651" s="3" t="s">
        <v>942</v>
      </c>
      <c r="G651" s="4">
        <v>70</v>
      </c>
      <c r="H651" s="12">
        <v>9882.44</v>
      </c>
      <c r="I651" s="12">
        <v>2167.485559</v>
      </c>
      <c r="J651" s="13">
        <v>0.2193269636</v>
      </c>
      <c r="K651" s="13">
        <v>0.2193269636</v>
      </c>
      <c r="L651" s="12">
        <v>20.7614285714</v>
      </c>
      <c r="M651" s="13">
        <v>0.123719045</v>
      </c>
      <c r="N651" s="13">
        <v>0.0177240296</v>
      </c>
      <c r="O651" s="13">
        <v>0.3323470721</v>
      </c>
      <c r="P651" s="13">
        <v>0.0452556251</v>
      </c>
      <c r="Q651" s="13">
        <v>0.0225651441</v>
      </c>
      <c r="R651" s="13">
        <v>0.1090233653</v>
      </c>
      <c r="S651" s="13">
        <v>0</v>
      </c>
      <c r="T651" s="13">
        <v>0.1148352026</v>
      </c>
      <c r="U651" s="13">
        <v>0.0127585292</v>
      </c>
      <c r="V651" s="13">
        <v>0</v>
      </c>
      <c r="W651" s="13">
        <v>-0.0040412307</v>
      </c>
      <c r="X651" s="13">
        <v>0</v>
      </c>
      <c r="Y651" s="13">
        <v>0</v>
      </c>
      <c r="Z651" s="13">
        <v>0.0064862534</v>
      </c>
    </row>
    <row r="652" s="2" customFormat="1" hidden="1" spans="1:26">
      <c r="A652" s="11" t="s">
        <v>935</v>
      </c>
      <c r="B652" s="11" t="s">
        <v>937</v>
      </c>
      <c r="C652" s="14" t="s">
        <v>294</v>
      </c>
      <c r="D652" s="14" t="s">
        <v>938</v>
      </c>
      <c r="E652" s="14" t="s">
        <v>939</v>
      </c>
      <c r="F652" s="3" t="s">
        <v>943</v>
      </c>
      <c r="G652" s="4">
        <v>18</v>
      </c>
      <c r="H652" s="12">
        <v>2989.416</v>
      </c>
      <c r="I652" s="12">
        <v>489.391885</v>
      </c>
      <c r="J652" s="13">
        <v>0.1637081908</v>
      </c>
      <c r="K652" s="13">
        <v>0.1637081908</v>
      </c>
      <c r="L652" s="12">
        <v>24.4233333333</v>
      </c>
      <c r="M652" s="13">
        <v>0.1051692691</v>
      </c>
      <c r="N652" s="13">
        <v>0.0150665829</v>
      </c>
      <c r="O652" s="13">
        <v>0.2825167189</v>
      </c>
      <c r="P652" s="13">
        <v>0.0936718074</v>
      </c>
      <c r="Q652" s="13">
        <v>0.0481791567</v>
      </c>
      <c r="R652" s="13">
        <v>0.1548993412</v>
      </c>
      <c r="S652" s="13">
        <v>0</v>
      </c>
      <c r="T652" s="13">
        <v>0.1110277057</v>
      </c>
      <c r="U652" s="13">
        <v>0.0108455832</v>
      </c>
      <c r="V652" s="13">
        <v>0</v>
      </c>
      <c r="W652" s="13">
        <v>-0.0066797695</v>
      </c>
      <c r="X652" s="13">
        <v>0.0087200299</v>
      </c>
      <c r="Y652" s="13">
        <v>0</v>
      </c>
      <c r="Z652" s="13">
        <v>0.0128753833</v>
      </c>
    </row>
    <row r="653" s="2" customFormat="1" spans="1:26">
      <c r="A653" s="11" t="s">
        <v>935</v>
      </c>
      <c r="B653" s="11" t="s">
        <v>937</v>
      </c>
      <c r="C653" s="14" t="s">
        <v>294</v>
      </c>
      <c r="D653" s="14" t="s">
        <v>938</v>
      </c>
      <c r="E653" s="14" t="s">
        <v>939</v>
      </c>
      <c r="F653" s="3" t="s">
        <v>944</v>
      </c>
      <c r="G653" s="4">
        <v>35</v>
      </c>
      <c r="H653" s="12">
        <v>5464.82</v>
      </c>
      <c r="I653" s="12">
        <v>985.854309</v>
      </c>
      <c r="J653" s="13">
        <v>0.1804001429</v>
      </c>
      <c r="K653" s="13">
        <v>0.1804001429</v>
      </c>
      <c r="L653" s="12">
        <v>22.9614285714</v>
      </c>
      <c r="M653" s="13">
        <v>0.1118651703</v>
      </c>
      <c r="N653" s="13">
        <v>0.0164358112</v>
      </c>
      <c r="O653" s="13">
        <v>0.3005039507</v>
      </c>
      <c r="P653" s="13">
        <v>0.0578361226</v>
      </c>
      <c r="Q653" s="13">
        <v>0.0143799122</v>
      </c>
      <c r="R653" s="13">
        <v>0.1939220208</v>
      </c>
      <c r="S653" s="13">
        <v>0</v>
      </c>
      <c r="T653" s="13">
        <v>0.1145025819</v>
      </c>
      <c r="U653" s="13">
        <v>0.0115360981</v>
      </c>
      <c r="V653" s="13">
        <v>0</v>
      </c>
      <c r="W653" s="13">
        <v>-0.0036657423</v>
      </c>
      <c r="X653" s="13">
        <v>0.0008791145</v>
      </c>
      <c r="Y653" s="13">
        <v>0</v>
      </c>
      <c r="Z653" s="13">
        <v>0.0014048166</v>
      </c>
    </row>
    <row r="654" s="2" customFormat="1" hidden="1" spans="1:26">
      <c r="A654" s="11" t="s">
        <v>935</v>
      </c>
      <c r="B654" s="11" t="s">
        <v>937</v>
      </c>
      <c r="C654" s="14" t="s">
        <v>294</v>
      </c>
      <c r="D654" s="14" t="s">
        <v>938</v>
      </c>
      <c r="E654" s="14" t="s">
        <v>939</v>
      </c>
      <c r="F654" s="3" t="s">
        <v>945</v>
      </c>
      <c r="G654" s="4">
        <v>2</v>
      </c>
      <c r="H654" s="12">
        <v>367.064</v>
      </c>
      <c r="I654" s="12">
        <v>146.344035</v>
      </c>
      <c r="J654" s="13">
        <v>0.3986880625</v>
      </c>
      <c r="K654" s="13">
        <v>0.3986880625</v>
      </c>
      <c r="L654" s="12">
        <v>26.99</v>
      </c>
      <c r="M654" s="13">
        <v>0.0951679925</v>
      </c>
      <c r="N654" s="13">
        <v>0.0139825752</v>
      </c>
      <c r="O654" s="13">
        <v>0.2556502408</v>
      </c>
      <c r="P654" s="13">
        <v>0</v>
      </c>
      <c r="Q654" s="13">
        <v>0</v>
      </c>
      <c r="R654" s="13">
        <v>0.1612277504</v>
      </c>
      <c r="S654" s="13">
        <v>0</v>
      </c>
      <c r="T654" s="13">
        <v>0.1200444609</v>
      </c>
      <c r="U654" s="13">
        <v>0.0098142013</v>
      </c>
      <c r="V654" s="13">
        <v>0</v>
      </c>
      <c r="W654" s="13">
        <v>-0.0545752838</v>
      </c>
      <c r="X654" s="13">
        <v>0</v>
      </c>
      <c r="Y654" s="13">
        <v>0</v>
      </c>
      <c r="Z654" s="13">
        <v>0</v>
      </c>
    </row>
    <row r="655" s="2" customFormat="1" hidden="1" spans="1:26">
      <c r="A655" s="11" t="s">
        <v>935</v>
      </c>
      <c r="B655" s="11" t="s">
        <v>937</v>
      </c>
      <c r="C655" s="14" t="s">
        <v>298</v>
      </c>
      <c r="D655" s="14" t="s">
        <v>938</v>
      </c>
      <c r="E655" s="14" t="s">
        <v>939</v>
      </c>
      <c r="F655" s="3" t="s">
        <v>936</v>
      </c>
      <c r="G655" s="4">
        <v>57</v>
      </c>
      <c r="H655" s="12">
        <v>9380.124</v>
      </c>
      <c r="I655" s="12">
        <v>113.636652</v>
      </c>
      <c r="J655" s="13">
        <v>0.0121146215</v>
      </c>
      <c r="K655" s="13">
        <v>0.0121146215</v>
      </c>
      <c r="L655" s="12">
        <v>24.2005263157</v>
      </c>
      <c r="M655" s="13">
        <v>0.1149460236</v>
      </c>
      <c r="N655" s="13">
        <v>0.0360050307</v>
      </c>
      <c r="O655" s="13">
        <v>0.3049520454</v>
      </c>
      <c r="P655" s="13">
        <v>0.0521737239</v>
      </c>
      <c r="Q655" s="13">
        <v>0.0363236081</v>
      </c>
      <c r="R655" s="13">
        <v>0.3295075278</v>
      </c>
      <c r="S655" s="13">
        <v>0</v>
      </c>
      <c r="T655" s="13">
        <v>0.098685689</v>
      </c>
      <c r="U655" s="13">
        <v>0.0118538077</v>
      </c>
      <c r="V655" s="13">
        <v>0</v>
      </c>
      <c r="W655" s="13">
        <v>-0.0052958131</v>
      </c>
      <c r="X655" s="13">
        <v>0.0016456073</v>
      </c>
      <c r="Y655" s="13">
        <v>0</v>
      </c>
      <c r="Z655" s="13">
        <v>0.0070881276</v>
      </c>
    </row>
    <row r="656" s="2" customFormat="1" hidden="1" spans="1:26">
      <c r="A656" s="11" t="s">
        <v>935</v>
      </c>
      <c r="B656" s="11" t="s">
        <v>937</v>
      </c>
      <c r="C656" s="14" t="s">
        <v>298</v>
      </c>
      <c r="D656" s="14" t="s">
        <v>938</v>
      </c>
      <c r="E656" s="14" t="s">
        <v>939</v>
      </c>
      <c r="F656" s="3" t="s">
        <v>941</v>
      </c>
      <c r="G656" s="4">
        <v>3</v>
      </c>
      <c r="H656" s="12">
        <v>448.596</v>
      </c>
      <c r="I656" s="12">
        <v>-4.446531</v>
      </c>
      <c r="J656" s="13">
        <v>-0.0099121057</v>
      </c>
      <c r="K656" s="13">
        <v>-0.0099121057</v>
      </c>
      <c r="L656" s="12">
        <v>21.99</v>
      </c>
      <c r="M656" s="13">
        <v>0.126500876</v>
      </c>
      <c r="N656" s="13">
        <v>0.0396445911</v>
      </c>
      <c r="O656" s="13">
        <v>0.3356070941</v>
      </c>
      <c r="P656" s="13">
        <v>0</v>
      </c>
      <c r="Q656" s="13">
        <v>0.0017910525</v>
      </c>
      <c r="R656" s="13">
        <v>0.3679307706</v>
      </c>
      <c r="S656" s="13">
        <v>0</v>
      </c>
      <c r="T656" s="13">
        <v>0.1200545702</v>
      </c>
      <c r="U656" s="13">
        <v>0.0130454016</v>
      </c>
      <c r="V656" s="13">
        <v>0</v>
      </c>
      <c r="W656" s="13">
        <v>0</v>
      </c>
      <c r="X656" s="13">
        <v>0</v>
      </c>
      <c r="Y656" s="13">
        <v>0</v>
      </c>
      <c r="Z656" s="13">
        <v>0.0053377493</v>
      </c>
    </row>
    <row r="657" s="2" customFormat="1" hidden="1" spans="1:26">
      <c r="A657" s="11" t="s">
        <v>935</v>
      </c>
      <c r="B657" s="11" t="s">
        <v>937</v>
      </c>
      <c r="C657" s="14" t="s">
        <v>298</v>
      </c>
      <c r="D657" s="14" t="s">
        <v>938</v>
      </c>
      <c r="E657" s="14" t="s">
        <v>939</v>
      </c>
      <c r="F657" s="3" t="s">
        <v>942</v>
      </c>
      <c r="G657" s="4">
        <v>27</v>
      </c>
      <c r="H657" s="12">
        <v>4159.764</v>
      </c>
      <c r="I657" s="12">
        <v>-454.403287</v>
      </c>
      <c r="J657" s="13">
        <v>-0.1092377565</v>
      </c>
      <c r="K657" s="13">
        <v>-0.1092377565</v>
      </c>
      <c r="L657" s="12">
        <v>22.6566666666</v>
      </c>
      <c r="M657" s="13">
        <v>0.1227786203</v>
      </c>
      <c r="N657" s="13">
        <v>0.0384780595</v>
      </c>
      <c r="O657" s="13">
        <v>0.3257319405</v>
      </c>
      <c r="P657" s="13">
        <v>0.0424860641</v>
      </c>
      <c r="Q657" s="13">
        <v>0.0235826982</v>
      </c>
      <c r="R657" s="13">
        <v>0.4553952526</v>
      </c>
      <c r="S657" s="13">
        <v>0</v>
      </c>
      <c r="T657" s="13">
        <v>0.0816373236</v>
      </c>
      <c r="U657" s="13">
        <v>0.0126615445</v>
      </c>
      <c r="V657" s="13">
        <v>0</v>
      </c>
      <c r="W657" s="13">
        <v>0</v>
      </c>
      <c r="X657" s="13">
        <v>0</v>
      </c>
      <c r="Y657" s="13">
        <v>0</v>
      </c>
      <c r="Z657" s="13">
        <v>0.0064862528</v>
      </c>
    </row>
    <row r="658" s="2" customFormat="1" hidden="1" spans="1:26">
      <c r="A658" s="11" t="s">
        <v>935</v>
      </c>
      <c r="B658" s="11" t="s">
        <v>937</v>
      </c>
      <c r="C658" s="14" t="s">
        <v>298</v>
      </c>
      <c r="D658" s="14" t="s">
        <v>938</v>
      </c>
      <c r="E658" s="14" t="s">
        <v>939</v>
      </c>
      <c r="F658" s="3" t="s">
        <v>943</v>
      </c>
      <c r="G658" s="4">
        <v>15</v>
      </c>
      <c r="H658" s="12">
        <v>2650.98</v>
      </c>
      <c r="I658" s="12">
        <v>285.245136</v>
      </c>
      <c r="J658" s="13">
        <v>0.1075998823</v>
      </c>
      <c r="K658" s="13">
        <v>0.1075998823</v>
      </c>
      <c r="L658" s="12">
        <v>25.99</v>
      </c>
      <c r="M658" s="13">
        <v>0.1070317146</v>
      </c>
      <c r="N658" s="13">
        <v>0.0335070219</v>
      </c>
      <c r="O658" s="13">
        <v>0.2839553674</v>
      </c>
      <c r="P658" s="13">
        <v>0.1179427985</v>
      </c>
      <c r="Q658" s="13">
        <v>0.0508246414</v>
      </c>
      <c r="R658" s="13">
        <v>0.1708587242</v>
      </c>
      <c r="S658" s="13">
        <v>0</v>
      </c>
      <c r="T658" s="13">
        <v>0.1079132999</v>
      </c>
      <c r="U658" s="13">
        <v>0.0110376445</v>
      </c>
      <c r="V658" s="13">
        <v>0</v>
      </c>
      <c r="W658" s="13">
        <v>-0.0093692491</v>
      </c>
      <c r="X658" s="13">
        <v>0.0058227527</v>
      </c>
      <c r="Y658" s="13">
        <v>0</v>
      </c>
      <c r="Z658" s="13">
        <v>0.0128754011</v>
      </c>
    </row>
    <row r="659" s="2" customFormat="1" spans="1:26">
      <c r="A659" s="11" t="s">
        <v>935</v>
      </c>
      <c r="B659" s="11" t="s">
        <v>937</v>
      </c>
      <c r="C659" s="14" t="s">
        <v>298</v>
      </c>
      <c r="D659" s="14" t="s">
        <v>938</v>
      </c>
      <c r="E659" s="14" t="s">
        <v>939</v>
      </c>
      <c r="F659" s="3" t="s">
        <v>944</v>
      </c>
      <c r="G659" s="4">
        <v>12</v>
      </c>
      <c r="H659" s="12">
        <v>2120.784</v>
      </c>
      <c r="I659" s="12">
        <v>291.405158</v>
      </c>
      <c r="J659" s="13">
        <v>0.1374044494</v>
      </c>
      <c r="K659" s="13">
        <v>0.1374044494</v>
      </c>
      <c r="L659" s="12">
        <v>25.99</v>
      </c>
      <c r="M659" s="13">
        <v>0.1070317146</v>
      </c>
      <c r="N659" s="13">
        <v>0.0335070219</v>
      </c>
      <c r="O659" s="13">
        <v>0.2839553674</v>
      </c>
      <c r="P659" s="13">
        <v>0</v>
      </c>
      <c r="Q659" s="13">
        <v>0.0504921401</v>
      </c>
      <c r="R659" s="13">
        <v>0.2708081237</v>
      </c>
      <c r="S659" s="13">
        <v>0</v>
      </c>
      <c r="T659" s="13">
        <v>0.1160702834</v>
      </c>
      <c r="U659" s="13">
        <v>0.0110376445</v>
      </c>
      <c r="V659" s="13">
        <v>0</v>
      </c>
      <c r="W659" s="13">
        <v>-0.0117115613</v>
      </c>
      <c r="X659" s="13">
        <v>0</v>
      </c>
      <c r="Y659" s="13">
        <v>0</v>
      </c>
      <c r="Z659" s="13">
        <v>0.0014048158</v>
      </c>
    </row>
    <row r="660" s="2" customFormat="1" hidden="1" spans="1:26">
      <c r="A660" s="11" t="s">
        <v>935</v>
      </c>
      <c r="B660" s="11" t="s">
        <v>937</v>
      </c>
      <c r="C660" s="14" t="s">
        <v>298</v>
      </c>
      <c r="D660" s="14" t="s">
        <v>938</v>
      </c>
      <c r="E660" s="14" t="s">
        <v>939</v>
      </c>
      <c r="F660" s="3" t="s">
        <v>945</v>
      </c>
      <c r="G660" s="4">
        <v>0</v>
      </c>
      <c r="H660" s="12">
        <v>0</v>
      </c>
      <c r="I660" s="12">
        <v>-4.163824</v>
      </c>
      <c r="J660" s="13"/>
      <c r="K660" s="13"/>
      <c r="L660" s="12"/>
      <c r="M660" s="13"/>
      <c r="N660" s="13"/>
      <c r="O660" s="13"/>
      <c r="P660" s="13"/>
      <c r="Q660" s="13"/>
      <c r="R660" s="13"/>
      <c r="S660" s="13"/>
      <c r="T660" s="13"/>
      <c r="U660" s="13"/>
      <c r="V660" s="13"/>
      <c r="W660" s="13"/>
      <c r="X660" s="13"/>
      <c r="Y660" s="13"/>
      <c r="Z660" s="13"/>
    </row>
    <row r="661" s="2" customFormat="1" hidden="1" spans="1:26">
      <c r="A661" s="11" t="s">
        <v>935</v>
      </c>
      <c r="B661" s="11" t="s">
        <v>937</v>
      </c>
      <c r="C661" s="14" t="s">
        <v>302</v>
      </c>
      <c r="D661" s="14" t="s">
        <v>938</v>
      </c>
      <c r="E661" s="14" t="s">
        <v>939</v>
      </c>
      <c r="F661" s="3" t="s">
        <v>936</v>
      </c>
      <c r="G661" s="4">
        <v>145</v>
      </c>
      <c r="H661" s="12">
        <v>25381.34</v>
      </c>
      <c r="I661" s="12">
        <v>4335.343506</v>
      </c>
      <c r="J661" s="13">
        <v>0.1708082987</v>
      </c>
      <c r="K661" s="13">
        <v>0.1708082987</v>
      </c>
      <c r="L661" s="12">
        <v>25.7417241379</v>
      </c>
      <c r="M661" s="13">
        <v>0.0844394836</v>
      </c>
      <c r="N661" s="13">
        <v>0.0939402493</v>
      </c>
      <c r="O661" s="13">
        <v>0.2942412023</v>
      </c>
      <c r="P661" s="13">
        <v>0.048741477</v>
      </c>
      <c r="Q661" s="13">
        <v>0.011084293</v>
      </c>
      <c r="R661" s="13">
        <v>0.1800106856</v>
      </c>
      <c r="S661" s="13">
        <v>0</v>
      </c>
      <c r="T661" s="13">
        <v>0.1039664572</v>
      </c>
      <c r="U661" s="13">
        <v>0.0087078246</v>
      </c>
      <c r="V661" s="13">
        <v>0</v>
      </c>
      <c r="W661" s="13">
        <v>-0.0038263681</v>
      </c>
      <c r="X661" s="13">
        <v>0.0006081632</v>
      </c>
      <c r="Y661" s="13">
        <v>0</v>
      </c>
      <c r="Z661" s="13">
        <v>0.0072782329</v>
      </c>
    </row>
    <row r="662" s="2" customFormat="1" hidden="1" spans="1:26">
      <c r="A662" s="11" t="s">
        <v>935</v>
      </c>
      <c r="B662" s="11" t="s">
        <v>937</v>
      </c>
      <c r="C662" s="14" t="s">
        <v>302</v>
      </c>
      <c r="D662" s="14" t="s">
        <v>938</v>
      </c>
      <c r="E662" s="14" t="s">
        <v>939</v>
      </c>
      <c r="F662" s="3" t="s">
        <v>942</v>
      </c>
      <c r="G662" s="4">
        <v>14</v>
      </c>
      <c r="H662" s="12">
        <v>2245.768</v>
      </c>
      <c r="I662" s="12">
        <v>-414.360267</v>
      </c>
      <c r="J662" s="13">
        <v>-0.1845071561</v>
      </c>
      <c r="K662" s="13">
        <v>-0.1845071561</v>
      </c>
      <c r="L662" s="12">
        <v>23.59</v>
      </c>
      <c r="M662" s="13">
        <v>0.0921024362</v>
      </c>
      <c r="N662" s="13">
        <v>0.0357081203</v>
      </c>
      <c r="O662" s="13">
        <v>0.2746926663</v>
      </c>
      <c r="P662" s="13">
        <v>0</v>
      </c>
      <c r="Q662" s="13">
        <v>0.0003234203</v>
      </c>
      <c r="R662" s="13">
        <v>0.722336401</v>
      </c>
      <c r="S662" s="13">
        <v>0</v>
      </c>
      <c r="T662" s="13">
        <v>0.0433597771</v>
      </c>
      <c r="U662" s="13">
        <v>0.0094980674</v>
      </c>
      <c r="V662" s="13">
        <v>0</v>
      </c>
      <c r="W662" s="13">
        <v>0</v>
      </c>
      <c r="X662" s="13">
        <v>0</v>
      </c>
      <c r="Y662" s="13">
        <v>0</v>
      </c>
      <c r="Z662" s="13">
        <v>0.006486267</v>
      </c>
    </row>
    <row r="663" s="2" customFormat="1" hidden="1" spans="1:26">
      <c r="A663" s="11" t="s">
        <v>935</v>
      </c>
      <c r="B663" s="11" t="s">
        <v>937</v>
      </c>
      <c r="C663" s="14" t="s">
        <v>302</v>
      </c>
      <c r="D663" s="14" t="s">
        <v>938</v>
      </c>
      <c r="E663" s="14" t="s">
        <v>939</v>
      </c>
      <c r="F663" s="3" t="s">
        <v>943</v>
      </c>
      <c r="G663" s="4">
        <v>68</v>
      </c>
      <c r="H663" s="12">
        <v>12001.456</v>
      </c>
      <c r="I663" s="12">
        <v>2302.392919</v>
      </c>
      <c r="J663" s="13">
        <v>0.1918427996</v>
      </c>
      <c r="K663" s="13">
        <v>0.1918427996</v>
      </c>
      <c r="L663" s="12">
        <v>25.9547058823</v>
      </c>
      <c r="M663" s="13">
        <v>0.0837110804</v>
      </c>
      <c r="N663" s="13">
        <v>0.0996579674</v>
      </c>
      <c r="O663" s="13">
        <v>0.2956621263</v>
      </c>
      <c r="P663" s="13">
        <v>0.0589035197</v>
      </c>
      <c r="Q663" s="13">
        <v>0.0065900494</v>
      </c>
      <c r="R663" s="13">
        <v>0.1401816692</v>
      </c>
      <c r="S663" s="13">
        <v>0</v>
      </c>
      <c r="T663" s="13">
        <v>0.1046393037</v>
      </c>
      <c r="U663" s="13">
        <v>0.0086327084</v>
      </c>
      <c r="V663" s="13">
        <v>0</v>
      </c>
      <c r="W663" s="13">
        <v>-0.0026966036</v>
      </c>
      <c r="X663" s="13">
        <v>0</v>
      </c>
      <c r="Y663" s="13">
        <v>0</v>
      </c>
      <c r="Z663" s="13">
        <v>0.0128753788</v>
      </c>
    </row>
    <row r="664" s="2" customFormat="1" spans="1:26">
      <c r="A664" s="11" t="s">
        <v>935</v>
      </c>
      <c r="B664" s="11" t="s">
        <v>937</v>
      </c>
      <c r="C664" s="14" t="s">
        <v>302</v>
      </c>
      <c r="D664" s="14" t="s">
        <v>938</v>
      </c>
      <c r="E664" s="14" t="s">
        <v>939</v>
      </c>
      <c r="F664" s="3" t="s">
        <v>944</v>
      </c>
      <c r="G664" s="4">
        <v>63</v>
      </c>
      <c r="H664" s="12">
        <v>11134.116</v>
      </c>
      <c r="I664" s="12">
        <v>2447.310854</v>
      </c>
      <c r="J664" s="13">
        <v>0.2198028881</v>
      </c>
      <c r="K664" s="13">
        <v>0.2198028881</v>
      </c>
      <c r="L664" s="12">
        <v>25.99</v>
      </c>
      <c r="M664" s="13">
        <v>0.0836789999</v>
      </c>
      <c r="N664" s="13">
        <v>0.0995226331</v>
      </c>
      <c r="O664" s="13">
        <v>0.2966525586</v>
      </c>
      <c r="P664" s="13">
        <v>0.0476190476</v>
      </c>
      <c r="Q664" s="13">
        <v>0.0180991194</v>
      </c>
      <c r="R664" s="13">
        <v>0.1135544399</v>
      </c>
      <c r="S664" s="13">
        <v>0</v>
      </c>
      <c r="T664" s="13">
        <v>0.1154656552</v>
      </c>
      <c r="U664" s="13">
        <v>0.0086293992</v>
      </c>
      <c r="V664" s="13">
        <v>0</v>
      </c>
      <c r="W664" s="13">
        <v>-0.0058159248</v>
      </c>
      <c r="X664" s="13">
        <v>0.0013863695</v>
      </c>
      <c r="Y664" s="13">
        <v>0</v>
      </c>
      <c r="Z664" s="13">
        <v>0.0014048139</v>
      </c>
    </row>
    <row r="665" s="2" customFormat="1" hidden="1" spans="1:26">
      <c r="A665" s="11" t="s">
        <v>935</v>
      </c>
      <c r="B665" s="11" t="s">
        <v>937</v>
      </c>
      <c r="C665" s="14" t="s">
        <v>306</v>
      </c>
      <c r="D665" s="14" t="s">
        <v>938</v>
      </c>
      <c r="E665" s="14" t="s">
        <v>939</v>
      </c>
      <c r="F665" s="3" t="s">
        <v>936</v>
      </c>
      <c r="G665" s="4">
        <v>153</v>
      </c>
      <c r="H665" s="12">
        <v>25189.512</v>
      </c>
      <c r="I665" s="12">
        <v>2964.359355</v>
      </c>
      <c r="J665" s="13">
        <v>0.1176822859</v>
      </c>
      <c r="K665" s="13">
        <v>0.1176822859</v>
      </c>
      <c r="L665" s="12">
        <v>24.211372549</v>
      </c>
      <c r="M665" s="13">
        <v>0.1049292594</v>
      </c>
      <c r="N665" s="13">
        <v>0.0844337931</v>
      </c>
      <c r="O665" s="13">
        <v>0.2411495705</v>
      </c>
      <c r="P665" s="13">
        <v>0.2174989336</v>
      </c>
      <c r="Q665" s="13">
        <v>0.0088207306</v>
      </c>
      <c r="R665" s="13">
        <v>0.1272426998</v>
      </c>
      <c r="S665" s="13">
        <v>0</v>
      </c>
      <c r="T665" s="13">
        <v>0.0951559522</v>
      </c>
      <c r="U665" s="13">
        <v>0.0108208323</v>
      </c>
      <c r="V665" s="13">
        <v>-0.0115702122</v>
      </c>
      <c r="W665" s="13">
        <v>-0.0111781913</v>
      </c>
      <c r="X665" s="13">
        <v>0.0036767682</v>
      </c>
      <c r="Y665" s="13">
        <v>0</v>
      </c>
      <c r="Z665" s="13">
        <v>0.0113375774</v>
      </c>
    </row>
    <row r="666" s="2" customFormat="1" hidden="1" spans="1:26">
      <c r="A666" s="11" t="s">
        <v>935</v>
      </c>
      <c r="B666" s="11" t="s">
        <v>937</v>
      </c>
      <c r="C666" s="14" t="s">
        <v>306</v>
      </c>
      <c r="D666" s="14" t="s">
        <v>938</v>
      </c>
      <c r="E666" s="14" t="s">
        <v>939</v>
      </c>
      <c r="F666" s="3" t="s">
        <v>940</v>
      </c>
      <c r="G666" s="4">
        <v>0</v>
      </c>
      <c r="H666" s="12">
        <v>0</v>
      </c>
      <c r="I666" s="12">
        <v>-29.58</v>
      </c>
      <c r="J666" s="13"/>
      <c r="K666" s="13"/>
      <c r="L666" s="12"/>
      <c r="M666" s="13"/>
      <c r="N666" s="13"/>
      <c r="O666" s="13"/>
      <c r="P666" s="13"/>
      <c r="Q666" s="13"/>
      <c r="R666" s="13"/>
      <c r="S666" s="13"/>
      <c r="T666" s="13"/>
      <c r="U666" s="13"/>
      <c r="V666" s="13"/>
      <c r="W666" s="13"/>
      <c r="X666" s="13"/>
      <c r="Y666" s="13"/>
      <c r="Z666" s="13"/>
    </row>
    <row r="667" s="2" customFormat="1" hidden="1" spans="1:26">
      <c r="A667" s="11" t="s">
        <v>935</v>
      </c>
      <c r="B667" s="11" t="s">
        <v>937</v>
      </c>
      <c r="C667" s="14" t="s">
        <v>306</v>
      </c>
      <c r="D667" s="14" t="s">
        <v>938</v>
      </c>
      <c r="E667" s="14" t="s">
        <v>939</v>
      </c>
      <c r="F667" s="3" t="s">
        <v>941</v>
      </c>
      <c r="G667" s="4">
        <v>28</v>
      </c>
      <c r="H667" s="12">
        <v>4771.764</v>
      </c>
      <c r="I667" s="12">
        <v>207.241732</v>
      </c>
      <c r="J667" s="13">
        <v>0.0434308427</v>
      </c>
      <c r="K667" s="13">
        <v>0.0434308427</v>
      </c>
      <c r="L667" s="12">
        <v>25.0617857142</v>
      </c>
      <c r="M667" s="13">
        <v>0.1062288746</v>
      </c>
      <c r="N667" s="13">
        <v>0.1234663088</v>
      </c>
      <c r="O667" s="13">
        <v>0.2388953016</v>
      </c>
      <c r="P667" s="13">
        <v>0.1851851851</v>
      </c>
      <c r="Q667" s="13">
        <v>0.0073152915</v>
      </c>
      <c r="R667" s="13">
        <v>0.1983091147</v>
      </c>
      <c r="S667" s="13">
        <v>0</v>
      </c>
      <c r="T667" s="13">
        <v>0.0890798455</v>
      </c>
      <c r="U667" s="13">
        <v>0.0109548552</v>
      </c>
      <c r="V667" s="13">
        <v>0</v>
      </c>
      <c r="W667" s="13">
        <v>-0.0082033994</v>
      </c>
      <c r="X667" s="13">
        <v>0</v>
      </c>
      <c r="Y667" s="13">
        <v>0</v>
      </c>
      <c r="Z667" s="13">
        <v>0.005337779</v>
      </c>
    </row>
    <row r="668" s="2" customFormat="1" hidden="1" spans="1:26">
      <c r="A668" s="11" t="s">
        <v>935</v>
      </c>
      <c r="B668" s="11" t="s">
        <v>937</v>
      </c>
      <c r="C668" s="14" t="s">
        <v>306</v>
      </c>
      <c r="D668" s="14" t="s">
        <v>938</v>
      </c>
      <c r="E668" s="14" t="s">
        <v>939</v>
      </c>
      <c r="F668" s="3" t="s">
        <v>942</v>
      </c>
      <c r="G668" s="4">
        <v>46</v>
      </c>
      <c r="H668" s="12">
        <v>6809.384</v>
      </c>
      <c r="I668" s="12">
        <v>149.280238</v>
      </c>
      <c r="J668" s="13">
        <v>0.0219227228</v>
      </c>
      <c r="K668" s="13">
        <v>0.0219227228</v>
      </c>
      <c r="L668" s="12">
        <v>21.7691304347</v>
      </c>
      <c r="M668" s="13">
        <v>0.1036860397</v>
      </c>
      <c r="N668" s="13">
        <v>0.0902363231</v>
      </c>
      <c r="O668" s="13">
        <v>0.2394495596</v>
      </c>
      <c r="P668" s="13">
        <v>0.2854960154</v>
      </c>
      <c r="Q668" s="13">
        <v>0.0099651171</v>
      </c>
      <c r="R668" s="13">
        <v>0.145923456</v>
      </c>
      <c r="S668" s="13">
        <v>0</v>
      </c>
      <c r="T668" s="13">
        <v>0.0866204637</v>
      </c>
      <c r="U668" s="13">
        <v>0.0106926253</v>
      </c>
      <c r="V668" s="13">
        <v>0.0044937985</v>
      </c>
      <c r="W668" s="13">
        <v>-0.0049723682</v>
      </c>
      <c r="X668" s="13">
        <v>0</v>
      </c>
      <c r="Y668" s="13">
        <v>0</v>
      </c>
      <c r="Z668" s="13">
        <v>0.0064862466</v>
      </c>
    </row>
    <row r="669" s="2" customFormat="1" hidden="1" spans="1:26">
      <c r="A669" s="11" t="s">
        <v>935</v>
      </c>
      <c r="B669" s="11" t="s">
        <v>937</v>
      </c>
      <c r="C669" s="14" t="s">
        <v>306</v>
      </c>
      <c r="D669" s="14" t="s">
        <v>938</v>
      </c>
      <c r="E669" s="14" t="s">
        <v>939</v>
      </c>
      <c r="F669" s="3" t="s">
        <v>943</v>
      </c>
      <c r="G669" s="4">
        <v>52</v>
      </c>
      <c r="H669" s="12">
        <v>8836.6</v>
      </c>
      <c r="I669" s="12">
        <v>2540.176274</v>
      </c>
      <c r="J669" s="13">
        <v>0.287460819</v>
      </c>
      <c r="K669" s="13">
        <v>0.287460819</v>
      </c>
      <c r="L669" s="12">
        <v>24.9903846153</v>
      </c>
      <c r="M669" s="13">
        <v>0.1065323857</v>
      </c>
      <c r="N669" s="13">
        <v>0.0689702446</v>
      </c>
      <c r="O669" s="13">
        <v>0.2427856868</v>
      </c>
      <c r="P669" s="13">
        <v>0.14</v>
      </c>
      <c r="Q669" s="13">
        <v>0.0080358411</v>
      </c>
      <c r="R669" s="13">
        <v>0.0622656731</v>
      </c>
      <c r="S669" s="13">
        <v>0</v>
      </c>
      <c r="T669" s="13">
        <v>0.106964217</v>
      </c>
      <c r="U669" s="13">
        <v>0.0109861548</v>
      </c>
      <c r="V669" s="13">
        <v>-0.0364447864</v>
      </c>
      <c r="W669" s="13">
        <v>-0.0168752529</v>
      </c>
      <c r="X669" s="13">
        <v>0.0064436316</v>
      </c>
      <c r="Y669" s="13">
        <v>0</v>
      </c>
      <c r="Z669" s="13">
        <v>0.0128753853</v>
      </c>
    </row>
    <row r="670" s="2" customFormat="1" spans="1:26">
      <c r="A670" s="11" t="s">
        <v>935</v>
      </c>
      <c r="B670" s="11" t="s">
        <v>937</v>
      </c>
      <c r="C670" s="14" t="s">
        <v>306</v>
      </c>
      <c r="D670" s="14" t="s">
        <v>938</v>
      </c>
      <c r="E670" s="14" t="s">
        <v>939</v>
      </c>
      <c r="F670" s="3" t="s">
        <v>944</v>
      </c>
      <c r="G670" s="4">
        <v>27</v>
      </c>
      <c r="H670" s="12">
        <v>4771.764</v>
      </c>
      <c r="I670" s="12">
        <v>97.241111</v>
      </c>
      <c r="J670" s="13">
        <v>0.0203784409</v>
      </c>
      <c r="K670" s="13">
        <v>0.0203784409</v>
      </c>
      <c r="L670" s="12">
        <v>25.99</v>
      </c>
      <c r="M670" s="13">
        <v>0.1024349863</v>
      </c>
      <c r="N670" s="13">
        <v>0.0657571747</v>
      </c>
      <c r="O670" s="13">
        <v>0.2427999372</v>
      </c>
      <c r="P670" s="13">
        <v>0.2962962962</v>
      </c>
      <c r="Q670" s="13">
        <v>0.0101466107</v>
      </c>
      <c r="R670" s="13">
        <v>0.1436474073</v>
      </c>
      <c r="S670" s="13">
        <v>0</v>
      </c>
      <c r="T670" s="13">
        <v>0.0915451811</v>
      </c>
      <c r="U670" s="13">
        <v>0.0105636102</v>
      </c>
      <c r="V670" s="13">
        <v>0</v>
      </c>
      <c r="W670" s="13">
        <v>-0.0124586783</v>
      </c>
      <c r="X670" s="13">
        <v>0.0074765229</v>
      </c>
      <c r="Y670" s="13">
        <v>0</v>
      </c>
      <c r="Z670" s="13">
        <v>0.0214125103</v>
      </c>
    </row>
    <row r="671" s="2" customFormat="1" hidden="1" spans="1:26">
      <c r="A671" s="11" t="s">
        <v>935</v>
      </c>
      <c r="B671" s="11" t="s">
        <v>937</v>
      </c>
      <c r="C671" s="14" t="s">
        <v>310</v>
      </c>
      <c r="D671" s="14" t="s">
        <v>938</v>
      </c>
      <c r="E671" s="14" t="s">
        <v>939</v>
      </c>
      <c r="F671" s="3" t="s">
        <v>936</v>
      </c>
      <c r="G671" s="4">
        <v>224</v>
      </c>
      <c r="H671" s="12">
        <v>35875.168</v>
      </c>
      <c r="I671" s="12">
        <v>6036.409605</v>
      </c>
      <c r="J671" s="13">
        <v>0.1682615006</v>
      </c>
      <c r="K671" s="13">
        <v>0.1682615006</v>
      </c>
      <c r="L671" s="12">
        <v>23.5525</v>
      </c>
      <c r="M671" s="13">
        <v>0.1096048378</v>
      </c>
      <c r="N671" s="13">
        <v>0.0383277322</v>
      </c>
      <c r="O671" s="13">
        <v>0.3204277677</v>
      </c>
      <c r="P671" s="13">
        <v>0.0409249093</v>
      </c>
      <c r="Q671" s="13">
        <v>0.0163898461</v>
      </c>
      <c r="R671" s="13">
        <v>0.1748621654</v>
      </c>
      <c r="S671" s="13">
        <v>0</v>
      </c>
      <c r="T671" s="13">
        <v>0.1120767434</v>
      </c>
      <c r="U671" s="13">
        <v>0.0113030026</v>
      </c>
      <c r="V671" s="13">
        <v>-0.0014363807</v>
      </c>
      <c r="W671" s="13">
        <v>-0.0019773509</v>
      </c>
      <c r="X671" s="13">
        <v>0.0017210789</v>
      </c>
      <c r="Y671" s="13">
        <v>0</v>
      </c>
      <c r="Z671" s="13">
        <v>0.0095141471</v>
      </c>
    </row>
    <row r="672" s="2" customFormat="1" hidden="1" spans="1:26">
      <c r="A672" s="11" t="s">
        <v>935</v>
      </c>
      <c r="B672" s="11" t="s">
        <v>937</v>
      </c>
      <c r="C672" s="14" t="s">
        <v>310</v>
      </c>
      <c r="D672" s="14" t="s">
        <v>938</v>
      </c>
      <c r="E672" s="14" t="s">
        <v>939</v>
      </c>
      <c r="F672" s="3" t="s">
        <v>941</v>
      </c>
      <c r="G672" s="4">
        <v>9</v>
      </c>
      <c r="H672" s="12">
        <v>1332.188</v>
      </c>
      <c r="I672" s="12">
        <v>9.987341</v>
      </c>
      <c r="J672" s="13">
        <v>0.0074969456</v>
      </c>
      <c r="K672" s="13">
        <v>0.0074969456</v>
      </c>
      <c r="L672" s="12">
        <v>21.7677777777</v>
      </c>
      <c r="M672" s="13">
        <v>0.1185912483</v>
      </c>
      <c r="N672" s="13">
        <v>0.0489755064</v>
      </c>
      <c r="O672" s="13">
        <v>0.3433719565</v>
      </c>
      <c r="P672" s="13">
        <v>0</v>
      </c>
      <c r="Q672" s="13">
        <v>0.001791085</v>
      </c>
      <c r="R672" s="13">
        <v>0.3714497982</v>
      </c>
      <c r="S672" s="13">
        <v>0</v>
      </c>
      <c r="T672" s="13">
        <v>0.0907559593</v>
      </c>
      <c r="U672" s="13">
        <v>0.0122297265</v>
      </c>
      <c r="V672" s="13">
        <v>0</v>
      </c>
      <c r="W672" s="13">
        <v>0</v>
      </c>
      <c r="X672" s="13">
        <v>0</v>
      </c>
      <c r="Y672" s="13">
        <v>0</v>
      </c>
      <c r="Z672" s="13">
        <v>0.0053377736</v>
      </c>
    </row>
    <row r="673" s="2" customFormat="1" hidden="1" spans="1:26">
      <c r="A673" s="11" t="s">
        <v>935</v>
      </c>
      <c r="B673" s="11" t="s">
        <v>937</v>
      </c>
      <c r="C673" s="14" t="s">
        <v>310</v>
      </c>
      <c r="D673" s="14" t="s">
        <v>938</v>
      </c>
      <c r="E673" s="14" t="s">
        <v>939</v>
      </c>
      <c r="F673" s="3" t="s">
        <v>942</v>
      </c>
      <c r="G673" s="4">
        <v>103</v>
      </c>
      <c r="H673" s="12">
        <v>15551.396</v>
      </c>
      <c r="I673" s="12">
        <v>2107.178565</v>
      </c>
      <c r="J673" s="13">
        <v>0.1354977112</v>
      </c>
      <c r="K673" s="13">
        <v>0.1354977112</v>
      </c>
      <c r="L673" s="12">
        <v>22.203592233</v>
      </c>
      <c r="M673" s="13">
        <v>0.1162635269</v>
      </c>
      <c r="N673" s="13">
        <v>0.0403482008</v>
      </c>
      <c r="O673" s="13">
        <v>0.340026323</v>
      </c>
      <c r="P673" s="13">
        <v>0.017481646</v>
      </c>
      <c r="Q673" s="13">
        <v>0.0130447927</v>
      </c>
      <c r="R673" s="13">
        <v>0.2088286561</v>
      </c>
      <c r="S673" s="13">
        <v>0</v>
      </c>
      <c r="T673" s="13">
        <v>0.1115537151</v>
      </c>
      <c r="U673" s="13">
        <v>0.01198968</v>
      </c>
      <c r="V673" s="13">
        <v>0</v>
      </c>
      <c r="W673" s="13">
        <v>-0.0015205022</v>
      </c>
      <c r="X673" s="13">
        <v>0</v>
      </c>
      <c r="Y673" s="13">
        <v>0</v>
      </c>
      <c r="Z673" s="13">
        <v>0.0064862497</v>
      </c>
    </row>
    <row r="674" s="2" customFormat="1" hidden="1" spans="1:26">
      <c r="A674" s="11" t="s">
        <v>935</v>
      </c>
      <c r="B674" s="11" t="s">
        <v>937</v>
      </c>
      <c r="C674" s="14" t="s">
        <v>310</v>
      </c>
      <c r="D674" s="14" t="s">
        <v>938</v>
      </c>
      <c r="E674" s="14" t="s">
        <v>939</v>
      </c>
      <c r="F674" s="3" t="s">
        <v>943</v>
      </c>
      <c r="G674" s="4">
        <v>107</v>
      </c>
      <c r="H674" s="12">
        <v>18039.924</v>
      </c>
      <c r="I674" s="12">
        <v>4262.220538</v>
      </c>
      <c r="J674" s="13">
        <v>0.2362659919</v>
      </c>
      <c r="K674" s="13">
        <v>0.2362659919</v>
      </c>
      <c r="L674" s="12">
        <v>24.7937383177</v>
      </c>
      <c r="M674" s="13">
        <v>0.1041177376</v>
      </c>
      <c r="N674" s="13">
        <v>0.036133115</v>
      </c>
      <c r="O674" s="13">
        <v>0.3045123693</v>
      </c>
      <c r="P674" s="13">
        <v>0.0361713275</v>
      </c>
      <c r="Q674" s="13">
        <v>0.0167776263</v>
      </c>
      <c r="R674" s="13">
        <v>0.1262327896</v>
      </c>
      <c r="S674" s="13">
        <v>0</v>
      </c>
      <c r="T674" s="13">
        <v>0.1165805354</v>
      </c>
      <c r="U674" s="13">
        <v>0.0107371452</v>
      </c>
      <c r="V674" s="13">
        <v>0.0003173849</v>
      </c>
      <c r="W674" s="13">
        <v>-0.0013107556</v>
      </c>
      <c r="X674" s="13">
        <v>0.0005893481</v>
      </c>
      <c r="Y674" s="13">
        <v>0</v>
      </c>
      <c r="Z674" s="13">
        <v>0.0128753842</v>
      </c>
    </row>
    <row r="675" s="2" customFormat="1" spans="1:26">
      <c r="A675" s="11" t="s">
        <v>935</v>
      </c>
      <c r="B675" s="11" t="s">
        <v>937</v>
      </c>
      <c r="C675" s="14" t="s">
        <v>310</v>
      </c>
      <c r="D675" s="14" t="s">
        <v>938</v>
      </c>
      <c r="E675" s="14" t="s">
        <v>939</v>
      </c>
      <c r="F675" s="3" t="s">
        <v>944</v>
      </c>
      <c r="G675" s="4">
        <v>4</v>
      </c>
      <c r="H675" s="12">
        <v>761.328</v>
      </c>
      <c r="I675" s="12">
        <v>-345.040254</v>
      </c>
      <c r="J675" s="13">
        <v>-0.4532084121</v>
      </c>
      <c r="K675" s="13">
        <v>-0.4532084121</v>
      </c>
      <c r="L675" s="12">
        <v>27.99</v>
      </c>
      <c r="M675" s="13">
        <v>0.0922282222</v>
      </c>
      <c r="N675" s="13">
        <v>0.0320069667</v>
      </c>
      <c r="O675" s="13">
        <v>0.2697391925</v>
      </c>
      <c r="P675" s="13">
        <v>0.7142729546</v>
      </c>
      <c r="Q675" s="13">
        <v>0.1051722516</v>
      </c>
      <c r="R675" s="13">
        <v>0.2200821327</v>
      </c>
      <c r="S675" s="13">
        <v>0</v>
      </c>
      <c r="T675" s="13">
        <v>0.0513576277</v>
      </c>
      <c r="U675" s="13">
        <v>0.0095110386</v>
      </c>
      <c r="V675" s="13">
        <v>-0.0752054305</v>
      </c>
      <c r="W675" s="13">
        <v>-0.0310587972</v>
      </c>
      <c r="X675" s="13">
        <v>0.063697451</v>
      </c>
      <c r="Y675" s="13">
        <v>0</v>
      </c>
      <c r="Z675" s="13">
        <v>0.0014048018</v>
      </c>
    </row>
    <row r="676" s="2" customFormat="1" hidden="1" spans="1:26">
      <c r="A676" s="11" t="s">
        <v>935</v>
      </c>
      <c r="B676" s="11" t="s">
        <v>937</v>
      </c>
      <c r="C676" s="14" t="s">
        <v>310</v>
      </c>
      <c r="D676" s="14" t="s">
        <v>938</v>
      </c>
      <c r="E676" s="14" t="s">
        <v>939</v>
      </c>
      <c r="F676" s="3" t="s">
        <v>945</v>
      </c>
      <c r="G676" s="4">
        <v>1</v>
      </c>
      <c r="H676" s="12">
        <v>190.332</v>
      </c>
      <c r="I676" s="12">
        <v>2.063415</v>
      </c>
      <c r="J676" s="13">
        <v>0.0108411354</v>
      </c>
      <c r="K676" s="13">
        <v>0.0108411354</v>
      </c>
      <c r="L676" s="12">
        <v>27.99</v>
      </c>
      <c r="M676" s="13">
        <v>0.0922282222</v>
      </c>
      <c r="N676" s="13">
        <v>0.0320069667</v>
      </c>
      <c r="O676" s="13">
        <v>0.2697391925</v>
      </c>
      <c r="P676" s="13">
        <v>0</v>
      </c>
      <c r="Q676" s="13">
        <v>0</v>
      </c>
      <c r="R676" s="13">
        <v>0.4518780289</v>
      </c>
      <c r="S676" s="13">
        <v>0</v>
      </c>
      <c r="T676" s="13">
        <v>0.1200428724</v>
      </c>
      <c r="U676" s="13">
        <v>0.0095110386</v>
      </c>
      <c r="V676" s="13">
        <v>0</v>
      </c>
      <c r="W676" s="13">
        <v>0</v>
      </c>
      <c r="X676" s="13">
        <v>0.0137525429</v>
      </c>
      <c r="Y676" s="13">
        <v>0</v>
      </c>
      <c r="Z676" s="13">
        <v>0</v>
      </c>
    </row>
    <row r="677" s="2" customFormat="1" hidden="1" spans="1:26">
      <c r="A677" s="11" t="s">
        <v>935</v>
      </c>
      <c r="B677" s="11" t="s">
        <v>937</v>
      </c>
      <c r="C677" s="14" t="s">
        <v>314</v>
      </c>
      <c r="D677" s="14" t="s">
        <v>938</v>
      </c>
      <c r="E677" s="14" t="s">
        <v>939</v>
      </c>
      <c r="F677" s="3" t="s">
        <v>936</v>
      </c>
      <c r="G677" s="4">
        <v>118</v>
      </c>
      <c r="H677" s="12">
        <v>21629.576</v>
      </c>
      <c r="I677" s="12">
        <v>5657.030365</v>
      </c>
      <c r="J677" s="13">
        <v>0.2615414359</v>
      </c>
      <c r="K677" s="13">
        <v>0.2615414359</v>
      </c>
      <c r="L677" s="12">
        <v>26.9561016949</v>
      </c>
      <c r="M677" s="13">
        <v>0.1161440685</v>
      </c>
      <c r="N677" s="13">
        <v>0.0609130924</v>
      </c>
      <c r="O677" s="13">
        <v>0.2741054193</v>
      </c>
      <c r="P677" s="13">
        <v>0</v>
      </c>
      <c r="Q677" s="13">
        <v>0.0122967795</v>
      </c>
      <c r="R677" s="13">
        <v>0.1436507339</v>
      </c>
      <c r="S677" s="13">
        <v>0</v>
      </c>
      <c r="T677" s="13">
        <v>0.1119522638</v>
      </c>
      <c r="U677" s="13">
        <v>0.0119773602</v>
      </c>
      <c r="V677" s="13">
        <v>0</v>
      </c>
      <c r="W677" s="13">
        <v>0</v>
      </c>
      <c r="X677" s="13">
        <v>0</v>
      </c>
      <c r="Y677" s="13">
        <v>0</v>
      </c>
      <c r="Z677" s="13">
        <v>0.007418846</v>
      </c>
    </row>
    <row r="678" s="2" customFormat="1" hidden="1" spans="1:26">
      <c r="A678" s="11" t="s">
        <v>935</v>
      </c>
      <c r="B678" s="11" t="s">
        <v>937</v>
      </c>
      <c r="C678" s="14" t="s">
        <v>314</v>
      </c>
      <c r="D678" s="14" t="s">
        <v>938</v>
      </c>
      <c r="E678" s="14" t="s">
        <v>939</v>
      </c>
      <c r="F678" s="3" t="s">
        <v>942</v>
      </c>
      <c r="G678" s="4">
        <v>9</v>
      </c>
      <c r="H678" s="12">
        <v>1590.588</v>
      </c>
      <c r="I678" s="12">
        <v>289.997312</v>
      </c>
      <c r="J678" s="13">
        <v>0.1823208222</v>
      </c>
      <c r="K678" s="13">
        <v>0.1823208222</v>
      </c>
      <c r="L678" s="12">
        <v>25.99</v>
      </c>
      <c r="M678" s="13">
        <v>0.1204613822</v>
      </c>
      <c r="N678" s="13">
        <v>0.0365927449</v>
      </c>
      <c r="O678" s="13">
        <v>0.2654867256</v>
      </c>
      <c r="P678" s="13">
        <v>0</v>
      </c>
      <c r="Q678" s="13">
        <v>0.0003234231</v>
      </c>
      <c r="R678" s="13">
        <v>0.2799717789</v>
      </c>
      <c r="S678" s="13">
        <v>0</v>
      </c>
      <c r="T678" s="13">
        <v>0.0959343337</v>
      </c>
      <c r="U678" s="13">
        <v>0.0124225833</v>
      </c>
      <c r="V678" s="13">
        <v>0</v>
      </c>
      <c r="W678" s="13">
        <v>0</v>
      </c>
      <c r="X678" s="13">
        <v>0</v>
      </c>
      <c r="Y678" s="13">
        <v>0</v>
      </c>
      <c r="Z678" s="13">
        <v>0.0064862057</v>
      </c>
    </row>
    <row r="679" s="2" customFormat="1" hidden="1" spans="1:26">
      <c r="A679" s="11" t="s">
        <v>935</v>
      </c>
      <c r="B679" s="11" t="s">
        <v>937</v>
      </c>
      <c r="C679" s="14" t="s">
        <v>314</v>
      </c>
      <c r="D679" s="14" t="s">
        <v>938</v>
      </c>
      <c r="E679" s="14" t="s">
        <v>939</v>
      </c>
      <c r="F679" s="3" t="s">
        <v>943</v>
      </c>
      <c r="G679" s="4">
        <v>61</v>
      </c>
      <c r="H679" s="12">
        <v>10780.652</v>
      </c>
      <c r="I679" s="12">
        <v>2416.231404</v>
      </c>
      <c r="J679" s="13">
        <v>0.2241266487</v>
      </c>
      <c r="K679" s="13">
        <v>0.2241266487</v>
      </c>
      <c r="L679" s="12">
        <v>25.99</v>
      </c>
      <c r="M679" s="13">
        <v>0.1204613822</v>
      </c>
      <c r="N679" s="13">
        <v>0.0653724169</v>
      </c>
      <c r="O679" s="13">
        <v>0.284914122</v>
      </c>
      <c r="P679" s="13">
        <v>0</v>
      </c>
      <c r="Q679" s="13">
        <v>0.0096501766</v>
      </c>
      <c r="R679" s="13">
        <v>0.1590248298</v>
      </c>
      <c r="S679" s="13">
        <v>0</v>
      </c>
      <c r="T679" s="13">
        <v>0.1111524609</v>
      </c>
      <c r="U679" s="13">
        <v>0.0124225833</v>
      </c>
      <c r="V679" s="13">
        <v>0</v>
      </c>
      <c r="W679" s="13">
        <v>0</v>
      </c>
      <c r="X679" s="13">
        <v>0</v>
      </c>
      <c r="Y679" s="13">
        <v>0</v>
      </c>
      <c r="Z679" s="13">
        <v>0.0128753792</v>
      </c>
    </row>
    <row r="680" s="2" customFormat="1" spans="1:26">
      <c r="A680" s="11" t="s">
        <v>935</v>
      </c>
      <c r="B680" s="11" t="s">
        <v>937</v>
      </c>
      <c r="C680" s="14" t="s">
        <v>314</v>
      </c>
      <c r="D680" s="14" t="s">
        <v>938</v>
      </c>
      <c r="E680" s="14" t="s">
        <v>939</v>
      </c>
      <c r="F680" s="3" t="s">
        <v>944</v>
      </c>
      <c r="G680" s="4">
        <v>42</v>
      </c>
      <c r="H680" s="12">
        <v>8075.544</v>
      </c>
      <c r="I680" s="12">
        <v>2640.508695</v>
      </c>
      <c r="J680" s="13">
        <v>0.3269759529</v>
      </c>
      <c r="K680" s="13">
        <v>0.3269759529</v>
      </c>
      <c r="L680" s="12">
        <v>28.2757142857</v>
      </c>
      <c r="M680" s="13">
        <v>0.1107236864</v>
      </c>
      <c r="N680" s="13">
        <v>0.0600879291</v>
      </c>
      <c r="O680" s="13">
        <v>0.2638306471</v>
      </c>
      <c r="P680" s="13">
        <v>0</v>
      </c>
      <c r="Q680" s="13">
        <v>0.0199893032</v>
      </c>
      <c r="R680" s="13">
        <v>0.087901422</v>
      </c>
      <c r="S680" s="13">
        <v>0</v>
      </c>
      <c r="T680" s="13">
        <v>0.1176678623</v>
      </c>
      <c r="U680" s="13">
        <v>0.0114183832</v>
      </c>
      <c r="V680" s="13">
        <v>0</v>
      </c>
      <c r="W680" s="13">
        <v>0</v>
      </c>
      <c r="X680" s="13">
        <v>0</v>
      </c>
      <c r="Y680" s="13">
        <v>0</v>
      </c>
      <c r="Z680" s="13">
        <v>0.0014048132</v>
      </c>
    </row>
    <row r="681" s="2" customFormat="1" hidden="1" spans="1:26">
      <c r="A681" s="11" t="s">
        <v>935</v>
      </c>
      <c r="B681" s="11" t="s">
        <v>937</v>
      </c>
      <c r="C681" s="14" t="s">
        <v>314</v>
      </c>
      <c r="D681" s="14" t="s">
        <v>938</v>
      </c>
      <c r="E681" s="14" t="s">
        <v>939</v>
      </c>
      <c r="F681" s="3" t="s">
        <v>945</v>
      </c>
      <c r="G681" s="4">
        <v>6</v>
      </c>
      <c r="H681" s="12">
        <v>1182.792</v>
      </c>
      <c r="I681" s="12">
        <v>310.292954</v>
      </c>
      <c r="J681" s="13">
        <v>0.2623394087</v>
      </c>
      <c r="K681" s="13">
        <v>0.2623394087</v>
      </c>
      <c r="L681" s="12">
        <v>28.99</v>
      </c>
      <c r="M681" s="13">
        <v>0.1079955613</v>
      </c>
      <c r="N681" s="13">
        <v>0.0586074204</v>
      </c>
      <c r="O681" s="13">
        <v>0.2573301138</v>
      </c>
      <c r="P681" s="13">
        <v>0</v>
      </c>
      <c r="Q681" s="13">
        <v>0</v>
      </c>
      <c r="R681" s="13">
        <v>0.200831223</v>
      </c>
      <c r="S681" s="13">
        <v>0</v>
      </c>
      <c r="T681" s="13">
        <v>0.1017592273</v>
      </c>
      <c r="U681" s="13">
        <v>0.0111370452</v>
      </c>
      <c r="V681" s="13">
        <v>0</v>
      </c>
      <c r="W681" s="13">
        <v>0</v>
      </c>
      <c r="X681" s="13">
        <v>0</v>
      </c>
      <c r="Y681" s="13">
        <v>0</v>
      </c>
      <c r="Z681" s="13">
        <v>0</v>
      </c>
    </row>
    <row r="682" s="2" customFormat="1" hidden="1" spans="1:26">
      <c r="A682" s="11" t="s">
        <v>935</v>
      </c>
      <c r="B682" s="11" t="s">
        <v>937</v>
      </c>
      <c r="C682" s="14" t="s">
        <v>318</v>
      </c>
      <c r="D682" s="14" t="s">
        <v>938</v>
      </c>
      <c r="E682" s="14" t="s">
        <v>939</v>
      </c>
      <c r="F682" s="3" t="s">
        <v>936</v>
      </c>
      <c r="G682" s="4">
        <v>64</v>
      </c>
      <c r="H682" s="12">
        <v>11045.648</v>
      </c>
      <c r="I682" s="12">
        <v>2927.45877</v>
      </c>
      <c r="J682" s="13">
        <v>0.2650327776</v>
      </c>
      <c r="K682" s="13">
        <v>0.2650327776</v>
      </c>
      <c r="L682" s="12">
        <v>25.380625</v>
      </c>
      <c r="M682" s="13">
        <v>0.115600726</v>
      </c>
      <c r="N682" s="13">
        <v>0.0490983865</v>
      </c>
      <c r="O682" s="13">
        <v>0.2898864783</v>
      </c>
      <c r="P682" s="13">
        <v>0.0153845206</v>
      </c>
      <c r="Q682" s="13">
        <v>0.0145885314</v>
      </c>
      <c r="R682" s="13">
        <v>0.1180162429</v>
      </c>
      <c r="S682" s="13">
        <v>0</v>
      </c>
      <c r="T682" s="13">
        <v>0.1150607008</v>
      </c>
      <c r="U682" s="13">
        <v>0.0119213272</v>
      </c>
      <c r="V682" s="13">
        <v>0</v>
      </c>
      <c r="W682" s="13">
        <v>0</v>
      </c>
      <c r="X682" s="13">
        <v>0</v>
      </c>
      <c r="Y682" s="13">
        <v>0</v>
      </c>
      <c r="Z682" s="13">
        <v>0.0054103082</v>
      </c>
    </row>
    <row r="683" s="2" customFormat="1" hidden="1" spans="1:26">
      <c r="A683" s="11" t="s">
        <v>935</v>
      </c>
      <c r="B683" s="11" t="s">
        <v>937</v>
      </c>
      <c r="C683" s="14" t="s">
        <v>318</v>
      </c>
      <c r="D683" s="14" t="s">
        <v>938</v>
      </c>
      <c r="E683" s="14" t="s">
        <v>939</v>
      </c>
      <c r="F683" s="3" t="s">
        <v>943</v>
      </c>
      <c r="G683" s="4">
        <v>23</v>
      </c>
      <c r="H683" s="12">
        <v>3922.036</v>
      </c>
      <c r="I683" s="12">
        <v>996.807516</v>
      </c>
      <c r="J683" s="13">
        <v>0.2541556263</v>
      </c>
      <c r="K683" s="13">
        <v>0.2541556263</v>
      </c>
      <c r="L683" s="12">
        <v>25.0769565217</v>
      </c>
      <c r="M683" s="13">
        <v>0.1170005887</v>
      </c>
      <c r="N683" s="13">
        <v>0.0360065272</v>
      </c>
      <c r="O683" s="13">
        <v>0.2917974235</v>
      </c>
      <c r="P683" s="13">
        <v>0</v>
      </c>
      <c r="Q683" s="13">
        <v>0.001848871</v>
      </c>
      <c r="R683" s="13">
        <v>0.1630443513</v>
      </c>
      <c r="S683" s="13">
        <v>0</v>
      </c>
      <c r="T683" s="13">
        <v>0.1112055065</v>
      </c>
      <c r="U683" s="13">
        <v>0.012065688</v>
      </c>
      <c r="V683" s="13">
        <v>0</v>
      </c>
      <c r="W683" s="13">
        <v>0</v>
      </c>
      <c r="X683" s="13">
        <v>0</v>
      </c>
      <c r="Y683" s="13">
        <v>0</v>
      </c>
      <c r="Z683" s="13">
        <v>0.012875417</v>
      </c>
    </row>
    <row r="684" s="2" customFormat="1" spans="1:26">
      <c r="A684" s="11" t="s">
        <v>935</v>
      </c>
      <c r="B684" s="11" t="s">
        <v>937</v>
      </c>
      <c r="C684" s="14" t="s">
        <v>318</v>
      </c>
      <c r="D684" s="14" t="s">
        <v>938</v>
      </c>
      <c r="E684" s="14" t="s">
        <v>939</v>
      </c>
      <c r="F684" s="3" t="s">
        <v>944</v>
      </c>
      <c r="G684" s="4">
        <v>38</v>
      </c>
      <c r="H684" s="12">
        <v>6593.416</v>
      </c>
      <c r="I684" s="12">
        <v>1772.488149</v>
      </c>
      <c r="J684" s="13">
        <v>0.2688269857</v>
      </c>
      <c r="K684" s="13">
        <v>0.2688269857</v>
      </c>
      <c r="L684" s="12">
        <v>25.5163157894</v>
      </c>
      <c r="M684" s="13">
        <v>0.1149859838</v>
      </c>
      <c r="N684" s="13">
        <v>0.0563828343</v>
      </c>
      <c r="O684" s="13">
        <v>0.2892267073</v>
      </c>
      <c r="P684" s="13">
        <v>0.0257729832</v>
      </c>
      <c r="Q684" s="13">
        <v>0.023339714</v>
      </c>
      <c r="R684" s="13">
        <v>0.091249014</v>
      </c>
      <c r="S684" s="13">
        <v>0</v>
      </c>
      <c r="T684" s="13">
        <v>0.1169530331</v>
      </c>
      <c r="U684" s="13">
        <v>0.0118579319</v>
      </c>
      <c r="V684" s="13">
        <v>0</v>
      </c>
      <c r="W684" s="13">
        <v>0</v>
      </c>
      <c r="X684" s="13">
        <v>0</v>
      </c>
      <c r="Y684" s="13">
        <v>0</v>
      </c>
      <c r="Z684" s="13">
        <v>0.0014048123</v>
      </c>
    </row>
    <row r="685" s="2" customFormat="1" hidden="1" spans="1:26">
      <c r="A685" s="11" t="s">
        <v>935</v>
      </c>
      <c r="B685" s="11" t="s">
        <v>937</v>
      </c>
      <c r="C685" s="14" t="s">
        <v>318</v>
      </c>
      <c r="D685" s="14" t="s">
        <v>938</v>
      </c>
      <c r="E685" s="14" t="s">
        <v>939</v>
      </c>
      <c r="F685" s="3" t="s">
        <v>945</v>
      </c>
      <c r="G685" s="4">
        <v>3</v>
      </c>
      <c r="H685" s="12">
        <v>530.196</v>
      </c>
      <c r="I685" s="12">
        <v>158.163105</v>
      </c>
      <c r="J685" s="13">
        <v>0.2983106341</v>
      </c>
      <c r="K685" s="13">
        <v>0.2983106341</v>
      </c>
      <c r="L685" s="12">
        <v>25.99</v>
      </c>
      <c r="M685" s="13">
        <v>0.1128902915</v>
      </c>
      <c r="N685" s="13">
        <v>0.0553552214</v>
      </c>
      <c r="O685" s="13">
        <v>0.2839553674</v>
      </c>
      <c r="P685" s="13">
        <v>0</v>
      </c>
      <c r="Q685" s="13">
        <v>0</v>
      </c>
      <c r="R685" s="13">
        <v>0.1178005001</v>
      </c>
      <c r="S685" s="13">
        <v>0</v>
      </c>
      <c r="T685" s="13">
        <v>0.1200461716</v>
      </c>
      <c r="U685" s="13">
        <v>0.0116418135</v>
      </c>
      <c r="V685" s="13">
        <v>0</v>
      </c>
      <c r="W685" s="13">
        <v>0</v>
      </c>
      <c r="X685" s="13">
        <v>0</v>
      </c>
      <c r="Y685" s="13">
        <v>0</v>
      </c>
      <c r="Z685" s="13">
        <v>0</v>
      </c>
    </row>
    <row r="686" s="2" customFormat="1" hidden="1" spans="1:26">
      <c r="A686" s="11" t="s">
        <v>935</v>
      </c>
      <c r="B686" s="11" t="s">
        <v>937</v>
      </c>
      <c r="C686" s="14" t="s">
        <v>322</v>
      </c>
      <c r="D686" s="14" t="s">
        <v>938</v>
      </c>
      <c r="E686" s="14" t="s">
        <v>939</v>
      </c>
      <c r="F686" s="3" t="s">
        <v>936</v>
      </c>
      <c r="G686" s="4">
        <v>256</v>
      </c>
      <c r="H686" s="12">
        <v>41465.312</v>
      </c>
      <c r="I686" s="12">
        <v>8208.851463</v>
      </c>
      <c r="J686" s="13">
        <v>0.1979691232</v>
      </c>
      <c r="K686" s="13">
        <v>0.1979691232</v>
      </c>
      <c r="L686" s="12">
        <v>23.8196875</v>
      </c>
      <c r="M686" s="13">
        <v>0.091706036</v>
      </c>
      <c r="N686" s="13">
        <v>0.048269031</v>
      </c>
      <c r="O686" s="13">
        <v>0.3072005825</v>
      </c>
      <c r="P686" s="13">
        <v>0.026791454</v>
      </c>
      <c r="Q686" s="13">
        <v>0.0163707889</v>
      </c>
      <c r="R686" s="13">
        <v>0.1826059851</v>
      </c>
      <c r="S686" s="13">
        <v>0</v>
      </c>
      <c r="T686" s="13">
        <v>0.1128596355</v>
      </c>
      <c r="U686" s="13">
        <v>0.0094571856</v>
      </c>
      <c r="V686" s="13">
        <v>0</v>
      </c>
      <c r="W686" s="13">
        <v>-0.0005781464</v>
      </c>
      <c r="X686" s="13">
        <v>0.000501817</v>
      </c>
      <c r="Y686" s="13">
        <v>0</v>
      </c>
      <c r="Z686" s="13">
        <v>0.0068465071</v>
      </c>
    </row>
    <row r="687" s="2" customFormat="1" hidden="1" spans="1:26">
      <c r="A687" s="11" t="s">
        <v>935</v>
      </c>
      <c r="B687" s="11" t="s">
        <v>937</v>
      </c>
      <c r="C687" s="14" t="s">
        <v>322</v>
      </c>
      <c r="D687" s="14" t="s">
        <v>938</v>
      </c>
      <c r="E687" s="14" t="s">
        <v>939</v>
      </c>
      <c r="F687" s="3" t="s">
        <v>941</v>
      </c>
      <c r="G687" s="4">
        <v>1</v>
      </c>
      <c r="H687" s="12">
        <v>163.132</v>
      </c>
      <c r="I687" s="12">
        <v>-67.677096</v>
      </c>
      <c r="J687" s="13">
        <v>-0.4148609469</v>
      </c>
      <c r="K687" s="13">
        <v>-0.4148609469</v>
      </c>
      <c r="L687" s="12">
        <v>23.99</v>
      </c>
      <c r="M687" s="13">
        <v>0.0910549861</v>
      </c>
      <c r="N687" s="13">
        <v>0.032704405</v>
      </c>
      <c r="O687" s="13">
        <v>0.2701125468</v>
      </c>
      <c r="P687" s="13">
        <v>0</v>
      </c>
      <c r="Q687" s="13">
        <v>0.001791071</v>
      </c>
      <c r="R687" s="13">
        <v>0.896508539</v>
      </c>
      <c r="S687" s="13">
        <v>0</v>
      </c>
      <c r="T687" s="13">
        <v>0.1079616506</v>
      </c>
      <c r="U687" s="13">
        <v>0.009390046</v>
      </c>
      <c r="V687" s="13">
        <v>0</v>
      </c>
      <c r="W687" s="13">
        <v>0</v>
      </c>
      <c r="X687" s="13">
        <v>0</v>
      </c>
      <c r="Y687" s="13">
        <v>0</v>
      </c>
      <c r="Z687" s="13">
        <v>0.0053377019</v>
      </c>
    </row>
    <row r="688" s="2" customFormat="1" hidden="1" spans="1:26">
      <c r="A688" s="11" t="s">
        <v>935</v>
      </c>
      <c r="B688" s="11" t="s">
        <v>937</v>
      </c>
      <c r="C688" s="14" t="s">
        <v>322</v>
      </c>
      <c r="D688" s="14" t="s">
        <v>938</v>
      </c>
      <c r="E688" s="14" t="s">
        <v>939</v>
      </c>
      <c r="F688" s="3" t="s">
        <v>942</v>
      </c>
      <c r="G688" s="4">
        <v>87</v>
      </c>
      <c r="H688" s="12">
        <v>14086.404</v>
      </c>
      <c r="I688" s="12">
        <v>2733.37104</v>
      </c>
      <c r="J688" s="13">
        <v>0.1940432093</v>
      </c>
      <c r="K688" s="13">
        <v>0.1940432093</v>
      </c>
      <c r="L688" s="12">
        <v>23.8106896551</v>
      </c>
      <c r="M688" s="13">
        <v>0.0917406908</v>
      </c>
      <c r="N688" s="13">
        <v>0.0329506909</v>
      </c>
      <c r="O688" s="13">
        <v>0.3029934396</v>
      </c>
      <c r="P688" s="13">
        <v>0.0093795407</v>
      </c>
      <c r="Q688" s="13">
        <v>0.0056710146</v>
      </c>
      <c r="R688" s="13">
        <v>0.2415747557</v>
      </c>
      <c r="S688" s="13">
        <v>0</v>
      </c>
      <c r="T688" s="13">
        <v>0.1056996519</v>
      </c>
      <c r="U688" s="13">
        <v>0.0094607593</v>
      </c>
      <c r="V688" s="13">
        <v>0</v>
      </c>
      <c r="W688" s="13">
        <v>0</v>
      </c>
      <c r="X688" s="13">
        <v>0</v>
      </c>
      <c r="Y688" s="13">
        <v>0</v>
      </c>
      <c r="Z688" s="13">
        <v>0.0064862467</v>
      </c>
    </row>
    <row r="689" s="2" customFormat="1" hidden="1" spans="1:26">
      <c r="A689" s="11" t="s">
        <v>935</v>
      </c>
      <c r="B689" s="11" t="s">
        <v>937</v>
      </c>
      <c r="C689" s="14" t="s">
        <v>322</v>
      </c>
      <c r="D689" s="14" t="s">
        <v>938</v>
      </c>
      <c r="E689" s="14" t="s">
        <v>939</v>
      </c>
      <c r="F689" s="3" t="s">
        <v>943</v>
      </c>
      <c r="G689" s="4">
        <v>82</v>
      </c>
      <c r="H689" s="12">
        <v>13458.424</v>
      </c>
      <c r="I689" s="12">
        <v>2565.033939</v>
      </c>
      <c r="J689" s="13">
        <v>0.1905894731</v>
      </c>
      <c r="K689" s="13">
        <v>0.1905894731</v>
      </c>
      <c r="L689" s="12">
        <v>24.1363414634</v>
      </c>
      <c r="M689" s="13">
        <v>0.0905029092</v>
      </c>
      <c r="N689" s="13">
        <v>0.0555608292</v>
      </c>
      <c r="O689" s="13">
        <v>0.3057629927</v>
      </c>
      <c r="P689" s="13">
        <v>0.0242423629</v>
      </c>
      <c r="Q689" s="13">
        <v>0.0266566441</v>
      </c>
      <c r="R689" s="13">
        <v>0.168537094</v>
      </c>
      <c r="S689" s="13">
        <v>0</v>
      </c>
      <c r="T689" s="13">
        <v>0.11772047</v>
      </c>
      <c r="U689" s="13">
        <v>0.0093331131</v>
      </c>
      <c r="V689" s="13">
        <v>0</v>
      </c>
      <c r="W689" s="13">
        <v>-0.0017812651</v>
      </c>
      <c r="X689" s="13">
        <v>0</v>
      </c>
      <c r="Y689" s="13">
        <v>0</v>
      </c>
      <c r="Z689" s="13">
        <v>0.0128753761</v>
      </c>
    </row>
    <row r="690" s="2" customFormat="1" spans="1:26">
      <c r="A690" s="11" t="s">
        <v>935</v>
      </c>
      <c r="B690" s="11" t="s">
        <v>937</v>
      </c>
      <c r="C690" s="14" t="s">
        <v>322</v>
      </c>
      <c r="D690" s="14" t="s">
        <v>938</v>
      </c>
      <c r="E690" s="14" t="s">
        <v>939</v>
      </c>
      <c r="F690" s="3" t="s">
        <v>944</v>
      </c>
      <c r="G690" s="4">
        <v>82</v>
      </c>
      <c r="H690" s="12">
        <v>13077.624</v>
      </c>
      <c r="I690" s="12">
        <v>2790.876877</v>
      </c>
      <c r="J690" s="13">
        <v>0.2134085577</v>
      </c>
      <c r="K690" s="13">
        <v>0.2134085577</v>
      </c>
      <c r="L690" s="12">
        <v>23.4534146341</v>
      </c>
      <c r="M690" s="13">
        <v>0.0931382126</v>
      </c>
      <c r="N690" s="13">
        <v>0.0571786738</v>
      </c>
      <c r="O690" s="13">
        <v>0.314458345</v>
      </c>
      <c r="P690" s="13">
        <v>0.0498965255</v>
      </c>
      <c r="Q690" s="13">
        <v>0.018343322</v>
      </c>
      <c r="R690" s="13">
        <v>0.1257859853</v>
      </c>
      <c r="S690" s="13">
        <v>0</v>
      </c>
      <c r="T690" s="13">
        <v>0.1152570222</v>
      </c>
      <c r="U690" s="13">
        <v>0.0096048788</v>
      </c>
      <c r="V690" s="13">
        <v>0</v>
      </c>
      <c r="W690" s="13">
        <v>0</v>
      </c>
      <c r="X690" s="13">
        <v>0.0015236617</v>
      </c>
      <c r="Y690" s="13">
        <v>0</v>
      </c>
      <c r="Z690" s="13">
        <v>0.0014048148</v>
      </c>
    </row>
    <row r="691" s="2" customFormat="1" hidden="1" spans="1:26">
      <c r="A691" s="11" t="s">
        <v>935</v>
      </c>
      <c r="B691" s="11" t="s">
        <v>937</v>
      </c>
      <c r="C691" s="14" t="s">
        <v>322</v>
      </c>
      <c r="D691" s="14" t="s">
        <v>938</v>
      </c>
      <c r="E691" s="14" t="s">
        <v>939</v>
      </c>
      <c r="F691" s="3" t="s">
        <v>945</v>
      </c>
      <c r="G691" s="4">
        <v>4</v>
      </c>
      <c r="H691" s="12">
        <v>679.728</v>
      </c>
      <c r="I691" s="12">
        <v>187.246703</v>
      </c>
      <c r="J691" s="13">
        <v>0.2754729877</v>
      </c>
      <c r="K691" s="13">
        <v>0.2754729877</v>
      </c>
      <c r="L691" s="12">
        <v>24.99</v>
      </c>
      <c r="M691" s="13">
        <v>0.0874113292</v>
      </c>
      <c r="N691" s="13">
        <v>0.053662871</v>
      </c>
      <c r="O691" s="13">
        <v>0.2921168467</v>
      </c>
      <c r="P691" s="13">
        <v>0</v>
      </c>
      <c r="Q691" s="13">
        <v>0</v>
      </c>
      <c r="R691" s="13">
        <v>0.1609758903</v>
      </c>
      <c r="S691" s="13">
        <v>0</v>
      </c>
      <c r="T691" s="13">
        <v>0.1200480192</v>
      </c>
      <c r="U691" s="13">
        <v>0.0090142939</v>
      </c>
      <c r="V691" s="13">
        <v>0</v>
      </c>
      <c r="W691" s="13">
        <v>0</v>
      </c>
      <c r="X691" s="13">
        <v>0.0012977617</v>
      </c>
      <c r="Y691" s="13">
        <v>0</v>
      </c>
      <c r="Z691" s="13">
        <v>0</v>
      </c>
    </row>
    <row r="692" s="2" customFormat="1" hidden="1" spans="1:26">
      <c r="A692" s="11" t="s">
        <v>935</v>
      </c>
      <c r="B692" s="11" t="s">
        <v>937</v>
      </c>
      <c r="C692" s="14" t="s">
        <v>326</v>
      </c>
      <c r="D692" s="14" t="s">
        <v>938</v>
      </c>
      <c r="E692" s="14" t="s">
        <v>939</v>
      </c>
      <c r="F692" s="3" t="s">
        <v>936</v>
      </c>
      <c r="G692" s="4">
        <v>64</v>
      </c>
      <c r="H692" s="12">
        <v>12534.848</v>
      </c>
      <c r="I692" s="12">
        <v>-195.929098</v>
      </c>
      <c r="J692" s="13">
        <v>-0.0156307518</v>
      </c>
      <c r="K692" s="13">
        <v>-0.0156307518</v>
      </c>
      <c r="L692" s="12">
        <v>28.8025</v>
      </c>
      <c r="M692" s="13">
        <v>0.1136597721</v>
      </c>
      <c r="N692" s="13">
        <v>0.0702466351</v>
      </c>
      <c r="O692" s="13">
        <v>0.3978821282</v>
      </c>
      <c r="P692" s="13">
        <v>0.0563970141</v>
      </c>
      <c r="Q692" s="13">
        <v>0.0726769593</v>
      </c>
      <c r="R692" s="13">
        <v>0.1860281869</v>
      </c>
      <c r="S692" s="13">
        <v>0</v>
      </c>
      <c r="T692" s="13">
        <v>0.107629546</v>
      </c>
      <c r="U692" s="13">
        <v>0.0117211639</v>
      </c>
      <c r="V692" s="13">
        <v>-0.0033254491</v>
      </c>
      <c r="W692" s="13">
        <v>-0.0058722219</v>
      </c>
      <c r="X692" s="13">
        <v>0.0023326969</v>
      </c>
      <c r="Y692" s="13">
        <v>0</v>
      </c>
      <c r="Z692" s="13">
        <v>0.0062543199</v>
      </c>
    </row>
    <row r="693" s="2" customFormat="1" hidden="1" spans="1:26">
      <c r="A693" s="11" t="s">
        <v>935</v>
      </c>
      <c r="B693" s="11" t="s">
        <v>937</v>
      </c>
      <c r="C693" s="14" t="s">
        <v>326</v>
      </c>
      <c r="D693" s="14" t="s">
        <v>938</v>
      </c>
      <c r="E693" s="14" t="s">
        <v>939</v>
      </c>
      <c r="F693" s="3" t="s">
        <v>941</v>
      </c>
      <c r="G693" s="4">
        <v>1</v>
      </c>
      <c r="H693" s="12">
        <v>135.932</v>
      </c>
      <c r="I693" s="12">
        <v>-126.76029</v>
      </c>
      <c r="J693" s="13">
        <v>-0.9325272194</v>
      </c>
      <c r="K693" s="13">
        <v>-0.9325272194</v>
      </c>
      <c r="L693" s="12">
        <v>19.99</v>
      </c>
      <c r="M693" s="13">
        <v>0.1637661624</v>
      </c>
      <c r="N693" s="13">
        <v>0.0901988052</v>
      </c>
      <c r="O693" s="13">
        <v>0.5732866433</v>
      </c>
      <c r="P693" s="13">
        <v>0</v>
      </c>
      <c r="Q693" s="13">
        <v>0.001791094</v>
      </c>
      <c r="R693" s="13">
        <v>1.0662509931</v>
      </c>
      <c r="S693" s="13">
        <v>0</v>
      </c>
      <c r="T693" s="13">
        <v>0.0150075037</v>
      </c>
      <c r="U693" s="13">
        <v>0.0168883853</v>
      </c>
      <c r="V693" s="13">
        <v>0</v>
      </c>
      <c r="W693" s="13">
        <v>0</v>
      </c>
      <c r="X693" s="13">
        <v>0</v>
      </c>
      <c r="Y693" s="13">
        <v>0</v>
      </c>
      <c r="Z693" s="13">
        <v>0.005337632</v>
      </c>
    </row>
    <row r="694" s="2" customFormat="1" hidden="1" spans="1:26">
      <c r="A694" s="11" t="s">
        <v>935</v>
      </c>
      <c r="B694" s="11" t="s">
        <v>937</v>
      </c>
      <c r="C694" s="14" t="s">
        <v>326</v>
      </c>
      <c r="D694" s="14" t="s">
        <v>938</v>
      </c>
      <c r="E694" s="14" t="s">
        <v>939</v>
      </c>
      <c r="F694" s="3" t="s">
        <v>942</v>
      </c>
      <c r="G694" s="4">
        <v>21</v>
      </c>
      <c r="H694" s="12">
        <v>3228.572</v>
      </c>
      <c r="I694" s="12">
        <v>-445.302501</v>
      </c>
      <c r="J694" s="13">
        <v>-0.1379255289</v>
      </c>
      <c r="K694" s="13">
        <v>-0.1379255289</v>
      </c>
      <c r="L694" s="12">
        <v>22.609047619</v>
      </c>
      <c r="M694" s="13">
        <v>0.1447953776</v>
      </c>
      <c r="N694" s="13">
        <v>0.0797501136</v>
      </c>
      <c r="O694" s="13">
        <v>0.5068767244</v>
      </c>
      <c r="P694" s="13">
        <v>0.0421028244</v>
      </c>
      <c r="Q694" s="13">
        <v>0.0374265638</v>
      </c>
      <c r="R694" s="13">
        <v>0.1939694976</v>
      </c>
      <c r="S694" s="13">
        <v>0</v>
      </c>
      <c r="T694" s="13">
        <v>0.1115861749</v>
      </c>
      <c r="U694" s="13">
        <v>0.0149320231</v>
      </c>
      <c r="V694" s="13">
        <v>0</v>
      </c>
      <c r="W694" s="13">
        <v>0</v>
      </c>
      <c r="X694" s="13">
        <v>0</v>
      </c>
      <c r="Y694" s="13">
        <v>0</v>
      </c>
      <c r="Z694" s="13">
        <v>0.0064862292</v>
      </c>
    </row>
    <row r="695" s="2" customFormat="1" hidden="1" spans="1:26">
      <c r="A695" s="11" t="s">
        <v>935</v>
      </c>
      <c r="B695" s="11" t="s">
        <v>937</v>
      </c>
      <c r="C695" s="14" t="s">
        <v>326</v>
      </c>
      <c r="D695" s="14" t="s">
        <v>938</v>
      </c>
      <c r="E695" s="14" t="s">
        <v>939</v>
      </c>
      <c r="F695" s="3" t="s">
        <v>943</v>
      </c>
      <c r="G695" s="4">
        <v>18</v>
      </c>
      <c r="H695" s="12">
        <v>3847.576</v>
      </c>
      <c r="I695" s="12">
        <v>-185.637199</v>
      </c>
      <c r="J695" s="13">
        <v>-0.0482478316</v>
      </c>
      <c r="K695" s="13">
        <v>-0.0482478316</v>
      </c>
      <c r="L695" s="12">
        <v>31.4344444444</v>
      </c>
      <c r="M695" s="13">
        <v>0.1041432621</v>
      </c>
      <c r="N695" s="13">
        <v>0.0680344128</v>
      </c>
      <c r="O695" s="13">
        <v>0.3645682372</v>
      </c>
      <c r="P695" s="13">
        <v>0.1484040861</v>
      </c>
      <c r="Q695" s="13">
        <v>0.0966940967</v>
      </c>
      <c r="R695" s="13">
        <v>0.137012867</v>
      </c>
      <c r="S695" s="13">
        <v>0</v>
      </c>
      <c r="T695" s="13">
        <v>0.1057756883</v>
      </c>
      <c r="U695" s="13">
        <v>0.0107397738</v>
      </c>
      <c r="V695" s="13">
        <v>0</v>
      </c>
      <c r="W695" s="13">
        <v>0</v>
      </c>
      <c r="X695" s="13">
        <v>0</v>
      </c>
      <c r="Y695" s="13">
        <v>0</v>
      </c>
      <c r="Z695" s="13">
        <v>0.0128754072</v>
      </c>
    </row>
    <row r="696" s="2" customFormat="1" spans="1:26">
      <c r="A696" s="11" t="s">
        <v>935</v>
      </c>
      <c r="B696" s="11" t="s">
        <v>937</v>
      </c>
      <c r="C696" s="14" t="s">
        <v>326</v>
      </c>
      <c r="D696" s="14" t="s">
        <v>938</v>
      </c>
      <c r="E696" s="14" t="s">
        <v>939</v>
      </c>
      <c r="F696" s="3" t="s">
        <v>944</v>
      </c>
      <c r="G696" s="4">
        <v>23</v>
      </c>
      <c r="H696" s="12">
        <v>5118.836</v>
      </c>
      <c r="I696" s="12">
        <v>524.807026</v>
      </c>
      <c r="J696" s="13">
        <v>0.1025246806</v>
      </c>
      <c r="K696" s="13">
        <v>0.1025246806</v>
      </c>
      <c r="L696" s="12">
        <v>32.7291304347</v>
      </c>
      <c r="M696" s="13">
        <v>0.1000236041</v>
      </c>
      <c r="N696" s="13">
        <v>0.0653431344</v>
      </c>
      <c r="O696" s="13">
        <v>0.3501467911</v>
      </c>
      <c r="P696" s="13">
        <v>0</v>
      </c>
      <c r="Q696" s="13">
        <v>0.0816355378</v>
      </c>
      <c r="R696" s="13">
        <v>0.1969246038</v>
      </c>
      <c r="S696" s="13">
        <v>0</v>
      </c>
      <c r="T696" s="13">
        <v>0.1084926338</v>
      </c>
      <c r="U696" s="13">
        <v>0.010314934</v>
      </c>
      <c r="V696" s="13">
        <v>-0.0081432575</v>
      </c>
      <c r="W696" s="13">
        <v>-0.0143797164</v>
      </c>
      <c r="X696" s="13">
        <v>0.0057122365</v>
      </c>
      <c r="Y696" s="13">
        <v>0</v>
      </c>
      <c r="Z696" s="13">
        <v>0.0014048172</v>
      </c>
    </row>
    <row r="697" s="2" customFormat="1" hidden="1" spans="1:26">
      <c r="A697" s="11" t="s">
        <v>935</v>
      </c>
      <c r="B697" s="11" t="s">
        <v>937</v>
      </c>
      <c r="C697" s="14" t="s">
        <v>326</v>
      </c>
      <c r="D697" s="14" t="s">
        <v>938</v>
      </c>
      <c r="E697" s="14" t="s">
        <v>939</v>
      </c>
      <c r="F697" s="3" t="s">
        <v>945</v>
      </c>
      <c r="G697" s="4">
        <v>1</v>
      </c>
      <c r="H697" s="12">
        <v>203.932</v>
      </c>
      <c r="I697" s="12">
        <v>36.963866</v>
      </c>
      <c r="J697" s="13">
        <v>0.1812558401</v>
      </c>
      <c r="K697" s="13">
        <v>0.1812558401</v>
      </c>
      <c r="L697" s="12">
        <v>29.99</v>
      </c>
      <c r="M697" s="13">
        <v>0.1091592393</v>
      </c>
      <c r="N697" s="13">
        <v>0.071311236</v>
      </c>
      <c r="O697" s="13">
        <v>0.3821273757</v>
      </c>
      <c r="P697" s="13">
        <v>0</v>
      </c>
      <c r="Q697" s="13">
        <v>0</v>
      </c>
      <c r="R697" s="13">
        <v>0.1248492487</v>
      </c>
      <c r="S697" s="13">
        <v>0</v>
      </c>
      <c r="T697" s="13">
        <v>0.1200400133</v>
      </c>
      <c r="U697" s="13">
        <v>0.0112570464</v>
      </c>
      <c r="V697" s="13">
        <v>0</v>
      </c>
      <c r="W697" s="13">
        <v>0</v>
      </c>
      <c r="X697" s="13">
        <v>0</v>
      </c>
      <c r="Y697" s="13">
        <v>0</v>
      </c>
      <c r="Z697" s="13">
        <v>0</v>
      </c>
    </row>
    <row r="698" s="2" customFormat="1" hidden="1" spans="1:26">
      <c r="A698" s="11" t="s">
        <v>935</v>
      </c>
      <c r="B698" s="11" t="s">
        <v>937</v>
      </c>
      <c r="C698" s="14" t="s">
        <v>330</v>
      </c>
      <c r="D698" s="14" t="s">
        <v>938</v>
      </c>
      <c r="E698" s="14" t="s">
        <v>939</v>
      </c>
      <c r="F698" s="3" t="s">
        <v>936</v>
      </c>
      <c r="G698" s="4">
        <v>38</v>
      </c>
      <c r="H698" s="12">
        <v>7053.164</v>
      </c>
      <c r="I698" s="12">
        <v>132.195204</v>
      </c>
      <c r="J698" s="13">
        <v>0.0187426811</v>
      </c>
      <c r="K698" s="13">
        <v>0.0187426811</v>
      </c>
      <c r="L698" s="12">
        <v>27.2955263157</v>
      </c>
      <c r="M698" s="13">
        <v>0.1107091191</v>
      </c>
      <c r="N698" s="13">
        <v>0.0757923434</v>
      </c>
      <c r="O698" s="13">
        <v>0.2737483489</v>
      </c>
      <c r="P698" s="13">
        <v>0.0269853359</v>
      </c>
      <c r="Q698" s="13">
        <v>0.0367925007</v>
      </c>
      <c r="R698" s="13">
        <v>0.3587548457</v>
      </c>
      <c r="S698" s="13">
        <v>0</v>
      </c>
      <c r="T698" s="13">
        <v>0.0864417727</v>
      </c>
      <c r="U698" s="13">
        <v>0.0114168784</v>
      </c>
      <c r="V698" s="13">
        <v>0</v>
      </c>
      <c r="W698" s="13">
        <v>-0.0051197276</v>
      </c>
      <c r="X698" s="13">
        <v>0</v>
      </c>
      <c r="Y698" s="13">
        <v>0</v>
      </c>
      <c r="Z698" s="13">
        <v>0.0057359012</v>
      </c>
    </row>
    <row r="699" s="2" customFormat="1" hidden="1" spans="1:26">
      <c r="A699" s="11" t="s">
        <v>935</v>
      </c>
      <c r="B699" s="11" t="s">
        <v>937</v>
      </c>
      <c r="C699" s="14" t="s">
        <v>330</v>
      </c>
      <c r="D699" s="14" t="s">
        <v>938</v>
      </c>
      <c r="E699" s="14" t="s">
        <v>939</v>
      </c>
      <c r="F699" s="3" t="s">
        <v>942</v>
      </c>
      <c r="G699" s="4">
        <v>8</v>
      </c>
      <c r="H699" s="12">
        <v>1577.056</v>
      </c>
      <c r="I699" s="12">
        <v>-687.954624</v>
      </c>
      <c r="J699" s="13">
        <v>-0.4362271371</v>
      </c>
      <c r="K699" s="13">
        <v>-0.4362271371</v>
      </c>
      <c r="L699" s="12">
        <v>28.99</v>
      </c>
      <c r="M699" s="13">
        <v>0.1042381399</v>
      </c>
      <c r="N699" s="13">
        <v>0.0412440699</v>
      </c>
      <c r="O699" s="13">
        <v>0.2573301138</v>
      </c>
      <c r="P699" s="13">
        <v>0</v>
      </c>
      <c r="Q699" s="13">
        <v>0.0003234178</v>
      </c>
      <c r="R699" s="13">
        <v>1.00550724</v>
      </c>
      <c r="S699" s="13">
        <v>0</v>
      </c>
      <c r="T699" s="13">
        <v>0.0103483959</v>
      </c>
      <c r="U699" s="13">
        <v>0.0107495586</v>
      </c>
      <c r="V699" s="13">
        <v>0</v>
      </c>
      <c r="W699" s="13">
        <v>0</v>
      </c>
      <c r="X699" s="13">
        <v>0</v>
      </c>
      <c r="Y699" s="13">
        <v>0</v>
      </c>
      <c r="Z699" s="13">
        <v>0.0064862008</v>
      </c>
    </row>
    <row r="700" s="2" customFormat="1" hidden="1" spans="1:26">
      <c r="A700" s="11" t="s">
        <v>935</v>
      </c>
      <c r="B700" s="11" t="s">
        <v>937</v>
      </c>
      <c r="C700" s="14" t="s">
        <v>330</v>
      </c>
      <c r="D700" s="14" t="s">
        <v>938</v>
      </c>
      <c r="E700" s="14" t="s">
        <v>939</v>
      </c>
      <c r="F700" s="3" t="s">
        <v>943</v>
      </c>
      <c r="G700" s="4">
        <v>10</v>
      </c>
      <c r="H700" s="12">
        <v>1964.52</v>
      </c>
      <c r="I700" s="12">
        <v>138.581176</v>
      </c>
      <c r="J700" s="13">
        <v>0.0705420031</v>
      </c>
      <c r="K700" s="13">
        <v>0.0705420031</v>
      </c>
      <c r="L700" s="12">
        <v>28.89</v>
      </c>
      <c r="M700" s="13">
        <v>0.1045989503</v>
      </c>
      <c r="N700" s="13">
        <v>0.0805792254</v>
      </c>
      <c r="O700" s="13">
        <v>0.2639321564</v>
      </c>
      <c r="P700" s="13">
        <v>0</v>
      </c>
      <c r="Q700" s="13">
        <v>0.0363424332</v>
      </c>
      <c r="R700" s="13">
        <v>0.3234929182</v>
      </c>
      <c r="S700" s="13">
        <v>0</v>
      </c>
      <c r="T700" s="13">
        <v>0.0968501211</v>
      </c>
      <c r="U700" s="13">
        <v>0.0107867672</v>
      </c>
      <c r="V700" s="13">
        <v>0</v>
      </c>
      <c r="W700" s="13">
        <v>0</v>
      </c>
      <c r="X700" s="13">
        <v>0</v>
      </c>
      <c r="Y700" s="13">
        <v>0</v>
      </c>
      <c r="Z700" s="13">
        <v>0.0128754245</v>
      </c>
    </row>
    <row r="701" s="2" customFormat="1" spans="1:26">
      <c r="A701" s="11" t="s">
        <v>935</v>
      </c>
      <c r="B701" s="11" t="s">
        <v>937</v>
      </c>
      <c r="C701" s="14" t="s">
        <v>330</v>
      </c>
      <c r="D701" s="14" t="s">
        <v>938</v>
      </c>
      <c r="E701" s="14" t="s">
        <v>939</v>
      </c>
      <c r="F701" s="3" t="s">
        <v>944</v>
      </c>
      <c r="G701" s="4">
        <v>20</v>
      </c>
      <c r="H701" s="12">
        <v>3511.588</v>
      </c>
      <c r="I701" s="12">
        <v>711.32975</v>
      </c>
      <c r="J701" s="13">
        <v>0.202566403</v>
      </c>
      <c r="K701" s="13">
        <v>0.202566403</v>
      </c>
      <c r="L701" s="12">
        <v>25.8205</v>
      </c>
      <c r="M701" s="13">
        <v>0.1170335073</v>
      </c>
      <c r="N701" s="13">
        <v>0.0886300215</v>
      </c>
      <c r="O701" s="13">
        <v>0.2866133498</v>
      </c>
      <c r="P701" s="13">
        <v>0.0542011192</v>
      </c>
      <c r="Q701" s="13">
        <v>0.0534225703</v>
      </c>
      <c r="R701" s="13">
        <v>0.0795498022</v>
      </c>
      <c r="S701" s="13">
        <v>0</v>
      </c>
      <c r="T701" s="13">
        <v>0.1147925098</v>
      </c>
      <c r="U701" s="13">
        <v>0.0120690809</v>
      </c>
      <c r="V701" s="13">
        <v>0</v>
      </c>
      <c r="W701" s="13">
        <v>-0.0102831764</v>
      </c>
      <c r="X701" s="13">
        <v>0</v>
      </c>
      <c r="Y701" s="13">
        <v>0</v>
      </c>
      <c r="Z701" s="13">
        <v>0.001404812</v>
      </c>
    </row>
    <row r="702" s="2" customFormat="1" hidden="1" spans="1:26">
      <c r="A702" s="11" t="s">
        <v>935</v>
      </c>
      <c r="B702" s="11" t="s">
        <v>937</v>
      </c>
      <c r="C702" s="14" t="s">
        <v>330</v>
      </c>
      <c r="D702" s="14" t="s">
        <v>938</v>
      </c>
      <c r="E702" s="14" t="s">
        <v>939</v>
      </c>
      <c r="F702" s="3" t="s">
        <v>945</v>
      </c>
      <c r="G702" s="4">
        <v>0</v>
      </c>
      <c r="H702" s="12">
        <v>0</v>
      </c>
      <c r="I702" s="12">
        <v>-29.761098</v>
      </c>
      <c r="J702" s="13"/>
      <c r="K702" s="13"/>
      <c r="L702" s="12"/>
      <c r="M702" s="13"/>
      <c r="N702" s="13"/>
      <c r="O702" s="13"/>
      <c r="P702" s="13"/>
      <c r="Q702" s="13"/>
      <c r="R702" s="13"/>
      <c r="S702" s="13"/>
      <c r="T702" s="13"/>
      <c r="U702" s="13"/>
      <c r="V702" s="13"/>
      <c r="W702" s="13"/>
      <c r="X702" s="13"/>
      <c r="Y702" s="13"/>
      <c r="Z702" s="13"/>
    </row>
    <row r="703" s="2" customFormat="1" hidden="1" spans="1:26">
      <c r="A703" s="11" t="s">
        <v>935</v>
      </c>
      <c r="B703" s="11" t="s">
        <v>937</v>
      </c>
      <c r="C703" s="14" t="s">
        <v>334</v>
      </c>
      <c r="D703" s="14" t="s">
        <v>938</v>
      </c>
      <c r="E703" s="14" t="s">
        <v>939</v>
      </c>
      <c r="F703" s="3" t="s">
        <v>936</v>
      </c>
      <c r="G703" s="4">
        <v>126</v>
      </c>
      <c r="H703" s="12">
        <v>18977.032</v>
      </c>
      <c r="I703" s="12">
        <v>1796.319697</v>
      </c>
      <c r="J703" s="13">
        <v>0.094657568</v>
      </c>
      <c r="K703" s="13">
        <v>0.094657568</v>
      </c>
      <c r="L703" s="12">
        <v>22.1487301587</v>
      </c>
      <c r="M703" s="13">
        <v>0.1269163451</v>
      </c>
      <c r="N703" s="13">
        <v>0.038781933</v>
      </c>
      <c r="O703" s="13">
        <v>0.329292589</v>
      </c>
      <c r="P703" s="13">
        <v>0.0161175888</v>
      </c>
      <c r="Q703" s="13">
        <v>0.0311089481</v>
      </c>
      <c r="R703" s="13">
        <v>0.2379067359</v>
      </c>
      <c r="S703" s="13">
        <v>0</v>
      </c>
      <c r="T703" s="13">
        <v>0.1076094512</v>
      </c>
      <c r="U703" s="13">
        <v>0.0130882486</v>
      </c>
      <c r="V703" s="13">
        <v>0</v>
      </c>
      <c r="W703" s="13">
        <v>0</v>
      </c>
      <c r="X703" s="13">
        <v>0</v>
      </c>
      <c r="Y703" s="13">
        <v>0</v>
      </c>
      <c r="Z703" s="13">
        <v>0.0045205916</v>
      </c>
    </row>
    <row r="704" s="2" customFormat="1" hidden="1" spans="1:26">
      <c r="A704" s="11" t="s">
        <v>935</v>
      </c>
      <c r="B704" s="11" t="s">
        <v>937</v>
      </c>
      <c r="C704" s="14" t="s">
        <v>334</v>
      </c>
      <c r="D704" s="14" t="s">
        <v>938</v>
      </c>
      <c r="E704" s="14" t="s">
        <v>939</v>
      </c>
      <c r="F704" s="3" t="s">
        <v>941</v>
      </c>
      <c r="G704" s="4">
        <v>4</v>
      </c>
      <c r="H704" s="12">
        <v>584.528</v>
      </c>
      <c r="I704" s="12">
        <v>-48.832873</v>
      </c>
      <c r="J704" s="13">
        <v>-0.0835424017</v>
      </c>
      <c r="K704" s="13">
        <v>-0.0835424017</v>
      </c>
      <c r="L704" s="12">
        <v>21.49</v>
      </c>
      <c r="M704" s="13">
        <v>0.1308066953</v>
      </c>
      <c r="N704" s="13">
        <v>0.0376695864</v>
      </c>
      <c r="O704" s="13">
        <v>0.3301535597</v>
      </c>
      <c r="P704" s="13">
        <v>0</v>
      </c>
      <c r="Q704" s="13">
        <v>0.0017910331</v>
      </c>
      <c r="R704" s="13">
        <v>0.4930984571</v>
      </c>
      <c r="S704" s="13">
        <v>0</v>
      </c>
      <c r="T704" s="13">
        <v>0.071195905</v>
      </c>
      <c r="U704" s="13">
        <v>0.013489441</v>
      </c>
      <c r="V704" s="13">
        <v>0</v>
      </c>
      <c r="W704" s="13">
        <v>0</v>
      </c>
      <c r="X704" s="13">
        <v>0</v>
      </c>
      <c r="Y704" s="13">
        <v>0</v>
      </c>
      <c r="Z704" s="13">
        <v>0.0053377237</v>
      </c>
    </row>
    <row r="705" s="2" customFormat="1" hidden="1" spans="1:26">
      <c r="A705" s="11" t="s">
        <v>935</v>
      </c>
      <c r="B705" s="11" t="s">
        <v>937</v>
      </c>
      <c r="C705" s="14" t="s">
        <v>334</v>
      </c>
      <c r="D705" s="14" t="s">
        <v>938</v>
      </c>
      <c r="E705" s="14" t="s">
        <v>939</v>
      </c>
      <c r="F705" s="3" t="s">
        <v>942</v>
      </c>
      <c r="G705" s="4">
        <v>15</v>
      </c>
      <c r="H705" s="12">
        <v>2120.58</v>
      </c>
      <c r="I705" s="12">
        <v>-683.613968</v>
      </c>
      <c r="J705" s="13">
        <v>-0.3223712229</v>
      </c>
      <c r="K705" s="13">
        <v>-0.3223712229</v>
      </c>
      <c r="L705" s="12">
        <v>20.79</v>
      </c>
      <c r="M705" s="13">
        <v>0.1352109611</v>
      </c>
      <c r="N705" s="13">
        <v>0.0389379226</v>
      </c>
      <c r="O705" s="13">
        <v>0.3511303511</v>
      </c>
      <c r="P705" s="13">
        <v>0</v>
      </c>
      <c r="Q705" s="13">
        <v>0.0695355468</v>
      </c>
      <c r="R705" s="13">
        <v>0.6342069235</v>
      </c>
      <c r="S705" s="13">
        <v>0</v>
      </c>
      <c r="T705" s="13">
        <v>0.0729196729</v>
      </c>
      <c r="U705" s="13">
        <v>0.0139436309</v>
      </c>
      <c r="V705" s="13">
        <v>0</v>
      </c>
      <c r="W705" s="13">
        <v>0</v>
      </c>
      <c r="X705" s="13">
        <v>0</v>
      </c>
      <c r="Y705" s="13">
        <v>0</v>
      </c>
      <c r="Z705" s="13">
        <v>0.0064862136</v>
      </c>
    </row>
    <row r="706" s="2" customFormat="1" hidden="1" spans="1:26">
      <c r="A706" s="11" t="s">
        <v>935</v>
      </c>
      <c r="B706" s="11" t="s">
        <v>937</v>
      </c>
      <c r="C706" s="14" t="s">
        <v>334</v>
      </c>
      <c r="D706" s="14" t="s">
        <v>938</v>
      </c>
      <c r="E706" s="14" t="s">
        <v>939</v>
      </c>
      <c r="F706" s="3" t="s">
        <v>943</v>
      </c>
      <c r="G706" s="4">
        <v>26</v>
      </c>
      <c r="H706" s="12">
        <v>4078.232</v>
      </c>
      <c r="I706" s="12">
        <v>610.314931</v>
      </c>
      <c r="J706" s="13">
        <v>0.149651842</v>
      </c>
      <c r="K706" s="13">
        <v>0.149651842</v>
      </c>
      <c r="L706" s="12">
        <v>23.0669230769</v>
      </c>
      <c r="M706" s="13">
        <v>0.1218643627</v>
      </c>
      <c r="N706" s="13">
        <v>0.0376188716</v>
      </c>
      <c r="O706" s="13">
        <v>0.3164704705</v>
      </c>
      <c r="P706" s="13">
        <v>0</v>
      </c>
      <c r="Q706" s="13">
        <v>0.0557025056</v>
      </c>
      <c r="R706" s="13">
        <v>0.1792666039</v>
      </c>
      <c r="S706" s="13">
        <v>0</v>
      </c>
      <c r="T706" s="13">
        <v>0.1139827258</v>
      </c>
      <c r="U706" s="13">
        <v>0.0125672629</v>
      </c>
      <c r="V706" s="13">
        <v>0</v>
      </c>
      <c r="W706" s="13">
        <v>0</v>
      </c>
      <c r="X706" s="13">
        <v>0</v>
      </c>
      <c r="Y706" s="13">
        <v>0</v>
      </c>
      <c r="Z706" s="13">
        <v>0.0128753545</v>
      </c>
    </row>
    <row r="707" s="2" customFormat="1" spans="1:26">
      <c r="A707" s="11" t="s">
        <v>935</v>
      </c>
      <c r="B707" s="11" t="s">
        <v>937</v>
      </c>
      <c r="C707" s="14" t="s">
        <v>334</v>
      </c>
      <c r="D707" s="14" t="s">
        <v>938</v>
      </c>
      <c r="E707" s="14" t="s">
        <v>939</v>
      </c>
      <c r="F707" s="3" t="s">
        <v>944</v>
      </c>
      <c r="G707" s="4">
        <v>78</v>
      </c>
      <c r="H707" s="12">
        <v>11677.096</v>
      </c>
      <c r="I707" s="12">
        <v>1777.029061</v>
      </c>
      <c r="J707" s="13">
        <v>0.1521807357</v>
      </c>
      <c r="K707" s="13">
        <v>0.1521807357</v>
      </c>
      <c r="L707" s="12">
        <v>22.0156410256</v>
      </c>
      <c r="M707" s="13">
        <v>0.1276835809</v>
      </c>
      <c r="N707" s="13">
        <v>0.0394152328</v>
      </c>
      <c r="O707" s="13">
        <v>0.331576618</v>
      </c>
      <c r="P707" s="13">
        <v>0.0261934987</v>
      </c>
      <c r="Q707" s="13">
        <v>0.0183851502</v>
      </c>
      <c r="R707" s="13">
        <v>0.1770371757</v>
      </c>
      <c r="S707" s="13">
        <v>0</v>
      </c>
      <c r="T707" s="13">
        <v>0.1129558239</v>
      </c>
      <c r="U707" s="13">
        <v>0.0131673698</v>
      </c>
      <c r="V707" s="13">
        <v>0</v>
      </c>
      <c r="W707" s="13">
        <v>0</v>
      </c>
      <c r="X707" s="13">
        <v>0</v>
      </c>
      <c r="Y707" s="13">
        <v>0</v>
      </c>
      <c r="Z707" s="13">
        <v>0.0014048137</v>
      </c>
    </row>
    <row r="708" s="2" customFormat="1" hidden="1" spans="1:26">
      <c r="A708" s="11" t="s">
        <v>935</v>
      </c>
      <c r="B708" s="11" t="s">
        <v>937</v>
      </c>
      <c r="C708" s="14" t="s">
        <v>334</v>
      </c>
      <c r="D708" s="14" t="s">
        <v>938</v>
      </c>
      <c r="E708" s="14" t="s">
        <v>939</v>
      </c>
      <c r="F708" s="3" t="s">
        <v>945</v>
      </c>
      <c r="G708" s="4">
        <v>3</v>
      </c>
      <c r="H708" s="12">
        <v>516.596</v>
      </c>
      <c r="I708" s="12">
        <v>141.422546</v>
      </c>
      <c r="J708" s="13">
        <v>0.2737584998</v>
      </c>
      <c r="K708" s="13">
        <v>0.2737584998</v>
      </c>
      <c r="L708" s="12">
        <v>25.3233333333</v>
      </c>
      <c r="M708" s="13">
        <v>0.1110057607</v>
      </c>
      <c r="N708" s="13">
        <v>0.0342668797</v>
      </c>
      <c r="O708" s="13">
        <v>0.2882716861</v>
      </c>
      <c r="P708" s="13">
        <v>0</v>
      </c>
      <c r="Q708" s="13">
        <v>0</v>
      </c>
      <c r="R708" s="13">
        <v>0.1612023167</v>
      </c>
      <c r="S708" s="13">
        <v>0</v>
      </c>
      <c r="T708" s="13">
        <v>0.1200473871</v>
      </c>
      <c r="U708" s="13">
        <v>0.0114474695</v>
      </c>
      <c r="V708" s="13">
        <v>0</v>
      </c>
      <c r="W708" s="13">
        <v>0</v>
      </c>
      <c r="X708" s="13">
        <v>0</v>
      </c>
      <c r="Y708" s="13">
        <v>0</v>
      </c>
      <c r="Z708" s="13">
        <v>0</v>
      </c>
    </row>
    <row r="709" s="2" customFormat="1" hidden="1" spans="1:26">
      <c r="A709" s="11" t="s">
        <v>935</v>
      </c>
      <c r="B709" s="11" t="s">
        <v>937</v>
      </c>
      <c r="C709" s="14" t="s">
        <v>338</v>
      </c>
      <c r="D709" s="14" t="s">
        <v>938</v>
      </c>
      <c r="E709" s="14" t="s">
        <v>939</v>
      </c>
      <c r="F709" s="3" t="s">
        <v>936</v>
      </c>
      <c r="G709" s="4">
        <v>243</v>
      </c>
      <c r="H709" s="12">
        <v>35810.5</v>
      </c>
      <c r="I709" s="12">
        <v>11040.972484</v>
      </c>
      <c r="J709" s="13">
        <v>0.3083166245</v>
      </c>
      <c r="K709" s="13">
        <v>0.3083166245</v>
      </c>
      <c r="L709" s="12">
        <v>21.6718106995</v>
      </c>
      <c r="M709" s="13">
        <v>0.1047943258</v>
      </c>
      <c r="N709" s="13">
        <v>0.0207782325</v>
      </c>
      <c r="O709" s="13">
        <v>0.2891298362</v>
      </c>
      <c r="P709" s="13">
        <v>0.008541182</v>
      </c>
      <c r="Q709" s="13">
        <v>0.010736971</v>
      </c>
      <c r="R709" s="13">
        <v>0.129922624</v>
      </c>
      <c r="S709" s="13">
        <v>0</v>
      </c>
      <c r="T709" s="13">
        <v>0.1130519819</v>
      </c>
      <c r="U709" s="13">
        <v>0.0108069162</v>
      </c>
      <c r="V709" s="13">
        <v>-0.0024761452</v>
      </c>
      <c r="W709" s="13">
        <v>0</v>
      </c>
      <c r="X709" s="13">
        <v>0</v>
      </c>
      <c r="Y709" s="13">
        <v>0</v>
      </c>
      <c r="Z709" s="13">
        <v>0.0063974507</v>
      </c>
    </row>
    <row r="710" s="2" customFormat="1" hidden="1" spans="1:26">
      <c r="A710" s="11" t="s">
        <v>935</v>
      </c>
      <c r="B710" s="11" t="s">
        <v>937</v>
      </c>
      <c r="C710" s="14" t="s">
        <v>338</v>
      </c>
      <c r="D710" s="14" t="s">
        <v>938</v>
      </c>
      <c r="E710" s="14" t="s">
        <v>939</v>
      </c>
      <c r="F710" s="3" t="s">
        <v>940</v>
      </c>
      <c r="G710" s="4">
        <v>5</v>
      </c>
      <c r="H710" s="12">
        <v>747.66</v>
      </c>
      <c r="I710" s="12">
        <v>49.560793</v>
      </c>
      <c r="J710" s="13">
        <v>0.0662878755</v>
      </c>
      <c r="K710" s="13">
        <v>0.0662878755</v>
      </c>
      <c r="L710" s="12">
        <v>21.99</v>
      </c>
      <c r="M710" s="13">
        <v>0.1032779779</v>
      </c>
      <c r="N710" s="13">
        <v>0.0278023566</v>
      </c>
      <c r="O710" s="13">
        <v>0.2646657571</v>
      </c>
      <c r="P710" s="13">
        <v>0</v>
      </c>
      <c r="Q710" s="13">
        <v>0.0008192266</v>
      </c>
      <c r="R710" s="13">
        <v>0.4534854826</v>
      </c>
      <c r="S710" s="13">
        <v>0</v>
      </c>
      <c r="T710" s="13">
        <v>0.0726693951</v>
      </c>
      <c r="U710" s="13">
        <v>0.0106505457</v>
      </c>
      <c r="V710" s="13">
        <v>0</v>
      </c>
      <c r="W710" s="13">
        <v>0</v>
      </c>
      <c r="X710" s="13">
        <v>0</v>
      </c>
      <c r="Y710" s="13">
        <v>0</v>
      </c>
      <c r="Z710" s="13">
        <v>0.0003413824</v>
      </c>
    </row>
    <row r="711" s="2" customFormat="1" hidden="1" spans="1:26">
      <c r="A711" s="11" t="s">
        <v>935</v>
      </c>
      <c r="B711" s="11" t="s">
        <v>937</v>
      </c>
      <c r="C711" s="14" t="s">
        <v>338</v>
      </c>
      <c r="D711" s="14" t="s">
        <v>938</v>
      </c>
      <c r="E711" s="14" t="s">
        <v>939</v>
      </c>
      <c r="F711" s="3" t="s">
        <v>941</v>
      </c>
      <c r="G711" s="4">
        <v>98</v>
      </c>
      <c r="H711" s="12">
        <v>13971.96</v>
      </c>
      <c r="I711" s="12">
        <v>4645.077101</v>
      </c>
      <c r="J711" s="13">
        <v>0.3324570855</v>
      </c>
      <c r="K711" s="13">
        <v>0.3324570855</v>
      </c>
      <c r="L711" s="12">
        <v>20.9663265306</v>
      </c>
      <c r="M711" s="13">
        <v>0.1083204913</v>
      </c>
      <c r="N711" s="13">
        <v>0.0291597969</v>
      </c>
      <c r="O711" s="13">
        <v>0.2969387258</v>
      </c>
      <c r="P711" s="13">
        <v>0</v>
      </c>
      <c r="Q711" s="13">
        <v>0.0061939742</v>
      </c>
      <c r="R711" s="13">
        <v>0.0957917256</v>
      </c>
      <c r="S711" s="13">
        <v>0</v>
      </c>
      <c r="T711" s="13">
        <v>0.1146298729</v>
      </c>
      <c r="U711" s="13">
        <v>0.0111705521</v>
      </c>
      <c r="V711" s="13">
        <v>0</v>
      </c>
      <c r="W711" s="13">
        <v>0</v>
      </c>
      <c r="X711" s="13">
        <v>0</v>
      </c>
      <c r="Y711" s="13">
        <v>0</v>
      </c>
      <c r="Z711" s="13">
        <v>0.0053377752</v>
      </c>
    </row>
    <row r="712" s="2" customFormat="1" hidden="1" spans="1:26">
      <c r="A712" s="11" t="s">
        <v>935</v>
      </c>
      <c r="B712" s="11" t="s">
        <v>937</v>
      </c>
      <c r="C712" s="14" t="s">
        <v>338</v>
      </c>
      <c r="D712" s="14" t="s">
        <v>938</v>
      </c>
      <c r="E712" s="14" t="s">
        <v>939</v>
      </c>
      <c r="F712" s="3" t="s">
        <v>942</v>
      </c>
      <c r="G712" s="4">
        <v>104</v>
      </c>
      <c r="H712" s="12">
        <v>15551.328</v>
      </c>
      <c r="I712" s="12">
        <v>4976.709041</v>
      </c>
      <c r="J712" s="13">
        <v>0.3200182673</v>
      </c>
      <c r="K712" s="13">
        <v>0.3200182673</v>
      </c>
      <c r="L712" s="12">
        <v>21.99</v>
      </c>
      <c r="M712" s="13">
        <v>0.1032779806</v>
      </c>
      <c r="N712" s="13">
        <v>0.014810308</v>
      </c>
      <c r="O712" s="13">
        <v>0.2869529856</v>
      </c>
      <c r="P712" s="13">
        <v>0.0096153846</v>
      </c>
      <c r="Q712" s="13">
        <v>0.0127020795</v>
      </c>
      <c r="R712" s="13">
        <v>0.1226071002</v>
      </c>
      <c r="S712" s="13">
        <v>0</v>
      </c>
      <c r="T712" s="13">
        <v>0.1128791058</v>
      </c>
      <c r="U712" s="13">
        <v>0.010650543</v>
      </c>
      <c r="V712" s="13">
        <v>0</v>
      </c>
      <c r="W712" s="13">
        <v>0</v>
      </c>
      <c r="X712" s="13">
        <v>0</v>
      </c>
      <c r="Y712" s="13">
        <v>0</v>
      </c>
      <c r="Z712" s="13">
        <v>0.0064862449</v>
      </c>
    </row>
    <row r="713" s="2" customFormat="1" hidden="1" spans="1:26">
      <c r="A713" s="11" t="s">
        <v>935</v>
      </c>
      <c r="B713" s="11" t="s">
        <v>937</v>
      </c>
      <c r="C713" s="14" t="s">
        <v>338</v>
      </c>
      <c r="D713" s="14" t="s">
        <v>938</v>
      </c>
      <c r="E713" s="14" t="s">
        <v>939</v>
      </c>
      <c r="F713" s="3" t="s">
        <v>943</v>
      </c>
      <c r="G713" s="4">
        <v>26</v>
      </c>
      <c r="H713" s="12">
        <v>3976.232</v>
      </c>
      <c r="I713" s="12">
        <v>1398.193989</v>
      </c>
      <c r="J713" s="13">
        <v>0.3516379298</v>
      </c>
      <c r="K713" s="13">
        <v>0.3516379298</v>
      </c>
      <c r="L713" s="12">
        <v>22.49</v>
      </c>
      <c r="M713" s="13">
        <v>0.1009818939</v>
      </c>
      <c r="N713" s="13">
        <v>0.0144810438</v>
      </c>
      <c r="O713" s="13">
        <v>0.2805691418</v>
      </c>
      <c r="P713" s="13">
        <v>0</v>
      </c>
      <c r="Q713" s="13">
        <v>0.0225922599</v>
      </c>
      <c r="R713" s="13">
        <v>0.1119450298</v>
      </c>
      <c r="S713" s="13">
        <v>0</v>
      </c>
      <c r="T713" s="13">
        <v>0.1168040496</v>
      </c>
      <c r="U713" s="13">
        <v>0.010413759</v>
      </c>
      <c r="V713" s="13">
        <v>-0.0223005096</v>
      </c>
      <c r="W713" s="13">
        <v>0</v>
      </c>
      <c r="X713" s="13">
        <v>0</v>
      </c>
      <c r="Y713" s="13">
        <v>0</v>
      </c>
      <c r="Z713" s="13">
        <v>0.0128754016</v>
      </c>
    </row>
    <row r="714" s="2" customFormat="1" spans="1:26">
      <c r="A714" s="11" t="s">
        <v>935</v>
      </c>
      <c r="B714" s="11" t="s">
        <v>937</v>
      </c>
      <c r="C714" s="14" t="s">
        <v>338</v>
      </c>
      <c r="D714" s="14" t="s">
        <v>938</v>
      </c>
      <c r="E714" s="14" t="s">
        <v>939</v>
      </c>
      <c r="F714" s="3" t="s">
        <v>944</v>
      </c>
      <c r="G714" s="4">
        <v>10</v>
      </c>
      <c r="H714" s="12">
        <v>1563.32</v>
      </c>
      <c r="I714" s="12">
        <v>36.141475</v>
      </c>
      <c r="J714" s="13">
        <v>0.0231184114</v>
      </c>
      <c r="K714" s="13">
        <v>0.0231184114</v>
      </c>
      <c r="L714" s="12">
        <v>22.99</v>
      </c>
      <c r="M714" s="13">
        <v>0.0987856804</v>
      </c>
      <c r="N714" s="13">
        <v>0.0178931504</v>
      </c>
      <c r="O714" s="13">
        <v>0.2744671596</v>
      </c>
      <c r="P714" s="13">
        <v>0.1</v>
      </c>
      <c r="Q714" s="13">
        <v>0.0063810115</v>
      </c>
      <c r="R714" s="13">
        <v>0.3573231705</v>
      </c>
      <c r="S714" s="13">
        <v>0</v>
      </c>
      <c r="T714" s="13">
        <v>0.1104393214</v>
      </c>
      <c r="U714" s="13">
        <v>0.0101872745</v>
      </c>
      <c r="V714" s="13">
        <v>0</v>
      </c>
      <c r="W714" s="13">
        <v>0</v>
      </c>
      <c r="X714" s="13">
        <v>0</v>
      </c>
      <c r="Y714" s="13">
        <v>0</v>
      </c>
      <c r="Z714" s="13">
        <v>0.0014048198</v>
      </c>
    </row>
    <row r="715" s="2" customFormat="1" hidden="1" spans="1:26">
      <c r="A715" s="11" t="s">
        <v>935</v>
      </c>
      <c r="B715" s="11" t="s">
        <v>937</v>
      </c>
      <c r="C715" s="14" t="s">
        <v>338</v>
      </c>
      <c r="D715" s="14" t="s">
        <v>938</v>
      </c>
      <c r="E715" s="14" t="s">
        <v>939</v>
      </c>
      <c r="F715" s="3" t="s">
        <v>945</v>
      </c>
      <c r="G715" s="4">
        <v>0</v>
      </c>
      <c r="H715" s="12">
        <v>0</v>
      </c>
      <c r="I715" s="12">
        <v>-64.709915</v>
      </c>
      <c r="J715" s="13"/>
      <c r="K715" s="13"/>
      <c r="L715" s="12"/>
      <c r="M715" s="13"/>
      <c r="N715" s="13"/>
      <c r="O715" s="13"/>
      <c r="P715" s="13"/>
      <c r="Q715" s="13"/>
      <c r="R715" s="13"/>
      <c r="S715" s="13"/>
      <c r="T715" s="13"/>
      <c r="U715" s="13"/>
      <c r="V715" s="13"/>
      <c r="W715" s="13"/>
      <c r="X715" s="13"/>
      <c r="Y715" s="13"/>
      <c r="Z715" s="13"/>
    </row>
    <row r="716" s="2" customFormat="1" hidden="1" spans="1:26">
      <c r="A716" s="11" t="s">
        <v>935</v>
      </c>
      <c r="B716" s="11" t="s">
        <v>937</v>
      </c>
      <c r="C716" s="14" t="s">
        <v>342</v>
      </c>
      <c r="D716" s="14" t="s">
        <v>938</v>
      </c>
      <c r="E716" s="14" t="s">
        <v>939</v>
      </c>
      <c r="F716" s="3" t="s">
        <v>936</v>
      </c>
      <c r="G716" s="4">
        <v>134</v>
      </c>
      <c r="H716" s="12">
        <v>21994.056</v>
      </c>
      <c r="I716" s="12">
        <v>1300.008789</v>
      </c>
      <c r="J716" s="13">
        <v>0.0591072783</v>
      </c>
      <c r="K716" s="13">
        <v>0.0591072783</v>
      </c>
      <c r="L716" s="12">
        <v>24.1374626865</v>
      </c>
      <c r="M716" s="13">
        <v>0.1290831459</v>
      </c>
      <c r="N716" s="13">
        <v>0.0398404029</v>
      </c>
      <c r="O716" s="13">
        <v>0.294819473</v>
      </c>
      <c r="P716" s="13">
        <v>0.1599019298</v>
      </c>
      <c r="Q716" s="13">
        <v>0.0129397414</v>
      </c>
      <c r="R716" s="13">
        <v>0.1972234343</v>
      </c>
      <c r="S716" s="13">
        <v>0</v>
      </c>
      <c r="T716" s="13">
        <v>0.1017276667</v>
      </c>
      <c r="U716" s="13">
        <v>0.0133117023</v>
      </c>
      <c r="V716" s="13">
        <v>-0.0117764545</v>
      </c>
      <c r="W716" s="13">
        <v>-0.0142692885</v>
      </c>
      <c r="X716" s="13">
        <v>0.0035091299</v>
      </c>
      <c r="Y716" s="13">
        <v>0</v>
      </c>
      <c r="Z716" s="13">
        <v>0.0145818379</v>
      </c>
    </row>
    <row r="717" s="2" customFormat="1" hidden="1" spans="1:26">
      <c r="A717" s="11" t="s">
        <v>935</v>
      </c>
      <c r="B717" s="11" t="s">
        <v>937</v>
      </c>
      <c r="C717" s="14" t="s">
        <v>342</v>
      </c>
      <c r="D717" s="14" t="s">
        <v>938</v>
      </c>
      <c r="E717" s="14" t="s">
        <v>939</v>
      </c>
      <c r="F717" s="3" t="s">
        <v>940</v>
      </c>
      <c r="G717" s="4">
        <v>9</v>
      </c>
      <c r="H717" s="12">
        <v>1522.588</v>
      </c>
      <c r="I717" s="12">
        <v>4.52405</v>
      </c>
      <c r="J717" s="13">
        <v>0.0029712896</v>
      </c>
      <c r="K717" s="13">
        <v>0.0029712896</v>
      </c>
      <c r="L717" s="12">
        <v>24.8788888888</v>
      </c>
      <c r="M717" s="13">
        <v>0.1290897091</v>
      </c>
      <c r="N717" s="13">
        <v>0.0432326262</v>
      </c>
      <c r="O717" s="13">
        <v>0.2865883613</v>
      </c>
      <c r="P717" s="13">
        <v>0.1071412621</v>
      </c>
      <c r="Q717" s="13">
        <v>0.0008192248</v>
      </c>
      <c r="R717" s="13">
        <v>0.3164188959</v>
      </c>
      <c r="S717" s="13">
        <v>0</v>
      </c>
      <c r="T717" s="13">
        <v>0.1000848555</v>
      </c>
      <c r="U717" s="13">
        <v>0.0133123793</v>
      </c>
      <c r="V717" s="13">
        <v>0</v>
      </c>
      <c r="W717" s="13">
        <v>0</v>
      </c>
      <c r="X717" s="13">
        <v>0</v>
      </c>
      <c r="Y717" s="13">
        <v>0</v>
      </c>
      <c r="Z717" s="13">
        <v>0.0003413957</v>
      </c>
    </row>
    <row r="718" s="2" customFormat="1" hidden="1" spans="1:26">
      <c r="A718" s="11" t="s">
        <v>935</v>
      </c>
      <c r="B718" s="11" t="s">
        <v>937</v>
      </c>
      <c r="C718" s="14" t="s">
        <v>342</v>
      </c>
      <c r="D718" s="14" t="s">
        <v>938</v>
      </c>
      <c r="E718" s="14" t="s">
        <v>939</v>
      </c>
      <c r="F718" s="3" t="s">
        <v>941</v>
      </c>
      <c r="G718" s="4">
        <v>65</v>
      </c>
      <c r="H718" s="12">
        <v>10077.668</v>
      </c>
      <c r="I718" s="12">
        <v>321.288761</v>
      </c>
      <c r="J718" s="13">
        <v>0.0318812607</v>
      </c>
      <c r="K718" s="13">
        <v>0.0318812607</v>
      </c>
      <c r="L718" s="12">
        <v>22.8001538461</v>
      </c>
      <c r="M718" s="13">
        <v>0.13869201</v>
      </c>
      <c r="N718" s="13">
        <v>0.0428632049</v>
      </c>
      <c r="O718" s="13">
        <v>0.3199371124</v>
      </c>
      <c r="P718" s="13">
        <v>0.1586359066</v>
      </c>
      <c r="Q718" s="13">
        <v>0.0063599561</v>
      </c>
      <c r="R718" s="13">
        <v>0.189799486</v>
      </c>
      <c r="S718" s="13">
        <v>0</v>
      </c>
      <c r="T718" s="13">
        <v>0.1002759765</v>
      </c>
      <c r="U718" s="13">
        <v>0.0143026165</v>
      </c>
      <c r="V718" s="13">
        <v>0.0004250983</v>
      </c>
      <c r="W718" s="13">
        <v>-0.0085104007</v>
      </c>
      <c r="X718" s="13">
        <v>0</v>
      </c>
      <c r="Y718" s="13">
        <v>0</v>
      </c>
      <c r="Z718" s="13">
        <v>0.0053377721</v>
      </c>
    </row>
    <row r="719" s="2" customFormat="1" hidden="1" spans="1:26">
      <c r="A719" s="11" t="s">
        <v>935</v>
      </c>
      <c r="B719" s="11" t="s">
        <v>937</v>
      </c>
      <c r="C719" s="14" t="s">
        <v>342</v>
      </c>
      <c r="D719" s="14" t="s">
        <v>938</v>
      </c>
      <c r="E719" s="14" t="s">
        <v>939</v>
      </c>
      <c r="F719" s="3" t="s">
        <v>942</v>
      </c>
      <c r="G719" s="4">
        <v>36</v>
      </c>
      <c r="H719" s="12">
        <v>5859.764</v>
      </c>
      <c r="I719" s="12">
        <v>416.381201</v>
      </c>
      <c r="J719" s="13">
        <v>0.0710576741</v>
      </c>
      <c r="K719" s="13">
        <v>0.0710576741</v>
      </c>
      <c r="L719" s="12">
        <v>23.9369444444</v>
      </c>
      <c r="M719" s="13">
        <v>0.1229887336</v>
      </c>
      <c r="N719" s="13">
        <v>0.0373465509</v>
      </c>
      <c r="O719" s="13">
        <v>0.28036624</v>
      </c>
      <c r="P719" s="13">
        <v>0.1985888851</v>
      </c>
      <c r="Q719" s="13">
        <v>0.0241086024</v>
      </c>
      <c r="R719" s="13">
        <v>0.1682335949</v>
      </c>
      <c r="S719" s="13">
        <v>0</v>
      </c>
      <c r="T719" s="13">
        <v>0.1001589825</v>
      </c>
      <c r="U719" s="13">
        <v>0.012683216</v>
      </c>
      <c r="V719" s="13">
        <v>0.0022744943</v>
      </c>
      <c r="W719" s="13">
        <v>-0.0242932249</v>
      </c>
      <c r="X719" s="13">
        <v>0</v>
      </c>
      <c r="Y719" s="13">
        <v>0</v>
      </c>
      <c r="Z719" s="13">
        <v>0.0064862506</v>
      </c>
    </row>
    <row r="720" s="2" customFormat="1" hidden="1" spans="1:26">
      <c r="A720" s="11" t="s">
        <v>935</v>
      </c>
      <c r="B720" s="11" t="s">
        <v>937</v>
      </c>
      <c r="C720" s="14" t="s">
        <v>342</v>
      </c>
      <c r="D720" s="14" t="s">
        <v>938</v>
      </c>
      <c r="E720" s="14" t="s">
        <v>939</v>
      </c>
      <c r="F720" s="3" t="s">
        <v>943</v>
      </c>
      <c r="G720" s="4">
        <v>21</v>
      </c>
      <c r="H720" s="12">
        <v>3942.64</v>
      </c>
      <c r="I720" s="12">
        <v>869.389268</v>
      </c>
      <c r="J720" s="13">
        <v>0.2205094221</v>
      </c>
      <c r="K720" s="13">
        <v>0.2205094221</v>
      </c>
      <c r="L720" s="12">
        <v>27.6095238095</v>
      </c>
      <c r="M720" s="13">
        <v>0.1163224889</v>
      </c>
      <c r="N720" s="13">
        <v>0.0353222903</v>
      </c>
      <c r="O720" s="13">
        <v>0.2604346326</v>
      </c>
      <c r="P720" s="13">
        <v>0.1</v>
      </c>
      <c r="Q720" s="13">
        <v>0.0149196183</v>
      </c>
      <c r="R720" s="13">
        <v>0.1618560847</v>
      </c>
      <c r="S720" s="13">
        <v>0</v>
      </c>
      <c r="T720" s="13">
        <v>0.1104518799</v>
      </c>
      <c r="U720" s="13">
        <v>0.0119957594</v>
      </c>
      <c r="V720" s="13">
        <v>-0.0467747499</v>
      </c>
      <c r="W720" s="13">
        <v>-0.0072211799</v>
      </c>
      <c r="X720" s="13">
        <v>0.0093083806</v>
      </c>
      <c r="Y720" s="13">
        <v>0</v>
      </c>
      <c r="Z720" s="13">
        <v>0.0128753725</v>
      </c>
    </row>
    <row r="721" s="2" customFormat="1" spans="1:26">
      <c r="A721" s="11" t="s">
        <v>935</v>
      </c>
      <c r="B721" s="11" t="s">
        <v>937</v>
      </c>
      <c r="C721" s="14" t="s">
        <v>342</v>
      </c>
      <c r="D721" s="14" t="s">
        <v>938</v>
      </c>
      <c r="E721" s="14" t="s">
        <v>939</v>
      </c>
      <c r="F721" s="3" t="s">
        <v>944</v>
      </c>
      <c r="G721" s="4">
        <v>3</v>
      </c>
      <c r="H721" s="12">
        <v>591.396</v>
      </c>
      <c r="I721" s="12">
        <v>-259.697345</v>
      </c>
      <c r="J721" s="13">
        <v>-0.4391259748</v>
      </c>
      <c r="K721" s="13">
        <v>-0.4391259748</v>
      </c>
      <c r="L721" s="12">
        <v>28.99</v>
      </c>
      <c r="M721" s="13">
        <v>0.1107833228</v>
      </c>
      <c r="N721" s="13">
        <v>0.0344276525</v>
      </c>
      <c r="O721" s="13">
        <v>0.2604346326</v>
      </c>
      <c r="P721" s="13">
        <v>0.3333333333</v>
      </c>
      <c r="Q721" s="13">
        <v>0.0324032036</v>
      </c>
      <c r="R721" s="13">
        <v>0.4521587176</v>
      </c>
      <c r="S721" s="13">
        <v>0</v>
      </c>
      <c r="T721" s="13">
        <v>0.0880763481</v>
      </c>
      <c r="U721" s="13">
        <v>0.0114245328</v>
      </c>
      <c r="V721" s="13">
        <v>-0.155915833</v>
      </c>
      <c r="W721" s="13">
        <v>-0.0968073169</v>
      </c>
      <c r="X721" s="13">
        <v>0.0684489022</v>
      </c>
      <c r="Y721" s="13">
        <v>0</v>
      </c>
      <c r="Z721" s="13">
        <v>0.3003584789</v>
      </c>
    </row>
    <row r="722" s="2" customFormat="1" hidden="1" spans="1:26">
      <c r="A722" s="11" t="s">
        <v>935</v>
      </c>
      <c r="B722" s="11" t="s">
        <v>937</v>
      </c>
      <c r="C722" s="14" t="s">
        <v>342</v>
      </c>
      <c r="D722" s="14" t="s">
        <v>938</v>
      </c>
      <c r="E722" s="14" t="s">
        <v>939</v>
      </c>
      <c r="F722" s="3" t="s">
        <v>945</v>
      </c>
      <c r="G722" s="4">
        <v>0</v>
      </c>
      <c r="H722" s="12">
        <v>0</v>
      </c>
      <c r="I722" s="12">
        <v>-51.877146</v>
      </c>
      <c r="J722" s="13"/>
      <c r="K722" s="13"/>
      <c r="L722" s="12"/>
      <c r="M722" s="13"/>
      <c r="N722" s="13"/>
      <c r="O722" s="13"/>
      <c r="P722" s="13"/>
      <c r="Q722" s="13"/>
      <c r="R722" s="13"/>
      <c r="S722" s="13"/>
      <c r="T722" s="13"/>
      <c r="U722" s="13"/>
      <c r="V722" s="13"/>
      <c r="W722" s="13"/>
      <c r="X722" s="13"/>
      <c r="Y722" s="13"/>
      <c r="Z722" s="13"/>
    </row>
    <row r="723" s="2" customFormat="1" hidden="1" spans="1:26">
      <c r="A723" s="11" t="s">
        <v>935</v>
      </c>
      <c r="B723" s="11" t="s">
        <v>937</v>
      </c>
      <c r="C723" s="14" t="s">
        <v>346</v>
      </c>
      <c r="D723" s="14" t="s">
        <v>938</v>
      </c>
      <c r="E723" s="14" t="s">
        <v>939</v>
      </c>
      <c r="F723" s="3" t="s">
        <v>936</v>
      </c>
      <c r="G723" s="4">
        <v>263</v>
      </c>
      <c r="H723" s="12">
        <v>41612.464</v>
      </c>
      <c r="I723" s="12">
        <v>2610.799682</v>
      </c>
      <c r="J723" s="13">
        <v>0.0627408096</v>
      </c>
      <c r="K723" s="13">
        <v>0.0627408096</v>
      </c>
      <c r="L723" s="12">
        <v>23.2679847908</v>
      </c>
      <c r="M723" s="13">
        <v>0.1312823954</v>
      </c>
      <c r="N723" s="13">
        <v>0.0262159776</v>
      </c>
      <c r="O723" s="13">
        <v>0.3080049285</v>
      </c>
      <c r="P723" s="13">
        <v>0.1277771967</v>
      </c>
      <c r="Q723" s="13">
        <v>0.014642641</v>
      </c>
      <c r="R723" s="13">
        <v>0.2301501549</v>
      </c>
      <c r="S723" s="13">
        <v>0</v>
      </c>
      <c r="T723" s="13">
        <v>0.1007291469</v>
      </c>
      <c r="U723" s="13">
        <v>0.0135384996</v>
      </c>
      <c r="V723" s="13">
        <v>-0.0247210547</v>
      </c>
      <c r="W723" s="13">
        <v>-0.0030202624</v>
      </c>
      <c r="X723" s="13">
        <v>0.0055641983</v>
      </c>
      <c r="Y723" s="13">
        <v>0</v>
      </c>
      <c r="Z723" s="13">
        <v>0.0070953682</v>
      </c>
    </row>
    <row r="724" s="2" customFormat="1" hidden="1" spans="1:26">
      <c r="A724" s="11" t="s">
        <v>935</v>
      </c>
      <c r="B724" s="11" t="s">
        <v>937</v>
      </c>
      <c r="C724" s="14" t="s">
        <v>346</v>
      </c>
      <c r="D724" s="14" t="s">
        <v>938</v>
      </c>
      <c r="E724" s="14" t="s">
        <v>939</v>
      </c>
      <c r="F724" s="3" t="s">
        <v>940</v>
      </c>
      <c r="G724" s="4">
        <v>1</v>
      </c>
      <c r="H724" s="12">
        <v>176.732</v>
      </c>
      <c r="I724" s="12">
        <v>67.74937</v>
      </c>
      <c r="J724" s="13">
        <v>0.3833452345</v>
      </c>
      <c r="K724" s="13">
        <v>0.3833452345</v>
      </c>
      <c r="L724" s="12">
        <v>25.99</v>
      </c>
      <c r="M724" s="13">
        <v>0.1184334076</v>
      </c>
      <c r="N724" s="13">
        <v>0.0313652083</v>
      </c>
      <c r="O724" s="13">
        <v>0.2408618699</v>
      </c>
      <c r="P724" s="13">
        <v>0</v>
      </c>
      <c r="Q724" s="13">
        <v>0.0008191951</v>
      </c>
      <c r="R724" s="13">
        <v>0.10450172</v>
      </c>
      <c r="S724" s="13">
        <v>0</v>
      </c>
      <c r="T724" s="13">
        <v>0.1081185071</v>
      </c>
      <c r="U724" s="13">
        <v>0.0122134474</v>
      </c>
      <c r="V724" s="13">
        <v>0</v>
      </c>
      <c r="W724" s="13">
        <v>0</v>
      </c>
      <c r="X724" s="13">
        <v>0</v>
      </c>
      <c r="Y724" s="13">
        <v>0</v>
      </c>
      <c r="Z724" s="13">
        <v>0.0003414095</v>
      </c>
    </row>
    <row r="725" s="2" customFormat="1" hidden="1" spans="1:26">
      <c r="A725" s="11" t="s">
        <v>935</v>
      </c>
      <c r="B725" s="11" t="s">
        <v>937</v>
      </c>
      <c r="C725" s="14" t="s">
        <v>346</v>
      </c>
      <c r="D725" s="14" t="s">
        <v>938</v>
      </c>
      <c r="E725" s="14" t="s">
        <v>939</v>
      </c>
      <c r="F725" s="3" t="s">
        <v>941</v>
      </c>
      <c r="G725" s="4">
        <v>39</v>
      </c>
      <c r="H725" s="12">
        <v>6096.948</v>
      </c>
      <c r="I725" s="12">
        <v>-40.143163</v>
      </c>
      <c r="J725" s="13">
        <v>-0.0065841406</v>
      </c>
      <c r="K725" s="13">
        <v>-0.0065841406</v>
      </c>
      <c r="L725" s="12">
        <v>22.99</v>
      </c>
      <c r="M725" s="13">
        <v>0.1338879627</v>
      </c>
      <c r="N725" s="13">
        <v>0.0354581019</v>
      </c>
      <c r="O725" s="13">
        <v>0.3090641416</v>
      </c>
      <c r="P725" s="13">
        <v>0.1025641025</v>
      </c>
      <c r="Q725" s="13">
        <v>0.0061699146</v>
      </c>
      <c r="R725" s="13">
        <v>0.316951314</v>
      </c>
      <c r="S725" s="13">
        <v>0</v>
      </c>
      <c r="T725" s="13">
        <v>0.0876858388</v>
      </c>
      <c r="U725" s="13">
        <v>0.0138071987</v>
      </c>
      <c r="V725" s="13">
        <v>0</v>
      </c>
      <c r="W725" s="13">
        <v>-0.0043422067</v>
      </c>
      <c r="X725" s="13">
        <v>0</v>
      </c>
      <c r="Y725" s="13">
        <v>0</v>
      </c>
      <c r="Z725" s="13">
        <v>0.0053377719</v>
      </c>
    </row>
    <row r="726" s="2" customFormat="1" hidden="1" spans="1:26">
      <c r="A726" s="11" t="s">
        <v>935</v>
      </c>
      <c r="B726" s="11" t="s">
        <v>937</v>
      </c>
      <c r="C726" s="14" t="s">
        <v>346</v>
      </c>
      <c r="D726" s="14" t="s">
        <v>938</v>
      </c>
      <c r="E726" s="14" t="s">
        <v>939</v>
      </c>
      <c r="F726" s="3" t="s">
        <v>942</v>
      </c>
      <c r="G726" s="4">
        <v>82</v>
      </c>
      <c r="H726" s="12">
        <v>12105.768</v>
      </c>
      <c r="I726" s="12">
        <v>995.879522</v>
      </c>
      <c r="J726" s="13">
        <v>0.0822648775</v>
      </c>
      <c r="K726" s="13">
        <v>0.0822648775</v>
      </c>
      <c r="L726" s="12">
        <v>21.7104878048</v>
      </c>
      <c r="M726" s="13">
        <v>0.1383206616</v>
      </c>
      <c r="N726" s="13">
        <v>0.0207871949</v>
      </c>
      <c r="O726" s="13">
        <v>0.32749149</v>
      </c>
      <c r="P726" s="13">
        <v>0.0621145225</v>
      </c>
      <c r="Q726" s="13">
        <v>0.0212126144</v>
      </c>
      <c r="R726" s="13">
        <v>0.3093475434</v>
      </c>
      <c r="S726" s="13">
        <v>0</v>
      </c>
      <c r="T726" s="13">
        <v>0.1025861391</v>
      </c>
      <c r="U726" s="13">
        <v>0.0142643209</v>
      </c>
      <c r="V726" s="13">
        <v>-0.0828867693</v>
      </c>
      <c r="W726" s="13">
        <v>-0.0019888482</v>
      </c>
      <c r="X726" s="13">
        <v>0</v>
      </c>
      <c r="Y726" s="13">
        <v>0</v>
      </c>
      <c r="Z726" s="13">
        <v>0.0064862527</v>
      </c>
    </row>
    <row r="727" s="2" customFormat="1" hidden="1" spans="1:26">
      <c r="A727" s="11" t="s">
        <v>935</v>
      </c>
      <c r="B727" s="11" t="s">
        <v>937</v>
      </c>
      <c r="C727" s="14" t="s">
        <v>346</v>
      </c>
      <c r="D727" s="14" t="s">
        <v>938</v>
      </c>
      <c r="E727" s="14" t="s">
        <v>939</v>
      </c>
      <c r="F727" s="3" t="s">
        <v>943</v>
      </c>
      <c r="G727" s="4">
        <v>81</v>
      </c>
      <c r="H727" s="12">
        <v>13207.028</v>
      </c>
      <c r="I727" s="12">
        <v>1783.825293</v>
      </c>
      <c r="J727" s="13">
        <v>0.1350663671</v>
      </c>
      <c r="K727" s="13">
        <v>0.1350663671</v>
      </c>
      <c r="L727" s="12">
        <v>23.9779012345</v>
      </c>
      <c r="M727" s="13">
        <v>0.1283717134</v>
      </c>
      <c r="N727" s="13">
        <v>0.0192920407</v>
      </c>
      <c r="O727" s="13">
        <v>0.3001838112</v>
      </c>
      <c r="P727" s="13">
        <v>0.1214595744</v>
      </c>
      <c r="Q727" s="13">
        <v>0.0121441021</v>
      </c>
      <c r="R727" s="13">
        <v>0.1481926978</v>
      </c>
      <c r="S727" s="13">
        <v>0</v>
      </c>
      <c r="T727" s="13">
        <v>0.1072644049</v>
      </c>
      <c r="U727" s="13">
        <v>0.0132383353</v>
      </c>
      <c r="V727" s="13">
        <v>0</v>
      </c>
      <c r="W727" s="13">
        <v>-0.0036460186</v>
      </c>
      <c r="X727" s="13">
        <v>0.0055575854</v>
      </c>
      <c r="Y727" s="13">
        <v>0</v>
      </c>
      <c r="Z727" s="13">
        <v>0.0128753857</v>
      </c>
    </row>
    <row r="728" s="2" customFormat="1" spans="1:26">
      <c r="A728" s="11" t="s">
        <v>935</v>
      </c>
      <c r="B728" s="11" t="s">
        <v>937</v>
      </c>
      <c r="C728" s="14" t="s">
        <v>346</v>
      </c>
      <c r="D728" s="14" t="s">
        <v>938</v>
      </c>
      <c r="E728" s="14" t="s">
        <v>939</v>
      </c>
      <c r="F728" s="3" t="s">
        <v>944</v>
      </c>
      <c r="G728" s="4">
        <v>60</v>
      </c>
      <c r="H728" s="12">
        <v>10025.988</v>
      </c>
      <c r="I728" s="12">
        <v>-49.136471</v>
      </c>
      <c r="J728" s="13">
        <v>-0.0049009106</v>
      </c>
      <c r="K728" s="13">
        <v>-0.0049009106</v>
      </c>
      <c r="L728" s="12">
        <v>24.5735</v>
      </c>
      <c r="M728" s="13">
        <v>0.1252603117</v>
      </c>
      <c r="N728" s="13">
        <v>0.0361806239</v>
      </c>
      <c r="O728" s="13">
        <v>0.2953181272</v>
      </c>
      <c r="P728" s="13">
        <v>0.2329677633</v>
      </c>
      <c r="Q728" s="13">
        <v>0.015397132</v>
      </c>
      <c r="R728" s="13">
        <v>0.17799878</v>
      </c>
      <c r="S728" s="13">
        <v>0</v>
      </c>
      <c r="T728" s="13">
        <v>0.0976797498</v>
      </c>
      <c r="U728" s="13">
        <v>0.0129174722</v>
      </c>
      <c r="V728" s="13">
        <v>-0.0025230431</v>
      </c>
      <c r="W728" s="13">
        <v>-0.0026906822</v>
      </c>
      <c r="X728" s="13">
        <v>0.0149898613</v>
      </c>
      <c r="Y728" s="13">
        <v>0</v>
      </c>
      <c r="Z728" s="13">
        <v>0.001404814</v>
      </c>
    </row>
    <row r="729" s="2" customFormat="1" hidden="1" spans="1:26">
      <c r="A729" s="11" t="s">
        <v>935</v>
      </c>
      <c r="B729" s="11" t="s">
        <v>937</v>
      </c>
      <c r="C729" s="14" t="s">
        <v>346</v>
      </c>
      <c r="D729" s="14" t="s">
        <v>938</v>
      </c>
      <c r="E729" s="14" t="s">
        <v>939</v>
      </c>
      <c r="F729" s="3" t="s">
        <v>945</v>
      </c>
      <c r="G729" s="4">
        <v>0</v>
      </c>
      <c r="H729" s="12">
        <v>0</v>
      </c>
      <c r="I729" s="12">
        <v>-147.374869</v>
      </c>
      <c r="J729" s="13"/>
      <c r="K729" s="13"/>
      <c r="L729" s="12"/>
      <c r="M729" s="13"/>
      <c r="N729" s="13"/>
      <c r="O729" s="13"/>
      <c r="P729" s="13"/>
      <c r="Q729" s="13"/>
      <c r="R729" s="13"/>
      <c r="S729" s="13"/>
      <c r="T729" s="13"/>
      <c r="U729" s="13"/>
      <c r="V729" s="13"/>
      <c r="W729" s="13"/>
      <c r="X729" s="13"/>
      <c r="Y729" s="13"/>
      <c r="Z729" s="13"/>
    </row>
    <row r="730" s="2" customFormat="1" hidden="1" spans="1:26">
      <c r="A730" s="11" t="s">
        <v>935</v>
      </c>
      <c r="B730" s="11" t="s">
        <v>937</v>
      </c>
      <c r="C730" s="14" t="s">
        <v>350</v>
      </c>
      <c r="D730" s="14" t="s">
        <v>938</v>
      </c>
      <c r="E730" s="14" t="s">
        <v>939</v>
      </c>
      <c r="F730" s="3" t="s">
        <v>936</v>
      </c>
      <c r="G730" s="4">
        <v>143</v>
      </c>
      <c r="H730" s="12">
        <v>24361.476</v>
      </c>
      <c r="I730" s="12">
        <v>7738.875627</v>
      </c>
      <c r="J730" s="13">
        <v>0.3176685857</v>
      </c>
      <c r="K730" s="13">
        <v>0.3176685857</v>
      </c>
      <c r="L730" s="12">
        <v>25.0529370629</v>
      </c>
      <c r="M730" s="13">
        <v>0.0982718698</v>
      </c>
      <c r="N730" s="13">
        <v>0.0347472234</v>
      </c>
      <c r="O730" s="13">
        <v>0.2586523082</v>
      </c>
      <c r="P730" s="13">
        <v>0.0156256542</v>
      </c>
      <c r="Q730" s="13">
        <v>0.0089494405</v>
      </c>
      <c r="R730" s="13">
        <v>0.1383817176</v>
      </c>
      <c r="S730" s="13">
        <v>0</v>
      </c>
      <c r="T730" s="13">
        <v>0.1122825234</v>
      </c>
      <c r="U730" s="13">
        <v>0.0101342878</v>
      </c>
      <c r="V730" s="13">
        <v>-0.0021152412</v>
      </c>
      <c r="W730" s="13">
        <v>-0.0010151842</v>
      </c>
      <c r="X730" s="13">
        <v>0</v>
      </c>
      <c r="Y730" s="13">
        <v>0</v>
      </c>
      <c r="Z730" s="13">
        <v>0.0084168144</v>
      </c>
    </row>
    <row r="731" s="2" customFormat="1" hidden="1" spans="1:26">
      <c r="A731" s="11" t="s">
        <v>935</v>
      </c>
      <c r="B731" s="11" t="s">
        <v>937</v>
      </c>
      <c r="C731" s="14" t="s">
        <v>350</v>
      </c>
      <c r="D731" s="14" t="s">
        <v>938</v>
      </c>
      <c r="E731" s="14" t="s">
        <v>939</v>
      </c>
      <c r="F731" s="3" t="s">
        <v>941</v>
      </c>
      <c r="G731" s="4">
        <v>3</v>
      </c>
      <c r="H731" s="12">
        <v>407.796</v>
      </c>
      <c r="I731" s="12">
        <v>-72.839267</v>
      </c>
      <c r="J731" s="13">
        <v>-0.1786169236</v>
      </c>
      <c r="K731" s="13">
        <v>-0.1786169236</v>
      </c>
      <c r="L731" s="12">
        <v>19.99</v>
      </c>
      <c r="M731" s="13">
        <v>0.1231615292</v>
      </c>
      <c r="N731" s="13">
        <v>0.0322394285</v>
      </c>
      <c r="O731" s="13">
        <v>0.324162081</v>
      </c>
      <c r="P731" s="13">
        <v>0</v>
      </c>
      <c r="Q731" s="13">
        <v>0.0017910916</v>
      </c>
      <c r="R731" s="13">
        <v>0.5941814264</v>
      </c>
      <c r="S731" s="13">
        <v>0</v>
      </c>
      <c r="T731" s="13">
        <v>0.0850425212</v>
      </c>
      <c r="U731" s="13">
        <v>0.0127010343</v>
      </c>
      <c r="V731" s="13">
        <v>0</v>
      </c>
      <c r="W731" s="13">
        <v>0</v>
      </c>
      <c r="X731" s="13">
        <v>0</v>
      </c>
      <c r="Y731" s="13">
        <v>0</v>
      </c>
      <c r="Z731" s="13">
        <v>0.005337811</v>
      </c>
    </row>
    <row r="732" s="2" customFormat="1" hidden="1" spans="1:26">
      <c r="A732" s="11" t="s">
        <v>935</v>
      </c>
      <c r="B732" s="11" t="s">
        <v>937</v>
      </c>
      <c r="C732" s="14" t="s">
        <v>350</v>
      </c>
      <c r="D732" s="14" t="s">
        <v>938</v>
      </c>
      <c r="E732" s="14" t="s">
        <v>939</v>
      </c>
      <c r="F732" s="3" t="s">
        <v>942</v>
      </c>
      <c r="G732" s="4">
        <v>46</v>
      </c>
      <c r="H732" s="12">
        <v>7300.072</v>
      </c>
      <c r="I732" s="12">
        <v>1335.063819</v>
      </c>
      <c r="J732" s="13">
        <v>0.1828836508</v>
      </c>
      <c r="K732" s="13">
        <v>0.1828836508</v>
      </c>
      <c r="L732" s="12">
        <v>23.3378260869</v>
      </c>
      <c r="M732" s="13">
        <v>0.1054939291</v>
      </c>
      <c r="N732" s="13">
        <v>0.0276146618</v>
      </c>
      <c r="O732" s="13">
        <v>0.277660823</v>
      </c>
      <c r="P732" s="13">
        <v>0</v>
      </c>
      <c r="Q732" s="13">
        <v>0.0092638424</v>
      </c>
      <c r="R732" s="13">
        <v>0.2786130305</v>
      </c>
      <c r="S732" s="13">
        <v>0</v>
      </c>
      <c r="T732" s="13">
        <v>0.1011047562</v>
      </c>
      <c r="U732" s="13">
        <v>0.0108790628</v>
      </c>
      <c r="V732" s="13">
        <v>0</v>
      </c>
      <c r="W732" s="13">
        <v>0</v>
      </c>
      <c r="X732" s="13">
        <v>0</v>
      </c>
      <c r="Y732" s="13">
        <v>0</v>
      </c>
      <c r="Z732" s="13">
        <v>0.006486243</v>
      </c>
    </row>
    <row r="733" s="2" customFormat="1" hidden="1" spans="1:26">
      <c r="A733" s="11" t="s">
        <v>935</v>
      </c>
      <c r="B733" s="11" t="s">
        <v>937</v>
      </c>
      <c r="C733" s="14" t="s">
        <v>350</v>
      </c>
      <c r="D733" s="14" t="s">
        <v>938</v>
      </c>
      <c r="E733" s="14" t="s">
        <v>939</v>
      </c>
      <c r="F733" s="3" t="s">
        <v>943</v>
      </c>
      <c r="G733" s="4">
        <v>67</v>
      </c>
      <c r="H733" s="12">
        <v>11541.844</v>
      </c>
      <c r="I733" s="12">
        <v>4549.064045</v>
      </c>
      <c r="J733" s="13">
        <v>0.3941366773</v>
      </c>
      <c r="K733" s="13">
        <v>0.3941366773</v>
      </c>
      <c r="L733" s="12">
        <v>25.333283582</v>
      </c>
      <c r="M733" s="13">
        <v>0.0971843607</v>
      </c>
      <c r="N733" s="13">
        <v>0.0360456338</v>
      </c>
      <c r="O733" s="13">
        <v>0.255789976</v>
      </c>
      <c r="P733" s="13">
        <v>0</v>
      </c>
      <c r="Q733" s="13">
        <v>0.0074215885</v>
      </c>
      <c r="R733" s="13">
        <v>0.0664768826</v>
      </c>
      <c r="S733" s="13">
        <v>0</v>
      </c>
      <c r="T733" s="13">
        <v>0.1200473685</v>
      </c>
      <c r="U733" s="13">
        <v>0.0100221384</v>
      </c>
      <c r="V733" s="13">
        <v>0</v>
      </c>
      <c r="W733" s="13">
        <v>0</v>
      </c>
      <c r="X733" s="13">
        <v>0</v>
      </c>
      <c r="Y733" s="13">
        <v>0</v>
      </c>
      <c r="Z733" s="13">
        <v>0.0128753738</v>
      </c>
    </row>
    <row r="734" s="2" customFormat="1" spans="1:26">
      <c r="A734" s="11" t="s">
        <v>935</v>
      </c>
      <c r="B734" s="11" t="s">
        <v>937</v>
      </c>
      <c r="C734" s="14" t="s">
        <v>350</v>
      </c>
      <c r="D734" s="14" t="s">
        <v>938</v>
      </c>
      <c r="E734" s="14" t="s">
        <v>939</v>
      </c>
      <c r="F734" s="3" t="s">
        <v>944</v>
      </c>
      <c r="G734" s="4">
        <v>26</v>
      </c>
      <c r="H734" s="12">
        <v>4921.432</v>
      </c>
      <c r="I734" s="12">
        <v>1844.003738</v>
      </c>
      <c r="J734" s="13">
        <v>0.374688452</v>
      </c>
      <c r="K734" s="13">
        <v>0.374688452</v>
      </c>
      <c r="L734" s="12">
        <v>27.8361538461</v>
      </c>
      <c r="M734" s="13">
        <v>0.08844609</v>
      </c>
      <c r="N734" s="13">
        <v>0.042210203</v>
      </c>
      <c r="O734" s="13">
        <v>0.2327907812</v>
      </c>
      <c r="P734" s="13">
        <v>0.0773482189</v>
      </c>
      <c r="Q734" s="13">
        <v>0.0130054925</v>
      </c>
      <c r="R734" s="13">
        <v>0.0638712978</v>
      </c>
      <c r="S734" s="13">
        <v>0</v>
      </c>
      <c r="T734" s="13">
        <v>0.1126095006</v>
      </c>
      <c r="U734" s="13">
        <v>0.0091210042</v>
      </c>
      <c r="V734" s="13">
        <v>-0.0104706109</v>
      </c>
      <c r="W734" s="13">
        <v>-0.005025242</v>
      </c>
      <c r="X734" s="13">
        <v>0</v>
      </c>
      <c r="Y734" s="13">
        <v>0</v>
      </c>
      <c r="Z734" s="13">
        <v>0.0014048124</v>
      </c>
    </row>
    <row r="735" s="2" customFormat="1" hidden="1" spans="1:26">
      <c r="A735" s="11" t="s">
        <v>935</v>
      </c>
      <c r="B735" s="11" t="s">
        <v>937</v>
      </c>
      <c r="C735" s="14" t="s">
        <v>350</v>
      </c>
      <c r="D735" s="14" t="s">
        <v>938</v>
      </c>
      <c r="E735" s="14" t="s">
        <v>939</v>
      </c>
      <c r="F735" s="3" t="s">
        <v>945</v>
      </c>
      <c r="G735" s="4">
        <v>1</v>
      </c>
      <c r="H735" s="12">
        <v>190.332</v>
      </c>
      <c r="I735" s="12">
        <v>83.583292</v>
      </c>
      <c r="J735" s="13">
        <v>0.4391447155</v>
      </c>
      <c r="K735" s="13">
        <v>0.4391447155</v>
      </c>
      <c r="L735" s="12">
        <v>27.99</v>
      </c>
      <c r="M735" s="13">
        <v>0.0879599489</v>
      </c>
      <c r="N735" s="13">
        <v>0.0419781959</v>
      </c>
      <c r="O735" s="13">
        <v>0.231511254</v>
      </c>
      <c r="P735" s="13">
        <v>0</v>
      </c>
      <c r="Q735" s="13">
        <v>0</v>
      </c>
      <c r="R735" s="13">
        <v>0.0702921421</v>
      </c>
      <c r="S735" s="13">
        <v>0</v>
      </c>
      <c r="T735" s="13">
        <v>0.1200428724</v>
      </c>
      <c r="U735" s="13">
        <v>0.0090708708</v>
      </c>
      <c r="V735" s="13">
        <v>0</v>
      </c>
      <c r="W735" s="13">
        <v>0</v>
      </c>
      <c r="X735" s="13">
        <v>0</v>
      </c>
      <c r="Y735" s="13">
        <v>0</v>
      </c>
      <c r="Z735" s="13">
        <v>0</v>
      </c>
    </row>
    <row r="736" s="2" customFormat="1" hidden="1" spans="1:26">
      <c r="A736" s="11" t="s">
        <v>935</v>
      </c>
      <c r="B736" s="11" t="s">
        <v>937</v>
      </c>
      <c r="C736" s="14" t="s">
        <v>354</v>
      </c>
      <c r="D736" s="14" t="s">
        <v>938</v>
      </c>
      <c r="E736" s="14" t="s">
        <v>939</v>
      </c>
      <c r="F736" s="3" t="s">
        <v>936</v>
      </c>
      <c r="G736" s="4">
        <v>103</v>
      </c>
      <c r="H736" s="12">
        <v>16061.396</v>
      </c>
      <c r="I736" s="12">
        <v>1929.228572</v>
      </c>
      <c r="J736" s="13">
        <v>0.1201158711</v>
      </c>
      <c r="K736" s="13">
        <v>0.1201158711</v>
      </c>
      <c r="L736" s="12">
        <v>22.9317475728</v>
      </c>
      <c r="M736" s="13">
        <v>0.1344834527</v>
      </c>
      <c r="N736" s="13">
        <v>0.0643531413</v>
      </c>
      <c r="O736" s="13">
        <v>0.3169388264</v>
      </c>
      <c r="P736" s="13">
        <v>0.0490903779</v>
      </c>
      <c r="Q736" s="13">
        <v>0.0157976534</v>
      </c>
      <c r="R736" s="13">
        <v>0.1699478588</v>
      </c>
      <c r="S736" s="13">
        <v>0</v>
      </c>
      <c r="T736" s="13">
        <v>0.1093197627</v>
      </c>
      <c r="U736" s="13">
        <v>0.0138686041</v>
      </c>
      <c r="V736" s="13">
        <v>0</v>
      </c>
      <c r="W736" s="13">
        <v>0</v>
      </c>
      <c r="X736" s="13">
        <v>0.0009610621</v>
      </c>
      <c r="Y736" s="13">
        <v>0</v>
      </c>
      <c r="Z736" s="13">
        <v>0.005123389</v>
      </c>
    </row>
    <row r="737" s="2" customFormat="1" hidden="1" spans="1:26">
      <c r="A737" s="11" t="s">
        <v>935</v>
      </c>
      <c r="B737" s="11" t="s">
        <v>937</v>
      </c>
      <c r="C737" s="14" t="s">
        <v>354</v>
      </c>
      <c r="D737" s="14" t="s">
        <v>938</v>
      </c>
      <c r="E737" s="14" t="s">
        <v>939</v>
      </c>
      <c r="F737" s="3" t="s">
        <v>942</v>
      </c>
      <c r="G737" s="4">
        <v>4</v>
      </c>
      <c r="H737" s="12">
        <v>734.128</v>
      </c>
      <c r="I737" s="12">
        <v>256.362297</v>
      </c>
      <c r="J737" s="13">
        <v>0.3492065375</v>
      </c>
      <c r="K737" s="13">
        <v>0.3492065375</v>
      </c>
      <c r="L737" s="12">
        <v>26.99</v>
      </c>
      <c r="M737" s="13">
        <v>0.1142623411</v>
      </c>
      <c r="N737" s="13">
        <v>0.0291964126</v>
      </c>
      <c r="O737" s="13">
        <v>0.2400889218</v>
      </c>
      <c r="P737" s="13">
        <v>0</v>
      </c>
      <c r="Q737" s="13">
        <v>0.0003234449</v>
      </c>
      <c r="R737" s="13">
        <v>0.1286083312</v>
      </c>
      <c r="S737" s="13">
        <v>0</v>
      </c>
      <c r="T737" s="13">
        <v>0.1200444609</v>
      </c>
      <c r="U737" s="13">
        <v>0.011783302</v>
      </c>
      <c r="V737" s="13">
        <v>0</v>
      </c>
      <c r="W737" s="13">
        <v>0</v>
      </c>
      <c r="X737" s="13">
        <v>0</v>
      </c>
      <c r="Y737" s="13">
        <v>0</v>
      </c>
      <c r="Z737" s="13">
        <v>0.0064862476</v>
      </c>
    </row>
    <row r="738" s="2" customFormat="1" hidden="1" spans="1:26">
      <c r="A738" s="11" t="s">
        <v>935</v>
      </c>
      <c r="B738" s="11" t="s">
        <v>937</v>
      </c>
      <c r="C738" s="14" t="s">
        <v>354</v>
      </c>
      <c r="D738" s="14" t="s">
        <v>938</v>
      </c>
      <c r="E738" s="14" t="s">
        <v>939</v>
      </c>
      <c r="F738" s="3" t="s">
        <v>943</v>
      </c>
      <c r="G738" s="4">
        <v>30</v>
      </c>
      <c r="H738" s="12">
        <v>4941.56</v>
      </c>
      <c r="I738" s="12">
        <v>686.632981</v>
      </c>
      <c r="J738" s="13">
        <v>0.1389506514</v>
      </c>
      <c r="K738" s="13">
        <v>0.1389506514</v>
      </c>
      <c r="L738" s="12">
        <v>24.2233333333</v>
      </c>
      <c r="M738" s="13">
        <v>0.1273128081</v>
      </c>
      <c r="N738" s="13">
        <v>0.0620689393</v>
      </c>
      <c r="O738" s="13">
        <v>0.3013623228</v>
      </c>
      <c r="P738" s="13">
        <v>0</v>
      </c>
      <c r="Q738" s="13">
        <v>0.0151347865</v>
      </c>
      <c r="R738" s="13">
        <v>0.2155014464</v>
      </c>
      <c r="S738" s="13">
        <v>0</v>
      </c>
      <c r="T738" s="13">
        <v>0.1136645108</v>
      </c>
      <c r="U738" s="13">
        <v>0.0131291316</v>
      </c>
      <c r="V738" s="13">
        <v>0</v>
      </c>
      <c r="W738" s="13">
        <v>0</v>
      </c>
      <c r="X738" s="13">
        <v>0</v>
      </c>
      <c r="Y738" s="13">
        <v>0</v>
      </c>
      <c r="Z738" s="13">
        <v>0.0128754027</v>
      </c>
    </row>
    <row r="739" s="2" customFormat="1" spans="1:26">
      <c r="A739" s="11" t="s">
        <v>935</v>
      </c>
      <c r="B739" s="11" t="s">
        <v>937</v>
      </c>
      <c r="C739" s="14" t="s">
        <v>354</v>
      </c>
      <c r="D739" s="14" t="s">
        <v>938</v>
      </c>
      <c r="E739" s="14" t="s">
        <v>939</v>
      </c>
      <c r="F739" s="3" t="s">
        <v>944</v>
      </c>
      <c r="G739" s="4">
        <v>66</v>
      </c>
      <c r="H739" s="12">
        <v>9896.312</v>
      </c>
      <c r="I739" s="12">
        <v>927.118734</v>
      </c>
      <c r="J739" s="13">
        <v>0.0936832563</v>
      </c>
      <c r="K739" s="13">
        <v>0.0936832563</v>
      </c>
      <c r="L739" s="12">
        <v>22.0506060606</v>
      </c>
      <c r="M739" s="13">
        <v>0.1398574072</v>
      </c>
      <c r="N739" s="13">
        <v>0.0681848203</v>
      </c>
      <c r="O739" s="13">
        <v>0.3310429178</v>
      </c>
      <c r="P739" s="13">
        <v>0.0796721041</v>
      </c>
      <c r="Q739" s="13">
        <v>0.0180577837</v>
      </c>
      <c r="R739" s="13">
        <v>0.1464225112</v>
      </c>
      <c r="S739" s="13">
        <v>0</v>
      </c>
      <c r="T739" s="13">
        <v>0.1058240686</v>
      </c>
      <c r="U739" s="13">
        <v>0.014422793</v>
      </c>
      <c r="V739" s="13">
        <v>0</v>
      </c>
      <c r="W739" s="13">
        <v>0</v>
      </c>
      <c r="X739" s="13">
        <v>0.0014275242</v>
      </c>
      <c r="Y739" s="13">
        <v>0</v>
      </c>
      <c r="Z739" s="13">
        <v>0.0014048132</v>
      </c>
    </row>
    <row r="740" s="2" customFormat="1" hidden="1" spans="1:26">
      <c r="A740" s="11" t="s">
        <v>935</v>
      </c>
      <c r="B740" s="11" t="s">
        <v>937</v>
      </c>
      <c r="C740" s="14" t="s">
        <v>354</v>
      </c>
      <c r="D740" s="14" t="s">
        <v>938</v>
      </c>
      <c r="E740" s="14" t="s">
        <v>939</v>
      </c>
      <c r="F740" s="3" t="s">
        <v>945</v>
      </c>
      <c r="G740" s="4">
        <v>3</v>
      </c>
      <c r="H740" s="12">
        <v>489.396</v>
      </c>
      <c r="I740" s="12">
        <v>59.11456</v>
      </c>
      <c r="J740" s="13">
        <v>0.1207908523</v>
      </c>
      <c r="K740" s="13">
        <v>0.1207908523</v>
      </c>
      <c r="L740" s="12">
        <v>23.99</v>
      </c>
      <c r="M740" s="13">
        <v>0.1285510874</v>
      </c>
      <c r="N740" s="13">
        <v>0.0626726393</v>
      </c>
      <c r="O740" s="13">
        <v>0.3042934556</v>
      </c>
      <c r="P740" s="13">
        <v>0</v>
      </c>
      <c r="Q740" s="13">
        <v>0</v>
      </c>
      <c r="R740" s="13">
        <v>0.2477108517</v>
      </c>
      <c r="S740" s="13">
        <v>0</v>
      </c>
      <c r="T740" s="13">
        <v>0.1200500208</v>
      </c>
      <c r="U740" s="13">
        <v>0.0132568288</v>
      </c>
      <c r="V740" s="13">
        <v>0</v>
      </c>
      <c r="W740" s="13">
        <v>0</v>
      </c>
      <c r="X740" s="13">
        <v>0.0026742637</v>
      </c>
      <c r="Y740" s="13">
        <v>0</v>
      </c>
      <c r="Z740" s="13">
        <v>0</v>
      </c>
    </row>
    <row r="741" s="2" customFormat="1" hidden="1" spans="1:26">
      <c r="A741" s="11" t="s">
        <v>935</v>
      </c>
      <c r="B741" s="11" t="s">
        <v>937</v>
      </c>
      <c r="C741" s="14" t="s">
        <v>358</v>
      </c>
      <c r="D741" s="14" t="s">
        <v>938</v>
      </c>
      <c r="E741" s="14" t="s">
        <v>939</v>
      </c>
      <c r="F741" s="3" t="s">
        <v>936</v>
      </c>
      <c r="G741" s="4">
        <v>210</v>
      </c>
      <c r="H741" s="12">
        <v>30017.308</v>
      </c>
      <c r="I741" s="12">
        <v>5872.17027</v>
      </c>
      <c r="J741" s="13">
        <v>0.1956261457</v>
      </c>
      <c r="K741" s="13">
        <v>0.1956261457</v>
      </c>
      <c r="L741" s="12">
        <v>21.0205238095</v>
      </c>
      <c r="M741" s="13">
        <v>0.0969529136</v>
      </c>
      <c r="N741" s="13">
        <v>0.014836209</v>
      </c>
      <c r="O741" s="13">
        <v>0.2898935507</v>
      </c>
      <c r="P741" s="13">
        <v>0.00950998</v>
      </c>
      <c r="Q741" s="13">
        <v>0.0214768755</v>
      </c>
      <c r="R741" s="13">
        <v>0.2421846063</v>
      </c>
      <c r="S741" s="13">
        <v>0</v>
      </c>
      <c r="T741" s="13">
        <v>0.1132317395</v>
      </c>
      <c r="U741" s="13">
        <v>0.0099982677</v>
      </c>
      <c r="V741" s="13">
        <v>0</v>
      </c>
      <c r="W741" s="13">
        <v>-0.0005283353</v>
      </c>
      <c r="X741" s="13">
        <v>0</v>
      </c>
      <c r="Y741" s="13">
        <v>0</v>
      </c>
      <c r="Z741" s="13">
        <v>0.0068180468</v>
      </c>
    </row>
    <row r="742" s="2" customFormat="1" hidden="1" spans="1:26">
      <c r="A742" s="11" t="s">
        <v>935</v>
      </c>
      <c r="B742" s="11" t="s">
        <v>937</v>
      </c>
      <c r="C742" s="14" t="s">
        <v>358</v>
      </c>
      <c r="D742" s="14" t="s">
        <v>938</v>
      </c>
      <c r="E742" s="14" t="s">
        <v>939</v>
      </c>
      <c r="F742" s="3" t="s">
        <v>940</v>
      </c>
      <c r="G742" s="4">
        <v>0</v>
      </c>
      <c r="H742" s="12">
        <v>0</v>
      </c>
      <c r="I742" s="12">
        <v>-7.48</v>
      </c>
      <c r="J742" s="13"/>
      <c r="K742" s="13"/>
      <c r="L742" s="12"/>
      <c r="M742" s="13"/>
      <c r="N742" s="13"/>
      <c r="O742" s="13"/>
      <c r="P742" s="13"/>
      <c r="Q742" s="13"/>
      <c r="R742" s="13"/>
      <c r="S742" s="13"/>
      <c r="T742" s="13"/>
      <c r="U742" s="13"/>
      <c r="V742" s="13"/>
      <c r="W742" s="13"/>
      <c r="X742" s="13"/>
      <c r="Y742" s="13"/>
      <c r="Z742" s="13"/>
    </row>
    <row r="743" s="2" customFormat="1" hidden="1" spans="1:26">
      <c r="A743" s="11" t="s">
        <v>935</v>
      </c>
      <c r="B743" s="11" t="s">
        <v>937</v>
      </c>
      <c r="C743" s="14" t="s">
        <v>358</v>
      </c>
      <c r="D743" s="14" t="s">
        <v>938</v>
      </c>
      <c r="E743" s="14" t="s">
        <v>939</v>
      </c>
      <c r="F743" s="3" t="s">
        <v>941</v>
      </c>
      <c r="G743" s="4">
        <v>19</v>
      </c>
      <c r="H743" s="12">
        <v>3156.628</v>
      </c>
      <c r="I743" s="12">
        <v>905.948333</v>
      </c>
      <c r="J743" s="13">
        <v>0.2869987635</v>
      </c>
      <c r="K743" s="13">
        <v>0.2869987635</v>
      </c>
      <c r="L743" s="12">
        <v>24.4321052631</v>
      </c>
      <c r="M743" s="13">
        <v>0.0834148759</v>
      </c>
      <c r="N743" s="13">
        <v>0.0200184586</v>
      </c>
      <c r="O743" s="13">
        <v>0.2477327071</v>
      </c>
      <c r="P743" s="13">
        <v>0</v>
      </c>
      <c r="Q743" s="13">
        <v>0.0325926609</v>
      </c>
      <c r="R743" s="13">
        <v>0.1999022513</v>
      </c>
      <c r="S743" s="13">
        <v>0</v>
      </c>
      <c r="T743" s="13">
        <v>0.1154003575</v>
      </c>
      <c r="U743" s="13">
        <v>0.0086021577</v>
      </c>
      <c r="V743" s="13">
        <v>0</v>
      </c>
      <c r="W743" s="13">
        <v>0</v>
      </c>
      <c r="X743" s="13">
        <v>0</v>
      </c>
      <c r="Y743" s="13">
        <v>0</v>
      </c>
      <c r="Z743" s="13">
        <v>0.005337767</v>
      </c>
    </row>
    <row r="744" s="2" customFormat="1" hidden="1" spans="1:26">
      <c r="A744" s="11" t="s">
        <v>935</v>
      </c>
      <c r="B744" s="11" t="s">
        <v>937</v>
      </c>
      <c r="C744" s="14" t="s">
        <v>358</v>
      </c>
      <c r="D744" s="14" t="s">
        <v>938</v>
      </c>
      <c r="E744" s="14" t="s">
        <v>939</v>
      </c>
      <c r="F744" s="3" t="s">
        <v>942</v>
      </c>
      <c r="G744" s="4">
        <v>39</v>
      </c>
      <c r="H744" s="12">
        <v>5478.148</v>
      </c>
      <c r="I744" s="12">
        <v>477.283428</v>
      </c>
      <c r="J744" s="13">
        <v>0.0871249604</v>
      </c>
      <c r="K744" s="13">
        <v>0.0871249604</v>
      </c>
      <c r="L744" s="12">
        <v>20.6566666666</v>
      </c>
      <c r="M744" s="13">
        <v>0.098660692</v>
      </c>
      <c r="N744" s="13">
        <v>0.0142440627</v>
      </c>
      <c r="O744" s="13">
        <v>0.2967440821</v>
      </c>
      <c r="P744" s="13">
        <v>0</v>
      </c>
      <c r="Q744" s="13">
        <v>0.038374959</v>
      </c>
      <c r="R744" s="13">
        <v>0.3385345859</v>
      </c>
      <c r="S744" s="13">
        <v>0</v>
      </c>
      <c r="T744" s="13">
        <v>0.109656037</v>
      </c>
      <c r="U744" s="13">
        <v>0.0101743824</v>
      </c>
      <c r="V744" s="13">
        <v>0</v>
      </c>
      <c r="W744" s="13">
        <v>0</v>
      </c>
      <c r="X744" s="13">
        <v>0</v>
      </c>
      <c r="Y744" s="13">
        <v>0</v>
      </c>
      <c r="Z744" s="13">
        <v>0.006486238</v>
      </c>
    </row>
    <row r="745" s="2" customFormat="1" hidden="1" spans="1:26">
      <c r="A745" s="11" t="s">
        <v>935</v>
      </c>
      <c r="B745" s="11" t="s">
        <v>937</v>
      </c>
      <c r="C745" s="14" t="s">
        <v>358</v>
      </c>
      <c r="D745" s="14" t="s">
        <v>938</v>
      </c>
      <c r="E745" s="14" t="s">
        <v>939</v>
      </c>
      <c r="F745" s="3" t="s">
        <v>943</v>
      </c>
      <c r="G745" s="4">
        <v>76</v>
      </c>
      <c r="H745" s="12">
        <v>10711.7</v>
      </c>
      <c r="I745" s="12">
        <v>1939.685798</v>
      </c>
      <c r="J745" s="13">
        <v>0.181081042</v>
      </c>
      <c r="K745" s="13">
        <v>0.181081042</v>
      </c>
      <c r="L745" s="12">
        <v>20.7269736842</v>
      </c>
      <c r="M745" s="13">
        <v>0.0983260296</v>
      </c>
      <c r="N745" s="13">
        <v>0.0141957459</v>
      </c>
      <c r="O745" s="13">
        <v>0.2918584351</v>
      </c>
      <c r="P745" s="13">
        <v>0.0139596889</v>
      </c>
      <c r="Q745" s="13">
        <v>0.0176376422</v>
      </c>
      <c r="R745" s="13">
        <v>0.2525668531</v>
      </c>
      <c r="S745" s="13">
        <v>0</v>
      </c>
      <c r="T745" s="13">
        <v>0.1088398666</v>
      </c>
      <c r="U745" s="13">
        <v>0.0101398702</v>
      </c>
      <c r="V745" s="13">
        <v>0</v>
      </c>
      <c r="W745" s="13">
        <v>-0.0014805496</v>
      </c>
      <c r="X745" s="13">
        <v>0</v>
      </c>
      <c r="Y745" s="13">
        <v>0</v>
      </c>
      <c r="Z745" s="13">
        <v>0.0128753756</v>
      </c>
    </row>
    <row r="746" s="2" customFormat="1" spans="1:26">
      <c r="A746" s="11" t="s">
        <v>935</v>
      </c>
      <c r="B746" s="11" t="s">
        <v>937</v>
      </c>
      <c r="C746" s="14" t="s">
        <v>358</v>
      </c>
      <c r="D746" s="14" t="s">
        <v>938</v>
      </c>
      <c r="E746" s="14" t="s">
        <v>939</v>
      </c>
      <c r="F746" s="3" t="s">
        <v>944</v>
      </c>
      <c r="G746" s="4">
        <v>73</v>
      </c>
      <c r="H746" s="12">
        <v>10222.236</v>
      </c>
      <c r="I746" s="12">
        <v>2412.629921</v>
      </c>
      <c r="J746" s="13">
        <v>0.2360178263</v>
      </c>
      <c r="K746" s="13">
        <v>0.2360178263</v>
      </c>
      <c r="L746" s="12">
        <v>20.592739726</v>
      </c>
      <c r="M746" s="13">
        <v>0.0989669688</v>
      </c>
      <c r="N746" s="13">
        <v>0.0142882812</v>
      </c>
      <c r="O746" s="13">
        <v>0.297671077</v>
      </c>
      <c r="P746" s="13">
        <v>0.0132976777</v>
      </c>
      <c r="Q746" s="13">
        <v>0.0139541138</v>
      </c>
      <c r="R746" s="13">
        <v>0.1954122169</v>
      </c>
      <c r="S746" s="13">
        <v>0</v>
      </c>
      <c r="T746" s="13">
        <v>0.1187810572</v>
      </c>
      <c r="U746" s="13">
        <v>0.0102059671</v>
      </c>
      <c r="V746" s="13">
        <v>0</v>
      </c>
      <c r="W746" s="13">
        <v>0</v>
      </c>
      <c r="X746" s="13">
        <v>0</v>
      </c>
      <c r="Y746" s="13">
        <v>0</v>
      </c>
      <c r="Z746" s="13">
        <v>0.0014048134</v>
      </c>
    </row>
    <row r="747" s="2" customFormat="1" hidden="1" spans="1:26">
      <c r="A747" s="11" t="s">
        <v>935</v>
      </c>
      <c r="B747" s="11" t="s">
        <v>937</v>
      </c>
      <c r="C747" s="14" t="s">
        <v>358</v>
      </c>
      <c r="D747" s="14" t="s">
        <v>938</v>
      </c>
      <c r="E747" s="14" t="s">
        <v>939</v>
      </c>
      <c r="F747" s="3" t="s">
        <v>945</v>
      </c>
      <c r="G747" s="4">
        <v>3</v>
      </c>
      <c r="H747" s="12">
        <v>448.596</v>
      </c>
      <c r="I747" s="12">
        <v>144.10279</v>
      </c>
      <c r="J747" s="13">
        <v>0.3212306618</v>
      </c>
      <c r="K747" s="13">
        <v>0.3212306618</v>
      </c>
      <c r="L747" s="12">
        <v>21.99</v>
      </c>
      <c r="M747" s="13">
        <v>0.092678537</v>
      </c>
      <c r="N747" s="13">
        <v>0.0133803934</v>
      </c>
      <c r="O747" s="13">
        <v>0.2787630741</v>
      </c>
      <c r="P747" s="13">
        <v>0</v>
      </c>
      <c r="Q747" s="13">
        <v>0</v>
      </c>
      <c r="R747" s="13">
        <v>0.1643352905</v>
      </c>
      <c r="S747" s="13">
        <v>0</v>
      </c>
      <c r="T747" s="13">
        <v>0.1200545702</v>
      </c>
      <c r="U747" s="13">
        <v>0.0095574726</v>
      </c>
      <c r="V747" s="13">
        <v>0</v>
      </c>
      <c r="W747" s="13">
        <v>0</v>
      </c>
      <c r="X747" s="13">
        <v>0</v>
      </c>
      <c r="Y747" s="13">
        <v>0</v>
      </c>
      <c r="Z747" s="13">
        <v>0</v>
      </c>
    </row>
    <row r="748" s="2" customFormat="1" hidden="1" spans="1:26">
      <c r="A748" s="11" t="s">
        <v>935</v>
      </c>
      <c r="B748" s="11" t="s">
        <v>937</v>
      </c>
      <c r="C748" s="14" t="s">
        <v>362</v>
      </c>
      <c r="D748" s="14" t="s">
        <v>938</v>
      </c>
      <c r="E748" s="14" t="s">
        <v>939</v>
      </c>
      <c r="F748" s="3" t="s">
        <v>936</v>
      </c>
      <c r="G748" s="4">
        <v>108</v>
      </c>
      <c r="H748" s="12">
        <v>18404.336</v>
      </c>
      <c r="I748" s="12">
        <v>5151.027763</v>
      </c>
      <c r="J748" s="13">
        <v>0.2798812064</v>
      </c>
      <c r="K748" s="13">
        <v>0.2798812064</v>
      </c>
      <c r="L748" s="12">
        <v>25.0603703703</v>
      </c>
      <c r="M748" s="13">
        <v>0.1075902659</v>
      </c>
      <c r="N748" s="13">
        <v>0.0315882295</v>
      </c>
      <c r="O748" s="13">
        <v>0.2505505224</v>
      </c>
      <c r="P748" s="13">
        <v>0.0456490253</v>
      </c>
      <c r="Q748" s="13">
        <v>0.0073431943</v>
      </c>
      <c r="R748" s="13">
        <v>0.1549860223</v>
      </c>
      <c r="S748" s="13">
        <v>0</v>
      </c>
      <c r="T748" s="13">
        <v>0.1123583051</v>
      </c>
      <c r="U748" s="13">
        <v>0.0110952482</v>
      </c>
      <c r="V748" s="13">
        <v>-0.0046886777</v>
      </c>
      <c r="W748" s="13">
        <v>-0.0041812186</v>
      </c>
      <c r="X748" s="13">
        <v>0.0005653015</v>
      </c>
      <c r="Y748" s="13">
        <v>0</v>
      </c>
      <c r="Z748" s="13">
        <v>0.0072625751</v>
      </c>
    </row>
    <row r="749" s="2" customFormat="1" hidden="1" spans="1:26">
      <c r="A749" s="11" t="s">
        <v>935</v>
      </c>
      <c r="B749" s="11" t="s">
        <v>937</v>
      </c>
      <c r="C749" s="14" t="s">
        <v>362</v>
      </c>
      <c r="D749" s="14" t="s">
        <v>938</v>
      </c>
      <c r="E749" s="14" t="s">
        <v>939</v>
      </c>
      <c r="F749" s="3" t="s">
        <v>940</v>
      </c>
      <c r="G749" s="4">
        <v>3</v>
      </c>
      <c r="H749" s="12">
        <v>489.396</v>
      </c>
      <c r="I749" s="12">
        <v>66.327094</v>
      </c>
      <c r="J749" s="13">
        <v>0.1355284759</v>
      </c>
      <c r="K749" s="13">
        <v>0.1355284759</v>
      </c>
      <c r="L749" s="12">
        <v>23.99</v>
      </c>
      <c r="M749" s="13">
        <v>0.112390659</v>
      </c>
      <c r="N749" s="13">
        <v>0.0298507772</v>
      </c>
      <c r="O749" s="13">
        <v>0.2542726135</v>
      </c>
      <c r="P749" s="13">
        <v>0</v>
      </c>
      <c r="Q749" s="13">
        <v>0.000819222</v>
      </c>
      <c r="R749" s="13">
        <v>0.3432154512</v>
      </c>
      <c r="S749" s="13">
        <v>0</v>
      </c>
      <c r="T749" s="13">
        <v>0.1119911074</v>
      </c>
      <c r="U749" s="13">
        <v>0.0115902888</v>
      </c>
      <c r="V749" s="13">
        <v>0</v>
      </c>
      <c r="W749" s="13">
        <v>0</v>
      </c>
      <c r="X749" s="13">
        <v>0</v>
      </c>
      <c r="Y749" s="13">
        <v>0</v>
      </c>
      <c r="Z749" s="13">
        <v>0.0003414045</v>
      </c>
    </row>
    <row r="750" s="2" customFormat="1" hidden="1" spans="1:26">
      <c r="A750" s="11" t="s">
        <v>935</v>
      </c>
      <c r="B750" s="11" t="s">
        <v>937</v>
      </c>
      <c r="C750" s="14" t="s">
        <v>362</v>
      </c>
      <c r="D750" s="14" t="s">
        <v>938</v>
      </c>
      <c r="E750" s="14" t="s">
        <v>939</v>
      </c>
      <c r="F750" s="3" t="s">
        <v>941</v>
      </c>
      <c r="G750" s="4">
        <v>27</v>
      </c>
      <c r="H750" s="12">
        <v>4404.564</v>
      </c>
      <c r="I750" s="12">
        <v>932.981267</v>
      </c>
      <c r="J750" s="13">
        <v>0.2118214804</v>
      </c>
      <c r="K750" s="13">
        <v>0.2118214804</v>
      </c>
      <c r="L750" s="12">
        <v>23.99</v>
      </c>
      <c r="M750" s="13">
        <v>0.112390659</v>
      </c>
      <c r="N750" s="13">
        <v>0.0298507711</v>
      </c>
      <c r="O750" s="13">
        <v>0.2588115418</v>
      </c>
      <c r="P750" s="13">
        <v>0</v>
      </c>
      <c r="Q750" s="13">
        <v>0.0058242482</v>
      </c>
      <c r="R750" s="13">
        <v>0.2572143963</v>
      </c>
      <c r="S750" s="13">
        <v>0</v>
      </c>
      <c r="T750" s="13">
        <v>0.107158847</v>
      </c>
      <c r="U750" s="13">
        <v>0.0115902888</v>
      </c>
      <c r="V750" s="13">
        <v>0</v>
      </c>
      <c r="W750" s="13">
        <v>0</v>
      </c>
      <c r="X750" s="13">
        <v>0</v>
      </c>
      <c r="Y750" s="13">
        <v>0</v>
      </c>
      <c r="Z750" s="13">
        <v>0.0053377669</v>
      </c>
    </row>
    <row r="751" s="2" customFormat="1" hidden="1" spans="1:26">
      <c r="A751" s="11" t="s">
        <v>935</v>
      </c>
      <c r="B751" s="11" t="s">
        <v>937</v>
      </c>
      <c r="C751" s="14" t="s">
        <v>362</v>
      </c>
      <c r="D751" s="14" t="s">
        <v>938</v>
      </c>
      <c r="E751" s="14" t="s">
        <v>939</v>
      </c>
      <c r="F751" s="3" t="s">
        <v>942</v>
      </c>
      <c r="G751" s="4">
        <v>36</v>
      </c>
      <c r="H751" s="12">
        <v>6087.632</v>
      </c>
      <c r="I751" s="12">
        <v>1722.215635</v>
      </c>
      <c r="J751" s="13">
        <v>0.2829040314</v>
      </c>
      <c r="K751" s="13">
        <v>0.2829040314</v>
      </c>
      <c r="L751" s="12">
        <v>24.8677777777</v>
      </c>
      <c r="M751" s="13">
        <v>0.1084235164</v>
      </c>
      <c r="N751" s="13">
        <v>0.0218436462</v>
      </c>
      <c r="O751" s="13">
        <v>0.2537420133</v>
      </c>
      <c r="P751" s="13">
        <v>0.0799450426</v>
      </c>
      <c r="Q751" s="13">
        <v>0.0090207555</v>
      </c>
      <c r="R751" s="13">
        <v>0.1140926368</v>
      </c>
      <c r="S751" s="13">
        <v>0</v>
      </c>
      <c r="T751" s="13">
        <v>0.1123609311</v>
      </c>
      <c r="U751" s="13">
        <v>0.0111811771</v>
      </c>
      <c r="V751" s="13">
        <v>0</v>
      </c>
      <c r="W751" s="13">
        <v>0</v>
      </c>
      <c r="X751" s="13">
        <v>0</v>
      </c>
      <c r="Y751" s="13">
        <v>0</v>
      </c>
      <c r="Z751" s="13">
        <v>0.0064862491</v>
      </c>
    </row>
    <row r="752" s="2" customFormat="1" hidden="1" spans="1:26">
      <c r="A752" s="11" t="s">
        <v>935</v>
      </c>
      <c r="B752" s="11" t="s">
        <v>937</v>
      </c>
      <c r="C752" s="14" t="s">
        <v>362</v>
      </c>
      <c r="D752" s="14" t="s">
        <v>938</v>
      </c>
      <c r="E752" s="14" t="s">
        <v>939</v>
      </c>
      <c r="F752" s="3" t="s">
        <v>943</v>
      </c>
      <c r="G752" s="4">
        <v>30</v>
      </c>
      <c r="H752" s="12">
        <v>5301.96</v>
      </c>
      <c r="I752" s="12">
        <v>1541.777849</v>
      </c>
      <c r="J752" s="13">
        <v>0.290793942</v>
      </c>
      <c r="K752" s="13">
        <v>0.290793942</v>
      </c>
      <c r="L752" s="12">
        <v>25.99</v>
      </c>
      <c r="M752" s="13">
        <v>0.1037418973</v>
      </c>
      <c r="N752" s="13">
        <v>0.0413979245</v>
      </c>
      <c r="O752" s="13">
        <v>0.2427856868</v>
      </c>
      <c r="P752" s="13">
        <v>0.0666666666</v>
      </c>
      <c r="Q752" s="13">
        <v>0.0090290709</v>
      </c>
      <c r="R752" s="13">
        <v>0.1209292638</v>
      </c>
      <c r="S752" s="13">
        <v>0</v>
      </c>
      <c r="T752" s="13">
        <v>0.1136334487</v>
      </c>
      <c r="U752" s="13">
        <v>0.0106983851</v>
      </c>
      <c r="V752" s="13">
        <v>0</v>
      </c>
      <c r="W752" s="13">
        <v>-0.0145139821</v>
      </c>
      <c r="X752" s="13">
        <v>0.001962293</v>
      </c>
      <c r="Y752" s="13">
        <v>0</v>
      </c>
      <c r="Z752" s="13">
        <v>0.012875403</v>
      </c>
    </row>
    <row r="753" s="2" customFormat="1" spans="1:26">
      <c r="A753" s="11" t="s">
        <v>935</v>
      </c>
      <c r="B753" s="11" t="s">
        <v>937</v>
      </c>
      <c r="C753" s="14" t="s">
        <v>362</v>
      </c>
      <c r="D753" s="14" t="s">
        <v>938</v>
      </c>
      <c r="E753" s="14" t="s">
        <v>939</v>
      </c>
      <c r="F753" s="3" t="s">
        <v>944</v>
      </c>
      <c r="G753" s="4">
        <v>9</v>
      </c>
      <c r="H753" s="12">
        <v>1590.588</v>
      </c>
      <c r="I753" s="12">
        <v>631.27912</v>
      </c>
      <c r="J753" s="13">
        <v>0.3968841208</v>
      </c>
      <c r="K753" s="13">
        <v>0.3968841208</v>
      </c>
      <c r="L753" s="12">
        <v>25.99</v>
      </c>
      <c r="M753" s="13">
        <v>0.1037418973</v>
      </c>
      <c r="N753" s="13">
        <v>0.0390448475</v>
      </c>
      <c r="O753" s="13">
        <v>0.2427856868</v>
      </c>
      <c r="P753" s="13">
        <v>0</v>
      </c>
      <c r="Q753" s="13">
        <v>0.0039643232</v>
      </c>
      <c r="R753" s="13">
        <v>0.1356813857</v>
      </c>
      <c r="S753" s="13">
        <v>0</v>
      </c>
      <c r="T753" s="13">
        <v>0.1200461716</v>
      </c>
      <c r="U753" s="13">
        <v>0.0106983851</v>
      </c>
      <c r="V753" s="13">
        <v>-0.0542516352</v>
      </c>
      <c r="W753" s="13">
        <v>0</v>
      </c>
      <c r="X753" s="13">
        <v>0</v>
      </c>
      <c r="Y753" s="13">
        <v>0</v>
      </c>
      <c r="Z753" s="13">
        <v>0.0014048169</v>
      </c>
    </row>
    <row r="754" s="2" customFormat="1" hidden="1" spans="1:26">
      <c r="A754" s="11" t="s">
        <v>935</v>
      </c>
      <c r="B754" s="11" t="s">
        <v>937</v>
      </c>
      <c r="C754" s="14" t="s">
        <v>362</v>
      </c>
      <c r="D754" s="14" t="s">
        <v>938</v>
      </c>
      <c r="E754" s="14" t="s">
        <v>939</v>
      </c>
      <c r="F754" s="3" t="s">
        <v>945</v>
      </c>
      <c r="G754" s="4">
        <v>3</v>
      </c>
      <c r="H754" s="12">
        <v>530.196</v>
      </c>
      <c r="I754" s="12">
        <v>256.446798</v>
      </c>
      <c r="J754" s="13">
        <v>0.4836830115</v>
      </c>
      <c r="K754" s="13">
        <v>0.4836830115</v>
      </c>
      <c r="L754" s="12">
        <v>25.99</v>
      </c>
      <c r="M754" s="13">
        <v>0.1037418973</v>
      </c>
      <c r="N754" s="13">
        <v>0.0390448475</v>
      </c>
      <c r="O754" s="13">
        <v>0.2427856868</v>
      </c>
      <c r="P754" s="13">
        <v>0</v>
      </c>
      <c r="Q754" s="13">
        <v>0</v>
      </c>
      <c r="R754" s="13">
        <v>0</v>
      </c>
      <c r="S754" s="13">
        <v>0</v>
      </c>
      <c r="T754" s="13">
        <v>0.1200461716</v>
      </c>
      <c r="U754" s="13">
        <v>0.0106983851</v>
      </c>
      <c r="V754" s="13">
        <v>0</v>
      </c>
      <c r="W754" s="13">
        <v>0</v>
      </c>
      <c r="X754" s="13">
        <v>0</v>
      </c>
      <c r="Y754" s="13">
        <v>0</v>
      </c>
      <c r="Z754" s="13">
        <v>0</v>
      </c>
    </row>
    <row r="755" s="2" customFormat="1" hidden="1" spans="1:26">
      <c r="A755" s="11" t="s">
        <v>935</v>
      </c>
      <c r="B755" s="11" t="s">
        <v>937</v>
      </c>
      <c r="C755" s="14" t="s">
        <v>366</v>
      </c>
      <c r="D755" s="14" t="s">
        <v>938</v>
      </c>
      <c r="E755" s="14" t="s">
        <v>939</v>
      </c>
      <c r="F755" s="3" t="s">
        <v>936</v>
      </c>
      <c r="G755" s="4">
        <v>156</v>
      </c>
      <c r="H755" s="12">
        <v>25774.992</v>
      </c>
      <c r="I755" s="12">
        <v>6938.451041</v>
      </c>
      <c r="J755" s="13">
        <v>0.2691931404</v>
      </c>
      <c r="K755" s="13">
        <v>0.2691931404</v>
      </c>
      <c r="L755" s="12">
        <v>24.2976923076</v>
      </c>
      <c r="M755" s="13">
        <v>0.1169930034</v>
      </c>
      <c r="N755" s="13">
        <v>0.0335156901</v>
      </c>
      <c r="O755" s="13">
        <v>0.3079220354</v>
      </c>
      <c r="P755" s="13">
        <v>0.012658161</v>
      </c>
      <c r="Q755" s="13">
        <v>0.013136815</v>
      </c>
      <c r="R755" s="13">
        <v>0.1223703073</v>
      </c>
      <c r="S755" s="13">
        <v>0</v>
      </c>
      <c r="T755" s="13">
        <v>0.1131900254</v>
      </c>
      <c r="U755" s="13">
        <v>0.0120649015</v>
      </c>
      <c r="V755" s="13">
        <v>-0.0061940038</v>
      </c>
      <c r="W755" s="13">
        <v>-0.0009330141</v>
      </c>
      <c r="X755" s="13">
        <v>0</v>
      </c>
      <c r="Y755" s="13">
        <v>0</v>
      </c>
      <c r="Z755" s="13">
        <v>0.0060829379</v>
      </c>
    </row>
    <row r="756" s="2" customFormat="1" hidden="1" spans="1:26">
      <c r="A756" s="11" t="s">
        <v>935</v>
      </c>
      <c r="B756" s="11" t="s">
        <v>937</v>
      </c>
      <c r="C756" s="14" t="s">
        <v>366</v>
      </c>
      <c r="D756" s="14" t="s">
        <v>938</v>
      </c>
      <c r="E756" s="14" t="s">
        <v>939</v>
      </c>
      <c r="F756" s="3" t="s">
        <v>941</v>
      </c>
      <c r="G756" s="4">
        <v>57</v>
      </c>
      <c r="H756" s="12">
        <v>9298.524</v>
      </c>
      <c r="I756" s="12">
        <v>2182.484934</v>
      </c>
      <c r="J756" s="13">
        <v>0.2347130505</v>
      </c>
      <c r="K756" s="13">
        <v>0.2347130505</v>
      </c>
      <c r="L756" s="12">
        <v>23.99</v>
      </c>
      <c r="M756" s="13">
        <v>0.1184935389</v>
      </c>
      <c r="N756" s="13">
        <v>0.042049463</v>
      </c>
      <c r="O756" s="13">
        <v>0.3069334444</v>
      </c>
      <c r="P756" s="13">
        <v>0</v>
      </c>
      <c r="Q756" s="13">
        <v>0.0044563826</v>
      </c>
      <c r="R756" s="13">
        <v>0.1686394842</v>
      </c>
      <c r="S756" s="13">
        <v>0</v>
      </c>
      <c r="T756" s="13">
        <v>0.1071572219</v>
      </c>
      <c r="U756" s="13">
        <v>0.0122196442</v>
      </c>
      <c r="V756" s="13">
        <v>0</v>
      </c>
      <c r="W756" s="13">
        <v>0</v>
      </c>
      <c r="X756" s="13">
        <v>0</v>
      </c>
      <c r="Y756" s="13">
        <v>0</v>
      </c>
      <c r="Z756" s="13">
        <v>0.0053377698</v>
      </c>
    </row>
    <row r="757" s="2" customFormat="1" hidden="1" spans="1:26">
      <c r="A757" s="11" t="s">
        <v>935</v>
      </c>
      <c r="B757" s="11" t="s">
        <v>937</v>
      </c>
      <c r="C757" s="14" t="s">
        <v>366</v>
      </c>
      <c r="D757" s="14" t="s">
        <v>938</v>
      </c>
      <c r="E757" s="14" t="s">
        <v>939</v>
      </c>
      <c r="F757" s="3" t="s">
        <v>942</v>
      </c>
      <c r="G757" s="4">
        <v>79</v>
      </c>
      <c r="H757" s="12">
        <v>12941.828</v>
      </c>
      <c r="I757" s="12">
        <v>3779.750771</v>
      </c>
      <c r="J757" s="13">
        <v>0.2920569467</v>
      </c>
      <c r="K757" s="13">
        <v>0.2920569467</v>
      </c>
      <c r="L757" s="12">
        <v>24.0912658227</v>
      </c>
      <c r="M757" s="13">
        <v>0.1179954603</v>
      </c>
      <c r="N757" s="13">
        <v>0.0288018953</v>
      </c>
      <c r="O757" s="13">
        <v>0.3133915857</v>
      </c>
      <c r="P757" s="13">
        <v>0.0126050199</v>
      </c>
      <c r="Q757" s="13">
        <v>0.0169438661</v>
      </c>
      <c r="R757" s="13">
        <v>0.089759626</v>
      </c>
      <c r="S757" s="13">
        <v>0</v>
      </c>
      <c r="T757" s="13">
        <v>0.116860462</v>
      </c>
      <c r="U757" s="13">
        <v>0.0121682798</v>
      </c>
      <c r="V757" s="13">
        <v>-0.0052111958</v>
      </c>
      <c r="W757" s="13">
        <v>-0.0018581943</v>
      </c>
      <c r="X757" s="13">
        <v>0</v>
      </c>
      <c r="Y757" s="13">
        <v>0</v>
      </c>
      <c r="Z757" s="13">
        <v>0.0064862477</v>
      </c>
    </row>
    <row r="758" s="2" customFormat="1" hidden="1" spans="1:26">
      <c r="A758" s="11" t="s">
        <v>935</v>
      </c>
      <c r="B758" s="11" t="s">
        <v>937</v>
      </c>
      <c r="C758" s="14" t="s">
        <v>366</v>
      </c>
      <c r="D758" s="14" t="s">
        <v>938</v>
      </c>
      <c r="E758" s="14" t="s">
        <v>939</v>
      </c>
      <c r="F758" s="3" t="s">
        <v>943</v>
      </c>
      <c r="G758" s="4">
        <v>9</v>
      </c>
      <c r="H758" s="12">
        <v>1590.588</v>
      </c>
      <c r="I758" s="12">
        <v>429.114823</v>
      </c>
      <c r="J758" s="13">
        <v>0.2697837673</v>
      </c>
      <c r="K758" s="13">
        <v>0.2697837673</v>
      </c>
      <c r="L758" s="12">
        <v>25.99</v>
      </c>
      <c r="M758" s="13">
        <v>0.1093751442</v>
      </c>
      <c r="N758" s="13">
        <v>0.0266977344</v>
      </c>
      <c r="O758" s="13">
        <v>0.2904963447</v>
      </c>
      <c r="P758" s="13">
        <v>0.1025608139</v>
      </c>
      <c r="Q758" s="13">
        <v>0.0471655343</v>
      </c>
      <c r="R758" s="13">
        <v>0.0195526754</v>
      </c>
      <c r="S758" s="13">
        <v>0</v>
      </c>
      <c r="T758" s="13">
        <v>0.1102133299</v>
      </c>
      <c r="U758" s="13">
        <v>0.0112793099</v>
      </c>
      <c r="V758" s="13">
        <v>0</v>
      </c>
      <c r="W758" s="13">
        <v>0</v>
      </c>
      <c r="X758" s="13">
        <v>0</v>
      </c>
      <c r="Y758" s="13">
        <v>0</v>
      </c>
      <c r="Z758" s="13">
        <v>0.0128753454</v>
      </c>
    </row>
    <row r="759" s="2" customFormat="1" spans="1:26">
      <c r="A759" s="11" t="s">
        <v>935</v>
      </c>
      <c r="B759" s="11" t="s">
        <v>937</v>
      </c>
      <c r="C759" s="14" t="s">
        <v>366</v>
      </c>
      <c r="D759" s="14" t="s">
        <v>938</v>
      </c>
      <c r="E759" s="14" t="s">
        <v>939</v>
      </c>
      <c r="F759" s="3" t="s">
        <v>944</v>
      </c>
      <c r="G759" s="4">
        <v>11</v>
      </c>
      <c r="H759" s="12">
        <v>1944.052</v>
      </c>
      <c r="I759" s="12">
        <v>474.209919</v>
      </c>
      <c r="J759" s="13">
        <v>0.2439286186</v>
      </c>
      <c r="K759" s="13">
        <v>0.2439286186</v>
      </c>
      <c r="L759" s="12">
        <v>25.99</v>
      </c>
      <c r="M759" s="13">
        <v>0.1093751442</v>
      </c>
      <c r="N759" s="13">
        <v>0.0296568363</v>
      </c>
      <c r="O759" s="13">
        <v>0.2904963447</v>
      </c>
      <c r="P759" s="13">
        <v>0</v>
      </c>
      <c r="Q759" s="13">
        <v>0.0014701191</v>
      </c>
      <c r="R759" s="13">
        <v>0.1923426446</v>
      </c>
      <c r="S759" s="13">
        <v>0</v>
      </c>
      <c r="T759" s="13">
        <v>0.1200461716</v>
      </c>
      <c r="U759" s="13">
        <v>0.0112793109</v>
      </c>
      <c r="V759" s="13">
        <v>0</v>
      </c>
      <c r="W759" s="13">
        <v>0</v>
      </c>
      <c r="X759" s="13">
        <v>0</v>
      </c>
      <c r="Y759" s="13">
        <v>0</v>
      </c>
      <c r="Z759" s="13">
        <v>0.0014048096</v>
      </c>
    </row>
    <row r="760" s="2" customFormat="1" hidden="1" spans="1:26">
      <c r="A760" s="11" t="s">
        <v>935</v>
      </c>
      <c r="B760" s="11" t="s">
        <v>937</v>
      </c>
      <c r="C760" s="14" t="s">
        <v>366</v>
      </c>
      <c r="D760" s="14" t="s">
        <v>938</v>
      </c>
      <c r="E760" s="14" t="s">
        <v>939</v>
      </c>
      <c r="F760" s="3" t="s">
        <v>945</v>
      </c>
      <c r="G760" s="4">
        <v>0</v>
      </c>
      <c r="H760" s="12">
        <v>0</v>
      </c>
      <c r="I760" s="12">
        <v>72.890594</v>
      </c>
      <c r="J760" s="13"/>
      <c r="K760" s="13"/>
      <c r="L760" s="12"/>
      <c r="M760" s="13"/>
      <c r="N760" s="13"/>
      <c r="O760" s="13"/>
      <c r="P760" s="13"/>
      <c r="Q760" s="13"/>
      <c r="R760" s="13"/>
      <c r="S760" s="13"/>
      <c r="T760" s="13"/>
      <c r="U760" s="13"/>
      <c r="V760" s="13"/>
      <c r="W760" s="13"/>
      <c r="X760" s="13"/>
      <c r="Y760" s="13"/>
      <c r="Z760" s="13"/>
    </row>
    <row r="761" s="2" customFormat="1" hidden="1" spans="1:26">
      <c r="A761" s="11" t="s">
        <v>935</v>
      </c>
      <c r="B761" s="11" t="s">
        <v>937</v>
      </c>
      <c r="C761" s="14" t="s">
        <v>370</v>
      </c>
      <c r="D761" s="14" t="s">
        <v>938</v>
      </c>
      <c r="E761" s="14" t="s">
        <v>939</v>
      </c>
      <c r="F761" s="3" t="s">
        <v>936</v>
      </c>
      <c r="G761" s="4">
        <v>46</v>
      </c>
      <c r="H761" s="12">
        <v>9189.112</v>
      </c>
      <c r="I761" s="12">
        <v>433.578601</v>
      </c>
      <c r="J761" s="13">
        <v>0.0471839499</v>
      </c>
      <c r="K761" s="13">
        <v>0.0471839499</v>
      </c>
      <c r="L761" s="12">
        <v>29.3769565217</v>
      </c>
      <c r="M761" s="13">
        <v>0.1587631126</v>
      </c>
      <c r="N761" s="13">
        <v>0.0083494564</v>
      </c>
      <c r="O761" s="13">
        <v>0.2651738274</v>
      </c>
      <c r="P761" s="13">
        <v>0.1057468882</v>
      </c>
      <c r="Q761" s="13">
        <v>0.0316650435</v>
      </c>
      <c r="R761" s="13">
        <v>0.2660530735</v>
      </c>
      <c r="S761" s="13">
        <v>0</v>
      </c>
      <c r="T761" s="13">
        <v>0.0984874272</v>
      </c>
      <c r="U761" s="13">
        <v>0.0163724464</v>
      </c>
      <c r="V761" s="13">
        <v>0</v>
      </c>
      <c r="W761" s="13">
        <v>-0.0036328819</v>
      </c>
      <c r="X761" s="13">
        <v>0.001679814</v>
      </c>
      <c r="Y761" s="13">
        <v>0</v>
      </c>
      <c r="Z761" s="13">
        <v>0.0041578422</v>
      </c>
    </row>
    <row r="762" s="2" customFormat="1" hidden="1" spans="1:26">
      <c r="A762" s="11" t="s">
        <v>935</v>
      </c>
      <c r="B762" s="11" t="s">
        <v>937</v>
      </c>
      <c r="C762" s="14" t="s">
        <v>370</v>
      </c>
      <c r="D762" s="14" t="s">
        <v>938</v>
      </c>
      <c r="E762" s="14" t="s">
        <v>939</v>
      </c>
      <c r="F762" s="3" t="s">
        <v>942</v>
      </c>
      <c r="G762" s="4">
        <v>0</v>
      </c>
      <c r="H762" s="12">
        <v>0</v>
      </c>
      <c r="I762" s="12">
        <v>-76.704</v>
      </c>
      <c r="J762" s="13"/>
      <c r="K762" s="13"/>
      <c r="L762" s="12"/>
      <c r="M762" s="13"/>
      <c r="N762" s="13"/>
      <c r="O762" s="13"/>
      <c r="P762" s="13"/>
      <c r="Q762" s="13"/>
      <c r="R762" s="13"/>
      <c r="S762" s="13"/>
      <c r="T762" s="13"/>
      <c r="U762" s="13"/>
      <c r="V762" s="13"/>
      <c r="W762" s="13"/>
      <c r="X762" s="13"/>
      <c r="Y762" s="13"/>
      <c r="Z762" s="13"/>
    </row>
    <row r="763" s="2" customFormat="1" hidden="1" spans="1:26">
      <c r="A763" s="11" t="s">
        <v>935</v>
      </c>
      <c r="B763" s="11" t="s">
        <v>937</v>
      </c>
      <c r="C763" s="14" t="s">
        <v>370</v>
      </c>
      <c r="D763" s="14" t="s">
        <v>938</v>
      </c>
      <c r="E763" s="14" t="s">
        <v>939</v>
      </c>
      <c r="F763" s="3" t="s">
        <v>943</v>
      </c>
      <c r="G763" s="4">
        <v>12</v>
      </c>
      <c r="H763" s="12">
        <v>2255.424</v>
      </c>
      <c r="I763" s="12">
        <v>-161.348789</v>
      </c>
      <c r="J763" s="13">
        <v>-0.0715381183</v>
      </c>
      <c r="K763" s="13">
        <v>-0.0715381183</v>
      </c>
      <c r="L763" s="12">
        <v>27.64</v>
      </c>
      <c r="M763" s="13">
        <v>0.1687401251</v>
      </c>
      <c r="N763" s="13">
        <v>0.008874154</v>
      </c>
      <c r="O763" s="13">
        <v>0.281837916</v>
      </c>
      <c r="P763" s="13">
        <v>0.0904184756</v>
      </c>
      <c r="Q763" s="13">
        <v>0.033751178</v>
      </c>
      <c r="R763" s="13">
        <v>0.3588998701</v>
      </c>
      <c r="S763" s="13">
        <v>0</v>
      </c>
      <c r="T763" s="13">
        <v>0.0987397491</v>
      </c>
      <c r="U763" s="13">
        <v>0.0174013258</v>
      </c>
      <c r="V763" s="13">
        <v>0</v>
      </c>
      <c r="W763" s="13">
        <v>0</v>
      </c>
      <c r="X763" s="13">
        <v>0</v>
      </c>
      <c r="Y763" s="13">
        <v>0</v>
      </c>
      <c r="Z763" s="13">
        <v>0.0128753241</v>
      </c>
    </row>
    <row r="764" s="2" customFormat="1" spans="1:26">
      <c r="A764" s="11" t="s">
        <v>935</v>
      </c>
      <c r="B764" s="11" t="s">
        <v>937</v>
      </c>
      <c r="C764" s="14" t="s">
        <v>370</v>
      </c>
      <c r="D764" s="14" t="s">
        <v>938</v>
      </c>
      <c r="E764" s="14" t="s">
        <v>939</v>
      </c>
      <c r="F764" s="3" t="s">
        <v>944</v>
      </c>
      <c r="G764" s="4">
        <v>32</v>
      </c>
      <c r="H764" s="12">
        <v>6525.824</v>
      </c>
      <c r="I764" s="12">
        <v>736.201874</v>
      </c>
      <c r="J764" s="13">
        <v>0.1128136269</v>
      </c>
      <c r="K764" s="13">
        <v>0.1128136269</v>
      </c>
      <c r="L764" s="12">
        <v>29.99</v>
      </c>
      <c r="M764" s="13">
        <v>0.1555177412</v>
      </c>
      <c r="N764" s="13">
        <v>0.0081787801</v>
      </c>
      <c r="O764" s="13">
        <v>0.259753251</v>
      </c>
      <c r="P764" s="13">
        <v>0.0864038012</v>
      </c>
      <c r="Q764" s="13">
        <v>0.032923109</v>
      </c>
      <c r="R764" s="13">
        <v>0.2298636226</v>
      </c>
      <c r="S764" s="13">
        <v>0</v>
      </c>
      <c r="T764" s="13">
        <v>0.1000541847</v>
      </c>
      <c r="U764" s="13">
        <v>0.0160377674</v>
      </c>
      <c r="V764" s="13">
        <v>0</v>
      </c>
      <c r="W764" s="13">
        <v>-0.0051155162</v>
      </c>
      <c r="X764" s="13">
        <v>0.0021648185</v>
      </c>
      <c r="Y764" s="13">
        <v>0</v>
      </c>
      <c r="Z764" s="13">
        <v>0.001404813</v>
      </c>
    </row>
    <row r="765" s="2" customFormat="1" hidden="1" spans="1:26">
      <c r="A765" s="11" t="s">
        <v>935</v>
      </c>
      <c r="B765" s="11" t="s">
        <v>937</v>
      </c>
      <c r="C765" s="14" t="s">
        <v>370</v>
      </c>
      <c r="D765" s="14" t="s">
        <v>938</v>
      </c>
      <c r="E765" s="14" t="s">
        <v>939</v>
      </c>
      <c r="F765" s="3" t="s">
        <v>945</v>
      </c>
      <c r="G765" s="4">
        <v>2</v>
      </c>
      <c r="H765" s="12">
        <v>407.864</v>
      </c>
      <c r="I765" s="12">
        <v>-64.570484</v>
      </c>
      <c r="J765" s="13">
        <v>-0.1583137614</v>
      </c>
      <c r="K765" s="13">
        <v>-0.1583137614</v>
      </c>
      <c r="L765" s="12">
        <v>29.99</v>
      </c>
      <c r="M765" s="13">
        <v>0.1555177412</v>
      </c>
      <c r="N765" s="13">
        <v>0.0081787801</v>
      </c>
      <c r="O765" s="13">
        <v>0.259753251</v>
      </c>
      <c r="P765" s="13">
        <v>0.5</v>
      </c>
      <c r="Q765" s="13">
        <v>0</v>
      </c>
      <c r="R765" s="13">
        <v>0.1435933644</v>
      </c>
      <c r="S765" s="13">
        <v>0</v>
      </c>
      <c r="T765" s="13">
        <v>0.072024008</v>
      </c>
      <c r="U765" s="13">
        <v>0.0160377674</v>
      </c>
      <c r="V765" s="13">
        <v>0</v>
      </c>
      <c r="W765" s="13">
        <v>0</v>
      </c>
      <c r="X765" s="13">
        <v>0.003208849</v>
      </c>
      <c r="Y765" s="13">
        <v>0</v>
      </c>
      <c r="Z765" s="13">
        <v>0</v>
      </c>
    </row>
    <row r="766" s="2" customFormat="1" hidden="1" spans="1:26">
      <c r="A766" s="11" t="s">
        <v>935</v>
      </c>
      <c r="B766" s="11" t="s">
        <v>937</v>
      </c>
      <c r="C766" s="14" t="s">
        <v>374</v>
      </c>
      <c r="D766" s="14" t="s">
        <v>938</v>
      </c>
      <c r="E766" s="14" t="s">
        <v>939</v>
      </c>
      <c r="F766" s="3" t="s">
        <v>936</v>
      </c>
      <c r="G766" s="4">
        <v>159</v>
      </c>
      <c r="H766" s="12">
        <v>28426.788</v>
      </c>
      <c r="I766" s="12">
        <v>7853.064683</v>
      </c>
      <c r="J766" s="13">
        <v>0.2762557867</v>
      </c>
      <c r="K766" s="13">
        <v>0.2762557867</v>
      </c>
      <c r="L766" s="12">
        <v>26.2918867924</v>
      </c>
      <c r="M766" s="13">
        <v>0.1174744801</v>
      </c>
      <c r="N766" s="13">
        <v>0.0303059024</v>
      </c>
      <c r="O766" s="13">
        <v>0.2794319217</v>
      </c>
      <c r="P766" s="13">
        <v>0.0181728586</v>
      </c>
      <c r="Q766" s="13">
        <v>0.0092515746</v>
      </c>
      <c r="R766" s="13">
        <v>0.1391293278</v>
      </c>
      <c r="S766" s="13">
        <v>0</v>
      </c>
      <c r="T766" s="13">
        <v>0.1169263301</v>
      </c>
      <c r="U766" s="13">
        <v>0.0121145569</v>
      </c>
      <c r="V766" s="13">
        <v>-0.006140546</v>
      </c>
      <c r="W766" s="13">
        <v>-0.0009588763</v>
      </c>
      <c r="X766" s="13">
        <v>0</v>
      </c>
      <c r="Y766" s="13">
        <v>0</v>
      </c>
      <c r="Z766" s="13">
        <v>0.0080366829</v>
      </c>
    </row>
    <row r="767" s="2" customFormat="1" hidden="1" spans="1:26">
      <c r="A767" s="11" t="s">
        <v>935</v>
      </c>
      <c r="B767" s="11" t="s">
        <v>937</v>
      </c>
      <c r="C767" s="14" t="s">
        <v>374</v>
      </c>
      <c r="D767" s="14" t="s">
        <v>938</v>
      </c>
      <c r="E767" s="14" t="s">
        <v>939</v>
      </c>
      <c r="F767" s="3" t="s">
        <v>941</v>
      </c>
      <c r="G767" s="4">
        <v>12</v>
      </c>
      <c r="H767" s="12">
        <v>1767.184</v>
      </c>
      <c r="I767" s="12">
        <v>141.756504</v>
      </c>
      <c r="J767" s="13">
        <v>0.0802160408</v>
      </c>
      <c r="K767" s="13">
        <v>0.0802160408</v>
      </c>
      <c r="L767" s="12">
        <v>21.6566666666</v>
      </c>
      <c r="M767" s="13">
        <v>0.1426177806</v>
      </c>
      <c r="N767" s="13">
        <v>0.0424751763</v>
      </c>
      <c r="O767" s="13">
        <v>0.3204555948</v>
      </c>
      <c r="P767" s="13">
        <v>0</v>
      </c>
      <c r="Q767" s="13">
        <v>0.0017910766</v>
      </c>
      <c r="R767" s="13">
        <v>0.2944307869</v>
      </c>
      <c r="S767" s="13">
        <v>0</v>
      </c>
      <c r="T767" s="13">
        <v>0.097968293</v>
      </c>
      <c r="U767" s="13">
        <v>0.01470746</v>
      </c>
      <c r="V767" s="13">
        <v>0</v>
      </c>
      <c r="W767" s="13">
        <v>0</v>
      </c>
      <c r="X767" s="13">
        <v>0</v>
      </c>
      <c r="Y767" s="13">
        <v>0</v>
      </c>
      <c r="Z767" s="13">
        <v>0.0053377905</v>
      </c>
    </row>
    <row r="768" s="2" customFormat="1" hidden="1" spans="1:26">
      <c r="A768" s="11" t="s">
        <v>935</v>
      </c>
      <c r="B768" s="11" t="s">
        <v>937</v>
      </c>
      <c r="C768" s="14" t="s">
        <v>374</v>
      </c>
      <c r="D768" s="14" t="s">
        <v>938</v>
      </c>
      <c r="E768" s="14" t="s">
        <v>939</v>
      </c>
      <c r="F768" s="3" t="s">
        <v>942</v>
      </c>
      <c r="G768" s="4">
        <v>66</v>
      </c>
      <c r="H768" s="12">
        <v>11242.712</v>
      </c>
      <c r="I768" s="12">
        <v>2758.269344</v>
      </c>
      <c r="J768" s="13">
        <v>0.2453384329</v>
      </c>
      <c r="K768" s="13">
        <v>0.2453384329</v>
      </c>
      <c r="L768" s="12">
        <v>25.0506060606</v>
      </c>
      <c r="M768" s="13">
        <v>0.1232954495</v>
      </c>
      <c r="N768" s="13">
        <v>0.0367204982</v>
      </c>
      <c r="O768" s="13">
        <v>0.2946036507</v>
      </c>
      <c r="P768" s="13">
        <v>0.0290200442</v>
      </c>
      <c r="Q768" s="13">
        <v>0.0102692858</v>
      </c>
      <c r="R768" s="13">
        <v>0.1267164189</v>
      </c>
      <c r="S768" s="13">
        <v>0</v>
      </c>
      <c r="T768" s="13">
        <v>0.1172596078</v>
      </c>
      <c r="U768" s="13">
        <v>0.0127148444</v>
      </c>
      <c r="V768" s="13">
        <v>0</v>
      </c>
      <c r="W768" s="13">
        <v>-0.002424484</v>
      </c>
      <c r="X768" s="13">
        <v>0</v>
      </c>
      <c r="Y768" s="13">
        <v>0</v>
      </c>
      <c r="Z768" s="13">
        <v>0.0064862512</v>
      </c>
    </row>
    <row r="769" s="2" customFormat="1" hidden="1" spans="1:26">
      <c r="A769" s="11" t="s">
        <v>935</v>
      </c>
      <c r="B769" s="11" t="s">
        <v>937</v>
      </c>
      <c r="C769" s="14" t="s">
        <v>374</v>
      </c>
      <c r="D769" s="14" t="s">
        <v>938</v>
      </c>
      <c r="E769" s="14" t="s">
        <v>939</v>
      </c>
      <c r="F769" s="3" t="s">
        <v>943</v>
      </c>
      <c r="G769" s="4">
        <v>57</v>
      </c>
      <c r="H769" s="12">
        <v>10848.924</v>
      </c>
      <c r="I769" s="12">
        <v>3733.185762</v>
      </c>
      <c r="J769" s="13">
        <v>0.3441065456</v>
      </c>
      <c r="K769" s="13">
        <v>0.3441065456</v>
      </c>
      <c r="L769" s="12">
        <v>27.99</v>
      </c>
      <c r="M769" s="13">
        <v>0.1103474717</v>
      </c>
      <c r="N769" s="13">
        <v>0.024233161</v>
      </c>
      <c r="O769" s="13">
        <v>0.2636655948</v>
      </c>
      <c r="P769" s="13">
        <v>0</v>
      </c>
      <c r="Q769" s="13">
        <v>0.0105016789</v>
      </c>
      <c r="R769" s="13">
        <v>0.1028477107</v>
      </c>
      <c r="S769" s="13">
        <v>0</v>
      </c>
      <c r="T769" s="13">
        <v>0.1200428724</v>
      </c>
      <c r="U769" s="13">
        <v>0.011379584</v>
      </c>
      <c r="V769" s="13">
        <v>0</v>
      </c>
      <c r="W769" s="13">
        <v>0</v>
      </c>
      <c r="X769" s="13">
        <v>0</v>
      </c>
      <c r="Y769" s="13">
        <v>0</v>
      </c>
      <c r="Z769" s="13">
        <v>0.0128753803</v>
      </c>
    </row>
    <row r="770" s="2" customFormat="1" spans="1:26">
      <c r="A770" s="11" t="s">
        <v>935</v>
      </c>
      <c r="B770" s="11" t="s">
        <v>937</v>
      </c>
      <c r="C770" s="14" t="s">
        <v>374</v>
      </c>
      <c r="D770" s="14" t="s">
        <v>938</v>
      </c>
      <c r="E770" s="14" t="s">
        <v>939</v>
      </c>
      <c r="F770" s="3" t="s">
        <v>944</v>
      </c>
      <c r="G770" s="4">
        <v>24</v>
      </c>
      <c r="H770" s="12">
        <v>4567.968</v>
      </c>
      <c r="I770" s="12">
        <v>1321.696102</v>
      </c>
      <c r="J770" s="13">
        <v>0.2893400527</v>
      </c>
      <c r="K770" s="13">
        <v>0.2893400527</v>
      </c>
      <c r="L770" s="12">
        <v>27.99</v>
      </c>
      <c r="M770" s="13">
        <v>0.1103474715</v>
      </c>
      <c r="N770" s="13">
        <v>0.024233161</v>
      </c>
      <c r="O770" s="13">
        <v>0.2636655948</v>
      </c>
      <c r="P770" s="13">
        <v>0.0416666666</v>
      </c>
      <c r="Q770" s="13">
        <v>0.0066639805</v>
      </c>
      <c r="R770" s="13">
        <v>0.1734732601</v>
      </c>
      <c r="S770" s="13">
        <v>0</v>
      </c>
      <c r="T770" s="13">
        <v>0.1160384661</v>
      </c>
      <c r="U770" s="13">
        <v>0.0113795843</v>
      </c>
      <c r="V770" s="13">
        <v>-0.0382130522</v>
      </c>
      <c r="W770" s="13">
        <v>0</v>
      </c>
      <c r="X770" s="13">
        <v>0</v>
      </c>
      <c r="Y770" s="13">
        <v>0</v>
      </c>
      <c r="Z770" s="13">
        <v>0.0014048143</v>
      </c>
    </row>
    <row r="771" s="2" customFormat="1" hidden="1" spans="1:26">
      <c r="A771" s="11" t="s">
        <v>935</v>
      </c>
      <c r="B771" s="11" t="s">
        <v>937</v>
      </c>
      <c r="C771" s="14" t="s">
        <v>374</v>
      </c>
      <c r="D771" s="14" t="s">
        <v>938</v>
      </c>
      <c r="E771" s="14" t="s">
        <v>939</v>
      </c>
      <c r="F771" s="3" t="s">
        <v>945</v>
      </c>
      <c r="G771" s="4">
        <v>0</v>
      </c>
      <c r="H771" s="12">
        <v>0</v>
      </c>
      <c r="I771" s="12">
        <v>-101.843029</v>
      </c>
      <c r="J771" s="13"/>
      <c r="K771" s="13"/>
      <c r="L771" s="12"/>
      <c r="M771" s="13"/>
      <c r="N771" s="13"/>
      <c r="O771" s="13"/>
      <c r="P771" s="13"/>
      <c r="Q771" s="13"/>
      <c r="R771" s="13"/>
      <c r="S771" s="13"/>
      <c r="T771" s="13"/>
      <c r="U771" s="13"/>
      <c r="V771" s="13"/>
      <c r="W771" s="13"/>
      <c r="X771" s="13"/>
      <c r="Y771" s="13"/>
      <c r="Z771" s="13"/>
    </row>
    <row r="772" s="2" customFormat="1" hidden="1" spans="1:26">
      <c r="A772" s="11" t="s">
        <v>935</v>
      </c>
      <c r="B772" s="11" t="s">
        <v>937</v>
      </c>
      <c r="C772" s="14" t="s">
        <v>378</v>
      </c>
      <c r="D772" s="14" t="s">
        <v>938</v>
      </c>
      <c r="E772" s="14" t="s">
        <v>939</v>
      </c>
      <c r="F772" s="3" t="s">
        <v>936</v>
      </c>
      <c r="G772" s="4">
        <v>244</v>
      </c>
      <c r="H772" s="12">
        <v>34712.844</v>
      </c>
      <c r="I772" s="12">
        <v>8864.81035</v>
      </c>
      <c r="J772" s="13">
        <v>0.2553755131</v>
      </c>
      <c r="K772" s="13">
        <v>0.2553755131</v>
      </c>
      <c r="L772" s="12">
        <v>20.9214344262</v>
      </c>
      <c r="M772" s="13">
        <v>0.1083868033</v>
      </c>
      <c r="N772" s="13">
        <v>0.0192285684</v>
      </c>
      <c r="O772" s="13">
        <v>0.2892339215</v>
      </c>
      <c r="P772" s="13">
        <v>0.0614809895</v>
      </c>
      <c r="Q772" s="13">
        <v>0.014616631</v>
      </c>
      <c r="R772" s="13">
        <v>0.1258710892</v>
      </c>
      <c r="S772" s="13">
        <v>0</v>
      </c>
      <c r="T772" s="13">
        <v>0.1093415451</v>
      </c>
      <c r="U772" s="13">
        <v>0.011177392</v>
      </c>
      <c r="V772" s="13">
        <v>0.0001136178</v>
      </c>
      <c r="W772" s="13">
        <v>-0.0025951931</v>
      </c>
      <c r="X772" s="13">
        <v>0.0008991483</v>
      </c>
      <c r="Y772" s="13">
        <v>0</v>
      </c>
      <c r="Z772" s="13">
        <v>0.006869973</v>
      </c>
    </row>
    <row r="773" s="2" customFormat="1" hidden="1" spans="1:26">
      <c r="A773" s="11" t="s">
        <v>935</v>
      </c>
      <c r="B773" s="11" t="s">
        <v>937</v>
      </c>
      <c r="C773" s="14" t="s">
        <v>378</v>
      </c>
      <c r="D773" s="14" t="s">
        <v>938</v>
      </c>
      <c r="E773" s="14" t="s">
        <v>939</v>
      </c>
      <c r="F773" s="3" t="s">
        <v>940</v>
      </c>
      <c r="G773" s="4">
        <v>4</v>
      </c>
      <c r="H773" s="12">
        <v>598.128</v>
      </c>
      <c r="I773" s="12">
        <v>-11.145483</v>
      </c>
      <c r="J773" s="13">
        <v>-0.0186339429</v>
      </c>
      <c r="K773" s="13">
        <v>-0.0186339429</v>
      </c>
      <c r="L773" s="12">
        <v>21.99</v>
      </c>
      <c r="M773" s="13">
        <v>0.1035442982</v>
      </c>
      <c r="N773" s="13">
        <v>0.0248678744</v>
      </c>
      <c r="O773" s="13">
        <v>0.2532969531</v>
      </c>
      <c r="P773" s="13">
        <v>0</v>
      </c>
      <c r="Q773" s="13">
        <v>0.0008192376</v>
      </c>
      <c r="R773" s="13">
        <v>0.5613072101</v>
      </c>
      <c r="S773" s="13">
        <v>0</v>
      </c>
      <c r="T773" s="13">
        <v>0.0637789904</v>
      </c>
      <c r="U773" s="13">
        <v>0.0106780087</v>
      </c>
      <c r="V773" s="13">
        <v>0</v>
      </c>
      <c r="W773" s="13">
        <v>0</v>
      </c>
      <c r="X773" s="13">
        <v>0</v>
      </c>
      <c r="Y773" s="13">
        <v>0</v>
      </c>
      <c r="Z773" s="13">
        <v>0.00034137</v>
      </c>
    </row>
    <row r="774" s="2" customFormat="1" hidden="1" spans="1:26">
      <c r="A774" s="11" t="s">
        <v>935</v>
      </c>
      <c r="B774" s="11" t="s">
        <v>937</v>
      </c>
      <c r="C774" s="14" t="s">
        <v>378</v>
      </c>
      <c r="D774" s="14" t="s">
        <v>938</v>
      </c>
      <c r="E774" s="14" t="s">
        <v>939</v>
      </c>
      <c r="F774" s="3" t="s">
        <v>941</v>
      </c>
      <c r="G774" s="4">
        <v>40</v>
      </c>
      <c r="H774" s="12">
        <v>5486.716</v>
      </c>
      <c r="I774" s="12">
        <v>746.635305</v>
      </c>
      <c r="J774" s="13">
        <v>0.1360805452</v>
      </c>
      <c r="K774" s="13">
        <v>0.1360805452</v>
      </c>
      <c r="L774" s="12">
        <v>20.17175</v>
      </c>
      <c r="M774" s="13">
        <v>0.1100556788</v>
      </c>
      <c r="N774" s="13">
        <v>0.0264316904</v>
      </c>
      <c r="O774" s="13">
        <v>0.2834905251</v>
      </c>
      <c r="P774" s="13">
        <v>0.0272534609</v>
      </c>
      <c r="Q774" s="13">
        <v>0.0129324178</v>
      </c>
      <c r="R774" s="13">
        <v>0.2932243075</v>
      </c>
      <c r="S774" s="13">
        <v>0</v>
      </c>
      <c r="T774" s="13">
        <v>0.0931252866</v>
      </c>
      <c r="U774" s="13">
        <v>0.011349495</v>
      </c>
      <c r="V774" s="13">
        <v>0.000718827</v>
      </c>
      <c r="W774" s="13">
        <v>0</v>
      </c>
      <c r="X774" s="13">
        <v>0</v>
      </c>
      <c r="Y774" s="13">
        <v>0</v>
      </c>
      <c r="Z774" s="13">
        <v>0.0053377652</v>
      </c>
    </row>
    <row r="775" s="2" customFormat="1" hidden="1" spans="1:26">
      <c r="A775" s="11" t="s">
        <v>935</v>
      </c>
      <c r="B775" s="11" t="s">
        <v>937</v>
      </c>
      <c r="C775" s="14" t="s">
        <v>378</v>
      </c>
      <c r="D775" s="14" t="s">
        <v>938</v>
      </c>
      <c r="E775" s="14" t="s">
        <v>939</v>
      </c>
      <c r="F775" s="3" t="s">
        <v>942</v>
      </c>
      <c r="G775" s="4">
        <v>73</v>
      </c>
      <c r="H775" s="12">
        <v>9882.236</v>
      </c>
      <c r="I775" s="12">
        <v>2227.254317</v>
      </c>
      <c r="J775" s="13">
        <v>0.2253795919</v>
      </c>
      <c r="K775" s="13">
        <v>0.2253795919</v>
      </c>
      <c r="L775" s="12">
        <v>19.9078082191</v>
      </c>
      <c r="M775" s="13">
        <v>0.1143741738</v>
      </c>
      <c r="N775" s="13">
        <v>0.018649651</v>
      </c>
      <c r="O775" s="13">
        <v>0.3079056197</v>
      </c>
      <c r="P775" s="13">
        <v>0.0825311194</v>
      </c>
      <c r="Q775" s="13">
        <v>0.0204244279</v>
      </c>
      <c r="R775" s="13">
        <v>0.1039654882</v>
      </c>
      <c r="S775" s="13">
        <v>0</v>
      </c>
      <c r="T775" s="13">
        <v>0.1121333269</v>
      </c>
      <c r="U775" s="13">
        <v>0.0117948399</v>
      </c>
      <c r="V775" s="13">
        <v>0</v>
      </c>
      <c r="W775" s="13">
        <v>-0.0036444883</v>
      </c>
      <c r="X775" s="13">
        <v>0</v>
      </c>
      <c r="Y775" s="13">
        <v>0</v>
      </c>
      <c r="Z775" s="13">
        <v>0.0064862492</v>
      </c>
    </row>
    <row r="776" s="2" customFormat="1" hidden="1" spans="1:26">
      <c r="A776" s="11" t="s">
        <v>935</v>
      </c>
      <c r="B776" s="11" t="s">
        <v>937</v>
      </c>
      <c r="C776" s="14" t="s">
        <v>378</v>
      </c>
      <c r="D776" s="14" t="s">
        <v>938</v>
      </c>
      <c r="E776" s="14" t="s">
        <v>939</v>
      </c>
      <c r="F776" s="3" t="s">
        <v>943</v>
      </c>
      <c r="G776" s="4">
        <v>71</v>
      </c>
      <c r="H776" s="12">
        <v>10371.972</v>
      </c>
      <c r="I776" s="12">
        <v>3618.725456</v>
      </c>
      <c r="J776" s="13">
        <v>0.3488946418</v>
      </c>
      <c r="K776" s="13">
        <v>0.3488946418</v>
      </c>
      <c r="L776" s="12">
        <v>21.4829577464</v>
      </c>
      <c r="M776" s="13">
        <v>0.1059881578</v>
      </c>
      <c r="N776" s="13">
        <v>0.0172822419</v>
      </c>
      <c r="O776" s="13">
        <v>0.2853359033</v>
      </c>
      <c r="P776" s="13">
        <v>0.0406283395</v>
      </c>
      <c r="Q776" s="13">
        <v>0.0147776617</v>
      </c>
      <c r="R776" s="13">
        <v>0.0496019897</v>
      </c>
      <c r="S776" s="13">
        <v>0</v>
      </c>
      <c r="T776" s="13">
        <v>0.1161549606</v>
      </c>
      <c r="U776" s="13">
        <v>0.0109300316</v>
      </c>
      <c r="V776" s="13">
        <v>0</v>
      </c>
      <c r="W776" s="13">
        <v>-0.0034724056</v>
      </c>
      <c r="X776" s="13">
        <v>0.0010030878</v>
      </c>
      <c r="Y776" s="13">
        <v>0</v>
      </c>
      <c r="Z776" s="13">
        <v>0.0128753893</v>
      </c>
    </row>
    <row r="777" s="2" customFormat="1" spans="1:26">
      <c r="A777" s="11" t="s">
        <v>935</v>
      </c>
      <c r="B777" s="11" t="s">
        <v>937</v>
      </c>
      <c r="C777" s="14" t="s">
        <v>378</v>
      </c>
      <c r="D777" s="14" t="s">
        <v>938</v>
      </c>
      <c r="E777" s="14" t="s">
        <v>939</v>
      </c>
      <c r="F777" s="3" t="s">
        <v>944</v>
      </c>
      <c r="G777" s="4">
        <v>54</v>
      </c>
      <c r="H777" s="12">
        <v>8074.728</v>
      </c>
      <c r="I777" s="12">
        <v>2239.644287</v>
      </c>
      <c r="J777" s="13">
        <v>0.2773646724</v>
      </c>
      <c r="K777" s="13">
        <v>0.2773646724</v>
      </c>
      <c r="L777" s="12">
        <v>21.99</v>
      </c>
      <c r="M777" s="13">
        <v>0.1035442982</v>
      </c>
      <c r="N777" s="13">
        <v>0.0172000645</v>
      </c>
      <c r="O777" s="13">
        <v>0.2783420073</v>
      </c>
      <c r="P777" s="13">
        <v>0.0925925925</v>
      </c>
      <c r="Q777" s="13">
        <v>0.0100097251</v>
      </c>
      <c r="R777" s="13">
        <v>0.0973528342</v>
      </c>
      <c r="S777" s="13">
        <v>0</v>
      </c>
      <c r="T777" s="13">
        <v>0.1111700604</v>
      </c>
      <c r="U777" s="13">
        <v>0.0106780083</v>
      </c>
      <c r="V777" s="13">
        <v>0</v>
      </c>
      <c r="W777" s="13">
        <v>-0.0022360067</v>
      </c>
      <c r="X777" s="13">
        <v>0.0025769287</v>
      </c>
      <c r="Y777" s="13">
        <v>0</v>
      </c>
      <c r="Z777" s="13">
        <v>0.0014048145</v>
      </c>
    </row>
    <row r="778" s="2" customFormat="1" hidden="1" spans="1:26">
      <c r="A778" s="11" t="s">
        <v>935</v>
      </c>
      <c r="B778" s="11" t="s">
        <v>937</v>
      </c>
      <c r="C778" s="14" t="s">
        <v>378</v>
      </c>
      <c r="D778" s="14" t="s">
        <v>938</v>
      </c>
      <c r="E778" s="14" t="s">
        <v>939</v>
      </c>
      <c r="F778" s="3" t="s">
        <v>945</v>
      </c>
      <c r="G778" s="4">
        <v>2</v>
      </c>
      <c r="H778" s="12">
        <v>299.064</v>
      </c>
      <c r="I778" s="12">
        <v>43.696468</v>
      </c>
      <c r="J778" s="13">
        <v>0.1461107589</v>
      </c>
      <c r="K778" s="13">
        <v>0.1461107589</v>
      </c>
      <c r="L778" s="12">
        <v>21.99</v>
      </c>
      <c r="M778" s="13">
        <v>0.1035442982</v>
      </c>
      <c r="N778" s="13">
        <v>0.0172000642</v>
      </c>
      <c r="O778" s="13">
        <v>0.2787630741</v>
      </c>
      <c r="P778" s="13">
        <v>0</v>
      </c>
      <c r="Q778" s="13">
        <v>0</v>
      </c>
      <c r="R778" s="13">
        <v>0.3236492255</v>
      </c>
      <c r="S778" s="13">
        <v>0</v>
      </c>
      <c r="T778" s="13">
        <v>0.1200545702</v>
      </c>
      <c r="U778" s="13">
        <v>0.0106780087</v>
      </c>
      <c r="V778" s="13">
        <v>0</v>
      </c>
      <c r="W778" s="13">
        <v>0</v>
      </c>
      <c r="X778" s="13">
        <v>0</v>
      </c>
      <c r="Y778" s="13">
        <v>0</v>
      </c>
      <c r="Z778" s="13">
        <v>0</v>
      </c>
    </row>
    <row r="779" s="2" customFormat="1" hidden="1" spans="1:26">
      <c r="A779" s="11" t="s">
        <v>935</v>
      </c>
      <c r="B779" s="11" t="s">
        <v>937</v>
      </c>
      <c r="C779" s="14" t="s">
        <v>382</v>
      </c>
      <c r="D779" s="14" t="s">
        <v>938</v>
      </c>
      <c r="E779" s="14" t="s">
        <v>939</v>
      </c>
      <c r="F779" s="3" t="s">
        <v>936</v>
      </c>
      <c r="G779" s="4">
        <v>42</v>
      </c>
      <c r="H779" s="12">
        <v>6392.884</v>
      </c>
      <c r="I779" s="12">
        <v>449.26399</v>
      </c>
      <c r="J779" s="13">
        <v>0.0702756361</v>
      </c>
      <c r="K779" s="13">
        <v>0.0702756361</v>
      </c>
      <c r="L779" s="12">
        <v>22.384047619</v>
      </c>
      <c r="M779" s="13">
        <v>0.1205065</v>
      </c>
      <c r="N779" s="13">
        <v>0.0565943173</v>
      </c>
      <c r="O779" s="13">
        <v>0.2855775265</v>
      </c>
      <c r="P779" s="13">
        <v>0</v>
      </c>
      <c r="Q779" s="13">
        <v>0.0393725434</v>
      </c>
      <c r="R779" s="13">
        <v>0.3093819191</v>
      </c>
      <c r="S779" s="13">
        <v>0</v>
      </c>
      <c r="T779" s="13">
        <v>0.0980821801</v>
      </c>
      <c r="U779" s="13">
        <v>0.0124272325</v>
      </c>
      <c r="V779" s="13">
        <v>0</v>
      </c>
      <c r="W779" s="13">
        <v>0</v>
      </c>
      <c r="X779" s="13">
        <v>0</v>
      </c>
      <c r="Y779" s="13">
        <v>0</v>
      </c>
      <c r="Z779" s="13">
        <v>0.0077821446</v>
      </c>
    </row>
    <row r="780" s="2" customFormat="1" hidden="1" spans="1:26">
      <c r="A780" s="11" t="s">
        <v>935</v>
      </c>
      <c r="B780" s="11" t="s">
        <v>937</v>
      </c>
      <c r="C780" s="14" t="s">
        <v>382</v>
      </c>
      <c r="D780" s="14" t="s">
        <v>938</v>
      </c>
      <c r="E780" s="14" t="s">
        <v>939</v>
      </c>
      <c r="F780" s="3" t="s">
        <v>941</v>
      </c>
      <c r="G780" s="4">
        <v>0</v>
      </c>
      <c r="H780" s="12">
        <v>0</v>
      </c>
      <c r="I780" s="12">
        <v>-36.04</v>
      </c>
      <c r="J780" s="13"/>
      <c r="K780" s="13"/>
      <c r="L780" s="12"/>
      <c r="M780" s="13"/>
      <c r="N780" s="13"/>
      <c r="O780" s="13"/>
      <c r="P780" s="13"/>
      <c r="Q780" s="13"/>
      <c r="R780" s="13"/>
      <c r="S780" s="13"/>
      <c r="T780" s="13"/>
      <c r="U780" s="13"/>
      <c r="V780" s="13"/>
      <c r="W780" s="13"/>
      <c r="X780" s="13"/>
      <c r="Y780" s="13"/>
      <c r="Z780" s="13"/>
    </row>
    <row r="781" s="2" customFormat="1" hidden="1" spans="1:26">
      <c r="A781" s="11" t="s">
        <v>935</v>
      </c>
      <c r="B781" s="11" t="s">
        <v>937</v>
      </c>
      <c r="C781" s="14" t="s">
        <v>382</v>
      </c>
      <c r="D781" s="14" t="s">
        <v>938</v>
      </c>
      <c r="E781" s="14" t="s">
        <v>939</v>
      </c>
      <c r="F781" s="3" t="s">
        <v>942</v>
      </c>
      <c r="G781" s="4">
        <v>9</v>
      </c>
      <c r="H781" s="12">
        <v>1321.308</v>
      </c>
      <c r="I781" s="12">
        <v>-767.508148</v>
      </c>
      <c r="J781" s="13">
        <v>-0.5808699773</v>
      </c>
      <c r="K781" s="13">
        <v>-0.5808699773</v>
      </c>
      <c r="L781" s="12">
        <v>21.59</v>
      </c>
      <c r="M781" s="13">
        <v>0.1249385472</v>
      </c>
      <c r="N781" s="13">
        <v>0.0298502166</v>
      </c>
      <c r="O781" s="13">
        <v>0.281200144</v>
      </c>
      <c r="P781" s="13">
        <v>0</v>
      </c>
      <c r="Q781" s="13">
        <v>0.0436819825</v>
      </c>
      <c r="R781" s="13">
        <v>1.0679332396</v>
      </c>
      <c r="S781" s="13">
        <v>0</v>
      </c>
      <c r="T781" s="13">
        <v>0.0138953219</v>
      </c>
      <c r="U781" s="13">
        <v>0.0128842873</v>
      </c>
      <c r="V781" s="13">
        <v>0</v>
      </c>
      <c r="W781" s="13">
        <v>0</v>
      </c>
      <c r="X781" s="13">
        <v>0</v>
      </c>
      <c r="Y781" s="13">
        <v>0</v>
      </c>
      <c r="Z781" s="13">
        <v>0.0064862378</v>
      </c>
    </row>
    <row r="782" s="2" customFormat="1" hidden="1" spans="1:26">
      <c r="A782" s="11" t="s">
        <v>935</v>
      </c>
      <c r="B782" s="11" t="s">
        <v>937</v>
      </c>
      <c r="C782" s="14" t="s">
        <v>382</v>
      </c>
      <c r="D782" s="14" t="s">
        <v>938</v>
      </c>
      <c r="E782" s="14" t="s">
        <v>939</v>
      </c>
      <c r="F782" s="3" t="s">
        <v>943</v>
      </c>
      <c r="G782" s="4">
        <v>19</v>
      </c>
      <c r="H782" s="12">
        <v>2968.948</v>
      </c>
      <c r="I782" s="12">
        <v>908.195541</v>
      </c>
      <c r="J782" s="13">
        <v>0.3058980962</v>
      </c>
      <c r="K782" s="13">
        <v>0.3058980962</v>
      </c>
      <c r="L782" s="12">
        <v>22.9794736842</v>
      </c>
      <c r="M782" s="13">
        <v>0.1173840303</v>
      </c>
      <c r="N782" s="13">
        <v>0.0625870705</v>
      </c>
      <c r="O782" s="13">
        <v>0.2819907926</v>
      </c>
      <c r="P782" s="13">
        <v>0</v>
      </c>
      <c r="Q782" s="13">
        <v>0.0176038222</v>
      </c>
      <c r="R782" s="13">
        <v>0.0695171377</v>
      </c>
      <c r="S782" s="13">
        <v>0</v>
      </c>
      <c r="T782" s="13">
        <v>0.1200384782</v>
      </c>
      <c r="U782" s="13">
        <v>0.0121052278</v>
      </c>
      <c r="V782" s="13">
        <v>0</v>
      </c>
      <c r="W782" s="13">
        <v>0</v>
      </c>
      <c r="X782" s="13">
        <v>0</v>
      </c>
      <c r="Y782" s="13">
        <v>0</v>
      </c>
      <c r="Z782" s="13">
        <v>0.012875344</v>
      </c>
    </row>
    <row r="783" s="2" customFormat="1" spans="1:26">
      <c r="A783" s="11" t="s">
        <v>935</v>
      </c>
      <c r="B783" s="11" t="s">
        <v>937</v>
      </c>
      <c r="C783" s="14" t="s">
        <v>382</v>
      </c>
      <c r="D783" s="14" t="s">
        <v>938</v>
      </c>
      <c r="E783" s="14" t="s">
        <v>939</v>
      </c>
      <c r="F783" s="3" t="s">
        <v>944</v>
      </c>
      <c r="G783" s="4">
        <v>14</v>
      </c>
      <c r="H783" s="12">
        <v>2102.628</v>
      </c>
      <c r="I783" s="12">
        <v>344.616597</v>
      </c>
      <c r="J783" s="13">
        <v>0.1638980347</v>
      </c>
      <c r="K783" s="13">
        <v>0.1638980347</v>
      </c>
      <c r="L783" s="12">
        <v>22.0864285714</v>
      </c>
      <c r="M783" s="13">
        <v>0.1221303492</v>
      </c>
      <c r="N783" s="13">
        <v>0.0649386472</v>
      </c>
      <c r="O783" s="13">
        <v>0.2933928398</v>
      </c>
      <c r="P783" s="13">
        <v>0</v>
      </c>
      <c r="Q783" s="13">
        <v>0.067402278</v>
      </c>
      <c r="R783" s="13">
        <v>0.1542551611</v>
      </c>
      <c r="S783" s="13">
        <v>0</v>
      </c>
      <c r="T783" s="13">
        <v>0.1199831829</v>
      </c>
      <c r="U783" s="13">
        <v>0.0125946919</v>
      </c>
      <c r="V783" s="13">
        <v>0</v>
      </c>
      <c r="W783" s="13">
        <v>0</v>
      </c>
      <c r="X783" s="13">
        <v>0</v>
      </c>
      <c r="Y783" s="13">
        <v>0</v>
      </c>
      <c r="Z783" s="13">
        <v>0.0014048148</v>
      </c>
    </row>
    <row r="784" s="2" customFormat="1" hidden="1" spans="1:26">
      <c r="A784" s="11" t="s">
        <v>935</v>
      </c>
      <c r="B784" s="11" t="s">
        <v>937</v>
      </c>
      <c r="C784" s="14" t="s">
        <v>386</v>
      </c>
      <c r="D784" s="14" t="s">
        <v>938</v>
      </c>
      <c r="E784" s="14" t="s">
        <v>939</v>
      </c>
      <c r="F784" s="3" t="s">
        <v>936</v>
      </c>
      <c r="G784" s="4">
        <v>47</v>
      </c>
      <c r="H784" s="12">
        <v>6565.672</v>
      </c>
      <c r="I784" s="12">
        <v>1184.907093</v>
      </c>
      <c r="J784" s="13">
        <v>0.1804700406</v>
      </c>
      <c r="K784" s="13">
        <v>0.1804700406</v>
      </c>
      <c r="L784" s="12">
        <v>20.5434042553</v>
      </c>
      <c r="M784" s="13">
        <v>0.107414682</v>
      </c>
      <c r="N784" s="13">
        <v>0.0505730679</v>
      </c>
      <c r="O784" s="13">
        <v>0.2993143733</v>
      </c>
      <c r="P784" s="13">
        <v>0.0434782608</v>
      </c>
      <c r="Q784" s="13">
        <v>0.0155966065</v>
      </c>
      <c r="R784" s="13">
        <v>0.18192497</v>
      </c>
      <c r="S784" s="13">
        <v>0</v>
      </c>
      <c r="T784" s="13">
        <v>0.1085713693</v>
      </c>
      <c r="U784" s="13">
        <v>0.0110771419</v>
      </c>
      <c r="V784" s="13">
        <v>0</v>
      </c>
      <c r="W784" s="13">
        <v>-0.0035657207</v>
      </c>
      <c r="X784" s="13">
        <v>0</v>
      </c>
      <c r="Y784" s="13">
        <v>0</v>
      </c>
      <c r="Z784" s="13">
        <v>0.0051452079</v>
      </c>
    </row>
    <row r="785" s="2" customFormat="1" hidden="1" spans="1:26">
      <c r="A785" s="11" t="s">
        <v>935</v>
      </c>
      <c r="B785" s="11" t="s">
        <v>937</v>
      </c>
      <c r="C785" s="14" t="s">
        <v>386</v>
      </c>
      <c r="D785" s="14" t="s">
        <v>938</v>
      </c>
      <c r="E785" s="14" t="s">
        <v>939</v>
      </c>
      <c r="F785" s="3" t="s">
        <v>943</v>
      </c>
      <c r="G785" s="4">
        <v>15</v>
      </c>
      <c r="H785" s="12">
        <v>2140.98</v>
      </c>
      <c r="I785" s="12">
        <v>426.976647</v>
      </c>
      <c r="J785" s="13">
        <v>0.1994304696</v>
      </c>
      <c r="K785" s="13">
        <v>0.1994304696</v>
      </c>
      <c r="L785" s="12">
        <v>20.99</v>
      </c>
      <c r="M785" s="13">
        <v>0.1051292632</v>
      </c>
      <c r="N785" s="13">
        <v>0.0294504385</v>
      </c>
      <c r="O785" s="13">
        <v>0.2966174368</v>
      </c>
      <c r="P785" s="13">
        <v>0</v>
      </c>
      <c r="Q785" s="13">
        <v>0.0032506543</v>
      </c>
      <c r="R785" s="13">
        <v>0.2294940153</v>
      </c>
      <c r="S785" s="13">
        <v>0</v>
      </c>
      <c r="T785" s="13">
        <v>0.1129109099</v>
      </c>
      <c r="U785" s="13">
        <v>0.0108414581</v>
      </c>
      <c r="V785" s="13">
        <v>0</v>
      </c>
      <c r="W785" s="13">
        <v>0</v>
      </c>
      <c r="X785" s="13">
        <v>0</v>
      </c>
      <c r="Y785" s="13">
        <v>0</v>
      </c>
      <c r="Z785" s="13">
        <v>0.0128753538</v>
      </c>
    </row>
    <row r="786" s="2" customFormat="1" spans="1:26">
      <c r="A786" s="11" t="s">
        <v>935</v>
      </c>
      <c r="B786" s="11" t="s">
        <v>937</v>
      </c>
      <c r="C786" s="14" t="s">
        <v>386</v>
      </c>
      <c r="D786" s="14" t="s">
        <v>938</v>
      </c>
      <c r="E786" s="14" t="s">
        <v>939</v>
      </c>
      <c r="F786" s="3" t="s">
        <v>944</v>
      </c>
      <c r="G786" s="4">
        <v>32</v>
      </c>
      <c r="H786" s="12">
        <v>4424.692</v>
      </c>
      <c r="I786" s="12">
        <v>767.213724</v>
      </c>
      <c r="J786" s="13">
        <v>0.1733937015</v>
      </c>
      <c r="K786" s="13">
        <v>0.1733937015</v>
      </c>
      <c r="L786" s="12">
        <v>20.3340625</v>
      </c>
      <c r="M786" s="13">
        <v>0.1085205297</v>
      </c>
      <c r="N786" s="13">
        <v>0.060793695</v>
      </c>
      <c r="O786" s="13">
        <v>0.3006193425</v>
      </c>
      <c r="P786" s="13">
        <v>0.064516129</v>
      </c>
      <c r="Q786" s="13">
        <v>0.0215704543</v>
      </c>
      <c r="R786" s="13">
        <v>0.156809628</v>
      </c>
      <c r="S786" s="13">
        <v>0</v>
      </c>
      <c r="T786" s="13">
        <v>0.1064715916</v>
      </c>
      <c r="U786" s="13">
        <v>0.0111911825</v>
      </c>
      <c r="V786" s="13">
        <v>0</v>
      </c>
      <c r="W786" s="13">
        <v>-0.0052910695</v>
      </c>
      <c r="X786" s="13">
        <v>0</v>
      </c>
      <c r="Y786" s="13">
        <v>0</v>
      </c>
      <c r="Z786" s="13">
        <v>0.0014048148</v>
      </c>
    </row>
    <row r="787" s="2" customFormat="1" hidden="1" spans="1:26">
      <c r="A787" s="11" t="s">
        <v>935</v>
      </c>
      <c r="B787" s="11" t="s">
        <v>937</v>
      </c>
      <c r="C787" s="14" t="s">
        <v>386</v>
      </c>
      <c r="D787" s="14" t="s">
        <v>938</v>
      </c>
      <c r="E787" s="14" t="s">
        <v>939</v>
      </c>
      <c r="F787" s="3" t="s">
        <v>945</v>
      </c>
      <c r="G787" s="4">
        <v>0</v>
      </c>
      <c r="H787" s="12">
        <v>0</v>
      </c>
      <c r="I787" s="12">
        <v>-9.283278</v>
      </c>
      <c r="J787" s="13"/>
      <c r="K787" s="13"/>
      <c r="L787" s="12"/>
      <c r="M787" s="13"/>
      <c r="N787" s="13"/>
      <c r="O787" s="13"/>
      <c r="P787" s="13"/>
      <c r="Q787" s="13"/>
      <c r="R787" s="13"/>
      <c r="S787" s="13"/>
      <c r="T787" s="13"/>
      <c r="U787" s="13"/>
      <c r="V787" s="13"/>
      <c r="W787" s="13"/>
      <c r="X787" s="13"/>
      <c r="Y787" s="13"/>
      <c r="Z787" s="13"/>
    </row>
    <row r="788" s="2" customFormat="1" hidden="1" spans="1:26">
      <c r="A788" s="11" t="s">
        <v>935</v>
      </c>
      <c r="B788" s="11" t="s">
        <v>937</v>
      </c>
      <c r="C788" s="14" t="s">
        <v>390</v>
      </c>
      <c r="D788" s="14" t="s">
        <v>938</v>
      </c>
      <c r="E788" s="14" t="s">
        <v>939</v>
      </c>
      <c r="F788" s="3" t="s">
        <v>936</v>
      </c>
      <c r="G788" s="4">
        <v>11</v>
      </c>
      <c r="H788" s="12">
        <v>2039.252</v>
      </c>
      <c r="I788" s="12">
        <v>-784.036514</v>
      </c>
      <c r="J788" s="13">
        <v>-0.3844725977</v>
      </c>
      <c r="K788" s="13">
        <v>-0.3844725977</v>
      </c>
      <c r="L788" s="12">
        <v>27.2627272727</v>
      </c>
      <c r="M788" s="13">
        <v>0.1068897904</v>
      </c>
      <c r="N788" s="13">
        <v>0.0331937548</v>
      </c>
      <c r="O788" s="13">
        <v>0.2717663143</v>
      </c>
      <c r="P788" s="13">
        <v>0</v>
      </c>
      <c r="Q788" s="13">
        <v>0.2318270723</v>
      </c>
      <c r="R788" s="13">
        <v>0.6350833834</v>
      </c>
      <c r="S788" s="13">
        <v>0</v>
      </c>
      <c r="T788" s="13">
        <v>0.0868318383</v>
      </c>
      <c r="U788" s="13">
        <v>0.0110230113</v>
      </c>
      <c r="V788" s="13">
        <v>0</v>
      </c>
      <c r="W788" s="13">
        <v>0</v>
      </c>
      <c r="X788" s="13">
        <v>0</v>
      </c>
      <c r="Y788" s="13">
        <v>0</v>
      </c>
      <c r="Z788" s="13">
        <v>0.0078574325</v>
      </c>
    </row>
    <row r="789" s="2" customFormat="1" hidden="1" spans="1:26">
      <c r="A789" s="11" t="s">
        <v>935</v>
      </c>
      <c r="B789" s="11" t="s">
        <v>937</v>
      </c>
      <c r="C789" s="14" t="s">
        <v>390</v>
      </c>
      <c r="D789" s="14" t="s">
        <v>938</v>
      </c>
      <c r="E789" s="14" t="s">
        <v>939</v>
      </c>
      <c r="F789" s="3" t="s">
        <v>941</v>
      </c>
      <c r="G789" s="4">
        <v>1</v>
      </c>
      <c r="H789" s="12">
        <v>176.732</v>
      </c>
      <c r="I789" s="12">
        <v>65.112458</v>
      </c>
      <c r="J789" s="13">
        <v>0.3684248353</v>
      </c>
      <c r="K789" s="13">
        <v>0.3684248353</v>
      </c>
      <c r="L789" s="12">
        <v>25.99</v>
      </c>
      <c r="M789" s="13">
        <v>0.112124171</v>
      </c>
      <c r="N789" s="13">
        <v>0.0365927449</v>
      </c>
      <c r="O789" s="13">
        <v>0.2654867256</v>
      </c>
      <c r="P789" s="13">
        <v>0</v>
      </c>
      <c r="Q789" s="13">
        <v>0.001791164</v>
      </c>
      <c r="R789" s="13">
        <v>0.0786333884</v>
      </c>
      <c r="S789" s="13">
        <v>0</v>
      </c>
      <c r="T789" s="13">
        <v>0.1200461716</v>
      </c>
      <c r="U789" s="13">
        <v>0.0115628069</v>
      </c>
      <c r="V789" s="13">
        <v>0</v>
      </c>
      <c r="W789" s="13">
        <v>0</v>
      </c>
      <c r="X789" s="13">
        <v>0</v>
      </c>
      <c r="Y789" s="13">
        <v>0</v>
      </c>
      <c r="Z789" s="13">
        <v>0.0053379919</v>
      </c>
    </row>
    <row r="790" s="2" customFormat="1" hidden="1" spans="1:26">
      <c r="A790" s="11" t="s">
        <v>935</v>
      </c>
      <c r="B790" s="11" t="s">
        <v>937</v>
      </c>
      <c r="C790" s="14" t="s">
        <v>390</v>
      </c>
      <c r="D790" s="14" t="s">
        <v>938</v>
      </c>
      <c r="E790" s="14" t="s">
        <v>939</v>
      </c>
      <c r="F790" s="3" t="s">
        <v>942</v>
      </c>
      <c r="G790" s="4">
        <v>4</v>
      </c>
      <c r="H790" s="12">
        <v>734.128</v>
      </c>
      <c r="I790" s="12">
        <v>-338.295988</v>
      </c>
      <c r="J790" s="13">
        <v>-0.4608133567</v>
      </c>
      <c r="K790" s="13">
        <v>-0.4608133567</v>
      </c>
      <c r="L790" s="12">
        <v>26.99</v>
      </c>
      <c r="M790" s="13">
        <v>0.1079698853</v>
      </c>
      <c r="N790" s="13">
        <v>0.0352369559</v>
      </c>
      <c r="O790" s="13">
        <v>0.2763986661</v>
      </c>
      <c r="P790" s="13">
        <v>0</v>
      </c>
      <c r="Q790" s="13">
        <v>0.1535005489</v>
      </c>
      <c r="R790" s="13">
        <v>0.8067298576</v>
      </c>
      <c r="S790" s="13">
        <v>0</v>
      </c>
      <c r="T790" s="13">
        <v>0.0633567988</v>
      </c>
      <c r="U790" s="13">
        <v>0.0111343961</v>
      </c>
      <c r="V790" s="13">
        <v>0</v>
      </c>
      <c r="W790" s="13">
        <v>0</v>
      </c>
      <c r="X790" s="13">
        <v>0</v>
      </c>
      <c r="Y790" s="13">
        <v>0</v>
      </c>
      <c r="Z790" s="13">
        <v>0.0064862476</v>
      </c>
    </row>
    <row r="791" s="2" customFormat="1" hidden="1" spans="1:26">
      <c r="A791" s="11" t="s">
        <v>935</v>
      </c>
      <c r="B791" s="11" t="s">
        <v>937</v>
      </c>
      <c r="C791" s="14" t="s">
        <v>390</v>
      </c>
      <c r="D791" s="14" t="s">
        <v>938</v>
      </c>
      <c r="E791" s="14" t="s">
        <v>939</v>
      </c>
      <c r="F791" s="3" t="s">
        <v>943</v>
      </c>
      <c r="G791" s="4">
        <v>4</v>
      </c>
      <c r="H791" s="12">
        <v>761.328</v>
      </c>
      <c r="I791" s="12">
        <v>-230.326528</v>
      </c>
      <c r="J791" s="13">
        <v>-0.3025325851</v>
      </c>
      <c r="K791" s="13">
        <v>-0.3025325851</v>
      </c>
      <c r="L791" s="12">
        <v>27.99</v>
      </c>
      <c r="M791" s="13">
        <v>0.1041124403</v>
      </c>
      <c r="N791" s="13">
        <v>0.0309589611</v>
      </c>
      <c r="O791" s="13">
        <v>0.2665237584</v>
      </c>
      <c r="P791" s="13">
        <v>0</v>
      </c>
      <c r="Q791" s="13">
        <v>0.2410539793</v>
      </c>
      <c r="R791" s="13">
        <v>0.5505264129</v>
      </c>
      <c r="S791" s="13">
        <v>0</v>
      </c>
      <c r="T791" s="13">
        <v>0.0857449088</v>
      </c>
      <c r="U791" s="13">
        <v>0.0107365971</v>
      </c>
      <c r="V791" s="13">
        <v>0</v>
      </c>
      <c r="W791" s="13">
        <v>0</v>
      </c>
      <c r="X791" s="13">
        <v>0</v>
      </c>
      <c r="Y791" s="13">
        <v>0</v>
      </c>
      <c r="Z791" s="13">
        <v>0.0128755267</v>
      </c>
    </row>
    <row r="792" s="2" customFormat="1" spans="1:26">
      <c r="A792" s="11" t="s">
        <v>935</v>
      </c>
      <c r="B792" s="11" t="s">
        <v>937</v>
      </c>
      <c r="C792" s="14" t="s">
        <v>390</v>
      </c>
      <c r="D792" s="14" t="s">
        <v>938</v>
      </c>
      <c r="E792" s="14" t="s">
        <v>939</v>
      </c>
      <c r="F792" s="3" t="s">
        <v>944</v>
      </c>
      <c r="G792" s="4">
        <v>2</v>
      </c>
      <c r="H792" s="12">
        <v>367.064</v>
      </c>
      <c r="I792" s="12">
        <v>-246.396753</v>
      </c>
      <c r="J792" s="13">
        <v>-0.6712637387</v>
      </c>
      <c r="K792" s="13">
        <v>-0.6712637387</v>
      </c>
      <c r="L792" s="12">
        <v>26.99</v>
      </c>
      <c r="M792" s="13">
        <v>0.1079698853</v>
      </c>
      <c r="N792" s="13">
        <v>0.0321060142</v>
      </c>
      <c r="O792" s="13">
        <v>0.2763986661</v>
      </c>
      <c r="P792" s="13">
        <v>0</v>
      </c>
      <c r="Q792" s="13">
        <v>0.480099029</v>
      </c>
      <c r="R792" s="13">
        <v>0.6421064746</v>
      </c>
      <c r="S792" s="13">
        <v>0</v>
      </c>
      <c r="T792" s="13">
        <v>0.1200444609</v>
      </c>
      <c r="U792" s="13">
        <v>0.0111343961</v>
      </c>
      <c r="V792" s="13">
        <v>0</v>
      </c>
      <c r="W792" s="13">
        <v>0</v>
      </c>
      <c r="X792" s="13">
        <v>0</v>
      </c>
      <c r="Y792" s="13">
        <v>0</v>
      </c>
      <c r="Z792" s="13">
        <v>0.0014048122</v>
      </c>
    </row>
    <row r="793" s="2" customFormat="1" hidden="1" spans="1:26">
      <c r="A793" s="11" t="s">
        <v>935</v>
      </c>
      <c r="B793" s="11" t="s">
        <v>937</v>
      </c>
      <c r="C793" s="14" t="s">
        <v>390</v>
      </c>
      <c r="D793" s="14" t="s">
        <v>938</v>
      </c>
      <c r="E793" s="14" t="s">
        <v>939</v>
      </c>
      <c r="F793" s="3" t="s">
        <v>945</v>
      </c>
      <c r="G793" s="4">
        <v>0</v>
      </c>
      <c r="H793" s="12">
        <v>0</v>
      </c>
      <c r="I793" s="12">
        <v>-34.129703</v>
      </c>
      <c r="J793" s="13"/>
      <c r="K793" s="13"/>
      <c r="L793" s="12"/>
      <c r="M793" s="13"/>
      <c r="N793" s="13"/>
      <c r="O793" s="13"/>
      <c r="P793" s="13"/>
      <c r="Q793" s="13"/>
      <c r="R793" s="13"/>
      <c r="S793" s="13"/>
      <c r="T793" s="13"/>
      <c r="U793" s="13"/>
      <c r="V793" s="13"/>
      <c r="W793" s="13"/>
      <c r="X793" s="13"/>
      <c r="Y793" s="13"/>
      <c r="Z793" s="13"/>
    </row>
    <row r="794" s="2" customFormat="1" hidden="1" spans="1:26">
      <c r="A794" s="11" t="s">
        <v>935</v>
      </c>
      <c r="B794" s="11" t="s">
        <v>937</v>
      </c>
      <c r="C794" s="14" t="s">
        <v>394</v>
      </c>
      <c r="D794" s="14" t="s">
        <v>938</v>
      </c>
      <c r="E794" s="14" t="s">
        <v>939</v>
      </c>
      <c r="F794" s="3" t="s">
        <v>936</v>
      </c>
      <c r="G794" s="4">
        <v>143</v>
      </c>
      <c r="H794" s="12">
        <v>22539.212</v>
      </c>
      <c r="I794" s="12">
        <v>3377.782548</v>
      </c>
      <c r="J794" s="13">
        <v>0.1498624951</v>
      </c>
      <c r="K794" s="13">
        <v>0.1498624951</v>
      </c>
      <c r="L794" s="12">
        <v>23.1789510489</v>
      </c>
      <c r="M794" s="13">
        <v>0.1259747916</v>
      </c>
      <c r="N794" s="13">
        <v>0.0561124093</v>
      </c>
      <c r="O794" s="13">
        <v>0.2920994753</v>
      </c>
      <c r="P794" s="13">
        <v>0.1197221979</v>
      </c>
      <c r="Q794" s="13">
        <v>0.0091742833</v>
      </c>
      <c r="R794" s="13">
        <v>0.1199061799</v>
      </c>
      <c r="S794" s="13">
        <v>0</v>
      </c>
      <c r="T794" s="13">
        <v>0.1073978983</v>
      </c>
      <c r="U794" s="13">
        <v>0.0129911539</v>
      </c>
      <c r="V794" s="13">
        <v>0</v>
      </c>
      <c r="W794" s="13">
        <v>-0.0012805444</v>
      </c>
      <c r="X794" s="13">
        <v>0.0020545527</v>
      </c>
      <c r="Y794" s="13">
        <v>0</v>
      </c>
      <c r="Z794" s="13">
        <v>0.0059851065</v>
      </c>
    </row>
    <row r="795" s="2" customFormat="1" hidden="1" spans="1:26">
      <c r="A795" s="11" t="s">
        <v>935</v>
      </c>
      <c r="B795" s="11" t="s">
        <v>937</v>
      </c>
      <c r="C795" s="14" t="s">
        <v>394</v>
      </c>
      <c r="D795" s="14" t="s">
        <v>938</v>
      </c>
      <c r="E795" s="14" t="s">
        <v>939</v>
      </c>
      <c r="F795" s="3" t="s">
        <v>942</v>
      </c>
      <c r="G795" s="4">
        <v>6</v>
      </c>
      <c r="H795" s="12">
        <v>1060.392</v>
      </c>
      <c r="I795" s="12">
        <v>369.796721</v>
      </c>
      <c r="J795" s="13">
        <v>0.3487358646</v>
      </c>
      <c r="K795" s="13">
        <v>0.3487358646</v>
      </c>
      <c r="L795" s="12">
        <v>25.99</v>
      </c>
      <c r="M795" s="13">
        <v>0.1123495009</v>
      </c>
      <c r="N795" s="13">
        <v>0.0290555021</v>
      </c>
      <c r="O795" s="13">
        <v>0.2427856868</v>
      </c>
      <c r="P795" s="13">
        <v>0</v>
      </c>
      <c r="Q795" s="13">
        <v>0.0003234247</v>
      </c>
      <c r="R795" s="13">
        <v>0.1286315079</v>
      </c>
      <c r="S795" s="13">
        <v>0</v>
      </c>
      <c r="T795" s="13">
        <v>0.1200461716</v>
      </c>
      <c r="U795" s="13">
        <v>0.0115860455</v>
      </c>
      <c r="V795" s="13">
        <v>0</v>
      </c>
      <c r="W795" s="13">
        <v>0</v>
      </c>
      <c r="X795" s="13">
        <v>0</v>
      </c>
      <c r="Y795" s="13">
        <v>0</v>
      </c>
      <c r="Z795" s="13">
        <v>0.0064862956</v>
      </c>
    </row>
    <row r="796" s="2" customFormat="1" hidden="1" spans="1:26">
      <c r="A796" s="11" t="s">
        <v>935</v>
      </c>
      <c r="B796" s="11" t="s">
        <v>937</v>
      </c>
      <c r="C796" s="14" t="s">
        <v>394</v>
      </c>
      <c r="D796" s="14" t="s">
        <v>938</v>
      </c>
      <c r="E796" s="14" t="s">
        <v>939</v>
      </c>
      <c r="F796" s="3" t="s">
        <v>943</v>
      </c>
      <c r="G796" s="4">
        <v>54</v>
      </c>
      <c r="H796" s="12">
        <v>8530.328</v>
      </c>
      <c r="I796" s="12">
        <v>1319.833786</v>
      </c>
      <c r="J796" s="13">
        <v>0.1547225131</v>
      </c>
      <c r="K796" s="13">
        <v>0.1547225131</v>
      </c>
      <c r="L796" s="12">
        <v>23.2307407407</v>
      </c>
      <c r="M796" s="13">
        <v>0.1256939484</v>
      </c>
      <c r="N796" s="13">
        <v>0.0570156668</v>
      </c>
      <c r="O796" s="13">
        <v>0.2960875595</v>
      </c>
      <c r="P796" s="13">
        <v>0.0940245205</v>
      </c>
      <c r="Q796" s="13">
        <v>0.0082126779</v>
      </c>
      <c r="R796" s="13">
        <v>0.1305981827</v>
      </c>
      <c r="S796" s="13">
        <v>0</v>
      </c>
      <c r="T796" s="13">
        <v>0.1078073433</v>
      </c>
      <c r="U796" s="13">
        <v>0.0129621919</v>
      </c>
      <c r="V796" s="13">
        <v>0</v>
      </c>
      <c r="W796" s="13">
        <v>0</v>
      </c>
      <c r="X796" s="13">
        <v>0</v>
      </c>
      <c r="Y796" s="13">
        <v>0</v>
      </c>
      <c r="Z796" s="13">
        <v>0.0128753952</v>
      </c>
    </row>
    <row r="797" s="2" customFormat="1" spans="1:26">
      <c r="A797" s="11" t="s">
        <v>935</v>
      </c>
      <c r="B797" s="11" t="s">
        <v>937</v>
      </c>
      <c r="C797" s="14" t="s">
        <v>394</v>
      </c>
      <c r="D797" s="14" t="s">
        <v>938</v>
      </c>
      <c r="E797" s="14" t="s">
        <v>939</v>
      </c>
      <c r="F797" s="3" t="s">
        <v>944</v>
      </c>
      <c r="G797" s="4">
        <v>83</v>
      </c>
      <c r="H797" s="12">
        <v>12948.492</v>
      </c>
      <c r="I797" s="12">
        <v>1850.50159</v>
      </c>
      <c r="J797" s="13">
        <v>0.1429125175</v>
      </c>
      <c r="K797" s="13">
        <v>0.1429125175</v>
      </c>
      <c r="L797" s="12">
        <v>22.9420481927</v>
      </c>
      <c r="M797" s="13">
        <v>0.1272756253</v>
      </c>
      <c r="N797" s="13">
        <v>0.0577331267</v>
      </c>
      <c r="O797" s="13">
        <v>0.2935106265</v>
      </c>
      <c r="P797" s="13">
        <v>0.1328071253</v>
      </c>
      <c r="Q797" s="13">
        <v>0.0105326028</v>
      </c>
      <c r="R797" s="13">
        <v>0.1121478589</v>
      </c>
      <c r="S797" s="13">
        <v>0</v>
      </c>
      <c r="T797" s="13">
        <v>0.1074052484</v>
      </c>
      <c r="U797" s="13">
        <v>0.0131253025</v>
      </c>
      <c r="V797" s="13">
        <v>0</v>
      </c>
      <c r="W797" s="13">
        <v>-0.0022290211</v>
      </c>
      <c r="X797" s="13">
        <v>0.0033741728</v>
      </c>
      <c r="Y797" s="13">
        <v>0</v>
      </c>
      <c r="Z797" s="13">
        <v>0.001404814</v>
      </c>
    </row>
    <row r="798" s="2" customFormat="1" hidden="1" spans="1:26">
      <c r="A798" s="11" t="s">
        <v>935</v>
      </c>
      <c r="B798" s="11" t="s">
        <v>937</v>
      </c>
      <c r="C798" s="14" t="s">
        <v>394</v>
      </c>
      <c r="D798" s="14" t="s">
        <v>938</v>
      </c>
      <c r="E798" s="14" t="s">
        <v>939</v>
      </c>
      <c r="F798" s="3" t="s">
        <v>945</v>
      </c>
      <c r="G798" s="4">
        <v>0</v>
      </c>
      <c r="H798" s="12">
        <v>0</v>
      </c>
      <c r="I798" s="12">
        <v>-162.349549</v>
      </c>
      <c r="J798" s="13"/>
      <c r="K798" s="13"/>
      <c r="L798" s="12"/>
      <c r="M798" s="13"/>
      <c r="N798" s="13"/>
      <c r="O798" s="13"/>
      <c r="P798" s="13"/>
      <c r="Q798" s="13"/>
      <c r="R798" s="13"/>
      <c r="S798" s="13"/>
      <c r="T798" s="13"/>
      <c r="U798" s="13"/>
      <c r="V798" s="13"/>
      <c r="W798" s="13"/>
      <c r="X798" s="13"/>
      <c r="Y798" s="13"/>
      <c r="Z798" s="13"/>
    </row>
    <row r="799" s="2" customFormat="1" hidden="1" spans="1:26">
      <c r="A799" s="11" t="s">
        <v>935</v>
      </c>
      <c r="B799" s="11" t="s">
        <v>937</v>
      </c>
      <c r="C799" s="14" t="s">
        <v>398</v>
      </c>
      <c r="D799" s="14" t="s">
        <v>938</v>
      </c>
      <c r="E799" s="14" t="s">
        <v>939</v>
      </c>
      <c r="F799" s="3" t="s">
        <v>936</v>
      </c>
      <c r="G799" s="4">
        <v>284</v>
      </c>
      <c r="H799" s="12">
        <v>45384.56</v>
      </c>
      <c r="I799" s="12">
        <v>9242.2109</v>
      </c>
      <c r="J799" s="13">
        <v>0.2036421835</v>
      </c>
      <c r="K799" s="13">
        <v>0.2036421835</v>
      </c>
      <c r="L799" s="12">
        <v>23.5007042253</v>
      </c>
      <c r="M799" s="13">
        <v>0.109807278</v>
      </c>
      <c r="N799" s="13">
        <v>0.0324873392</v>
      </c>
      <c r="O799" s="13">
        <v>0.3181444967</v>
      </c>
      <c r="P799" s="13">
        <v>0.0275568607</v>
      </c>
      <c r="Q799" s="13">
        <v>0.0214521047</v>
      </c>
      <c r="R799" s="13">
        <v>0.1573478738</v>
      </c>
      <c r="S799" s="13">
        <v>0</v>
      </c>
      <c r="T799" s="13">
        <v>0.1117886787</v>
      </c>
      <c r="U799" s="13">
        <v>0.011323876</v>
      </c>
      <c r="V799" s="13">
        <v>9.2895e-5</v>
      </c>
      <c r="W799" s="13">
        <v>-0.0009332797</v>
      </c>
      <c r="X799" s="13">
        <v>0.0010203469</v>
      </c>
      <c r="Y799" s="13">
        <v>0</v>
      </c>
      <c r="Z799" s="13">
        <v>0.0062693457</v>
      </c>
    </row>
    <row r="800" s="2" customFormat="1" hidden="1" spans="1:26">
      <c r="A800" s="11" t="s">
        <v>935</v>
      </c>
      <c r="B800" s="11" t="s">
        <v>937</v>
      </c>
      <c r="C800" s="14" t="s">
        <v>398</v>
      </c>
      <c r="D800" s="14" t="s">
        <v>938</v>
      </c>
      <c r="E800" s="14" t="s">
        <v>939</v>
      </c>
      <c r="F800" s="3" t="s">
        <v>940</v>
      </c>
      <c r="G800" s="4">
        <v>17</v>
      </c>
      <c r="H800" s="12">
        <v>2380.204</v>
      </c>
      <c r="I800" s="12">
        <v>-523.266391</v>
      </c>
      <c r="J800" s="13">
        <v>-0.2198409846</v>
      </c>
      <c r="K800" s="13">
        <v>-0.2198409846</v>
      </c>
      <c r="L800" s="12">
        <v>20.59</v>
      </c>
      <c r="M800" s="13">
        <v>0.1257730408</v>
      </c>
      <c r="N800" s="13">
        <v>0.0519615175</v>
      </c>
      <c r="O800" s="13">
        <v>0.3462846041</v>
      </c>
      <c r="P800" s="13">
        <v>0</v>
      </c>
      <c r="Q800" s="13">
        <v>0.0008192268</v>
      </c>
      <c r="R800" s="13">
        <v>0.6280097461</v>
      </c>
      <c r="S800" s="13">
        <v>0</v>
      </c>
      <c r="T800" s="13">
        <v>0.053681113</v>
      </c>
      <c r="U800" s="13">
        <v>0.0129703453</v>
      </c>
      <c r="V800" s="13">
        <v>0</v>
      </c>
      <c r="W800" s="13">
        <v>0</v>
      </c>
      <c r="X800" s="13">
        <v>0</v>
      </c>
      <c r="Y800" s="13">
        <v>0</v>
      </c>
      <c r="Z800" s="13">
        <v>0.0003413904</v>
      </c>
    </row>
    <row r="801" s="2" customFormat="1" hidden="1" spans="1:26">
      <c r="A801" s="11" t="s">
        <v>935</v>
      </c>
      <c r="B801" s="11" t="s">
        <v>937</v>
      </c>
      <c r="C801" s="14" t="s">
        <v>398</v>
      </c>
      <c r="D801" s="14" t="s">
        <v>938</v>
      </c>
      <c r="E801" s="14" t="s">
        <v>939</v>
      </c>
      <c r="F801" s="3" t="s">
        <v>941</v>
      </c>
      <c r="G801" s="4">
        <v>48</v>
      </c>
      <c r="H801" s="12">
        <v>6720.576</v>
      </c>
      <c r="I801" s="12">
        <v>980.855801</v>
      </c>
      <c r="J801" s="13">
        <v>0.1459481748</v>
      </c>
      <c r="K801" s="13">
        <v>0.1459481748</v>
      </c>
      <c r="L801" s="12">
        <v>20.59</v>
      </c>
      <c r="M801" s="13">
        <v>0.1257730404</v>
      </c>
      <c r="N801" s="13">
        <v>0.0519615175</v>
      </c>
      <c r="O801" s="13">
        <v>0.3604601748</v>
      </c>
      <c r="P801" s="13">
        <v>0.0208333333</v>
      </c>
      <c r="Q801" s="13">
        <v>0.0247671479</v>
      </c>
      <c r="R801" s="13">
        <v>0.1387867643</v>
      </c>
      <c r="S801" s="13">
        <v>0</v>
      </c>
      <c r="T801" s="13">
        <v>0.1131617289</v>
      </c>
      <c r="U801" s="13">
        <v>0.0129703453</v>
      </c>
      <c r="V801" s="13">
        <v>0</v>
      </c>
      <c r="W801" s="13">
        <v>0</v>
      </c>
      <c r="X801" s="13">
        <v>0</v>
      </c>
      <c r="Y801" s="13">
        <v>0</v>
      </c>
      <c r="Z801" s="13">
        <v>0.0053377722</v>
      </c>
    </row>
    <row r="802" s="2" customFormat="1" hidden="1" spans="1:26">
      <c r="A802" s="11" t="s">
        <v>935</v>
      </c>
      <c r="B802" s="11" t="s">
        <v>937</v>
      </c>
      <c r="C802" s="14" t="s">
        <v>398</v>
      </c>
      <c r="D802" s="14" t="s">
        <v>938</v>
      </c>
      <c r="E802" s="14" t="s">
        <v>939</v>
      </c>
      <c r="F802" s="3" t="s">
        <v>942</v>
      </c>
      <c r="G802" s="4">
        <v>82</v>
      </c>
      <c r="H802" s="12">
        <v>11353.416</v>
      </c>
      <c r="I802" s="12">
        <v>1479.440906</v>
      </c>
      <c r="J802" s="13">
        <v>0.1303079976</v>
      </c>
      <c r="K802" s="13">
        <v>0.1303079976</v>
      </c>
      <c r="L802" s="12">
        <v>20.3612195121</v>
      </c>
      <c r="M802" s="13">
        <v>0.1256351861</v>
      </c>
      <c r="N802" s="13">
        <v>0.0254592371</v>
      </c>
      <c r="O802" s="13">
        <v>0.3662809501</v>
      </c>
      <c r="P802" s="13">
        <v>0.0369964423</v>
      </c>
      <c r="Q802" s="13">
        <v>0.0324882216</v>
      </c>
      <c r="R802" s="13">
        <v>0.1539481942</v>
      </c>
      <c r="S802" s="13">
        <v>0</v>
      </c>
      <c r="T802" s="13">
        <v>0.1109354224</v>
      </c>
      <c r="U802" s="13">
        <v>0.0129561291</v>
      </c>
      <c r="V802" s="13">
        <v>0.0003713419</v>
      </c>
      <c r="W802" s="13">
        <v>-0.0018653631</v>
      </c>
      <c r="X802" s="13">
        <v>0</v>
      </c>
      <c r="Y802" s="13">
        <v>0</v>
      </c>
      <c r="Z802" s="13">
        <v>0.0064862402</v>
      </c>
    </row>
    <row r="803" s="2" customFormat="1" hidden="1" spans="1:26">
      <c r="A803" s="11" t="s">
        <v>935</v>
      </c>
      <c r="B803" s="11" t="s">
        <v>937</v>
      </c>
      <c r="C803" s="14" t="s">
        <v>398</v>
      </c>
      <c r="D803" s="14" t="s">
        <v>938</v>
      </c>
      <c r="E803" s="14" t="s">
        <v>939</v>
      </c>
      <c r="F803" s="3" t="s">
        <v>943</v>
      </c>
      <c r="G803" s="4">
        <v>69</v>
      </c>
      <c r="H803" s="12">
        <v>12225.788</v>
      </c>
      <c r="I803" s="12">
        <v>3480.29773</v>
      </c>
      <c r="J803" s="13">
        <v>0.2846685816</v>
      </c>
      <c r="K803" s="13">
        <v>0.2846685816</v>
      </c>
      <c r="L803" s="12">
        <v>26.0566666666</v>
      </c>
      <c r="M803" s="13">
        <v>0.099385963</v>
      </c>
      <c r="N803" s="13">
        <v>0.0201399852</v>
      </c>
      <c r="O803" s="13">
        <v>0.2897531022</v>
      </c>
      <c r="P803" s="13">
        <v>0.026464061</v>
      </c>
      <c r="Q803" s="13">
        <v>0.020690492</v>
      </c>
      <c r="R803" s="13">
        <v>0.1174772586</v>
      </c>
      <c r="S803" s="13">
        <v>0</v>
      </c>
      <c r="T803" s="13">
        <v>0.1175031008</v>
      </c>
      <c r="U803" s="13">
        <v>0.0102491778</v>
      </c>
      <c r="V803" s="13">
        <v>0</v>
      </c>
      <c r="W803" s="13">
        <v>-0.0017322601</v>
      </c>
      <c r="X803" s="13">
        <v>0.0025251542</v>
      </c>
      <c r="Y803" s="13">
        <v>0</v>
      </c>
      <c r="Z803" s="13">
        <v>0.0128753831</v>
      </c>
    </row>
    <row r="804" s="2" customFormat="1" spans="1:26">
      <c r="A804" s="11" t="s">
        <v>935</v>
      </c>
      <c r="B804" s="11" t="s">
        <v>937</v>
      </c>
      <c r="C804" s="14" t="s">
        <v>398</v>
      </c>
      <c r="D804" s="14" t="s">
        <v>938</v>
      </c>
      <c r="E804" s="14" t="s">
        <v>939</v>
      </c>
      <c r="F804" s="3" t="s">
        <v>944</v>
      </c>
      <c r="G804" s="4">
        <v>64</v>
      </c>
      <c r="H804" s="12">
        <v>11954.128</v>
      </c>
      <c r="I804" s="12">
        <v>3534.956696</v>
      </c>
      <c r="J804" s="13">
        <v>0.2957101259</v>
      </c>
      <c r="K804" s="13">
        <v>0.2957101259</v>
      </c>
      <c r="L804" s="12">
        <v>27.468125</v>
      </c>
      <c r="M804" s="13">
        <v>0.0942789837</v>
      </c>
      <c r="N804" s="13">
        <v>0.0367094854</v>
      </c>
      <c r="O804" s="13">
        <v>0.2748640469</v>
      </c>
      <c r="P804" s="13">
        <v>0.0307060456</v>
      </c>
      <c r="Q804" s="13">
        <v>0.0153407294</v>
      </c>
      <c r="R804" s="13">
        <v>0.1229329106</v>
      </c>
      <c r="S804" s="13">
        <v>0</v>
      </c>
      <c r="T804" s="13">
        <v>0.117039068</v>
      </c>
      <c r="U804" s="13">
        <v>0.0097225206</v>
      </c>
      <c r="V804" s="13">
        <v>0</v>
      </c>
      <c r="W804" s="13">
        <v>0</v>
      </c>
      <c r="X804" s="13">
        <v>0.0012912693</v>
      </c>
      <c r="Y804" s="13">
        <v>0</v>
      </c>
      <c r="Z804" s="13">
        <v>0.0014048141</v>
      </c>
    </row>
    <row r="805" s="2" customFormat="1" hidden="1" spans="1:26">
      <c r="A805" s="11" t="s">
        <v>935</v>
      </c>
      <c r="B805" s="11" t="s">
        <v>937</v>
      </c>
      <c r="C805" s="14" t="s">
        <v>398</v>
      </c>
      <c r="D805" s="14" t="s">
        <v>938</v>
      </c>
      <c r="E805" s="14" t="s">
        <v>939</v>
      </c>
      <c r="F805" s="3" t="s">
        <v>945</v>
      </c>
      <c r="G805" s="4">
        <v>4</v>
      </c>
      <c r="H805" s="12">
        <v>750.448</v>
      </c>
      <c r="I805" s="12">
        <v>289.926158</v>
      </c>
      <c r="J805" s="13">
        <v>0.3863374384</v>
      </c>
      <c r="K805" s="13">
        <v>0.3863374384</v>
      </c>
      <c r="L805" s="12">
        <v>27.59</v>
      </c>
      <c r="M805" s="13">
        <v>0.0938625194</v>
      </c>
      <c r="N805" s="13">
        <v>0.0365473263</v>
      </c>
      <c r="O805" s="13">
        <v>0.2736498731</v>
      </c>
      <c r="P805" s="13">
        <v>0</v>
      </c>
      <c r="Q805" s="13">
        <v>0</v>
      </c>
      <c r="R805" s="13">
        <v>0.0799522658</v>
      </c>
      <c r="S805" s="13">
        <v>0</v>
      </c>
      <c r="T805" s="13">
        <v>0.1199710039</v>
      </c>
      <c r="U805" s="13">
        <v>0.0096795727</v>
      </c>
      <c r="V805" s="13">
        <v>0</v>
      </c>
      <c r="W805" s="13">
        <v>0</v>
      </c>
      <c r="X805" s="13">
        <v>0</v>
      </c>
      <c r="Y805" s="13">
        <v>0</v>
      </c>
      <c r="Z805" s="13">
        <v>0</v>
      </c>
    </row>
    <row r="806" s="2" customFormat="1" hidden="1" spans="1:26">
      <c r="A806" s="11" t="s">
        <v>935</v>
      </c>
      <c r="B806" s="11" t="s">
        <v>937</v>
      </c>
      <c r="C806" s="14" t="s">
        <v>402</v>
      </c>
      <c r="D806" s="14" t="s">
        <v>938</v>
      </c>
      <c r="E806" s="14" t="s">
        <v>939</v>
      </c>
      <c r="F806" s="3" t="s">
        <v>936</v>
      </c>
      <c r="G806" s="4">
        <v>160</v>
      </c>
      <c r="H806" s="12">
        <v>26267.04</v>
      </c>
      <c r="I806" s="12">
        <v>4841.672406</v>
      </c>
      <c r="J806" s="13">
        <v>0.1843250098</v>
      </c>
      <c r="K806" s="13">
        <v>0.1843250098</v>
      </c>
      <c r="L806" s="12">
        <v>24.1425</v>
      </c>
      <c r="M806" s="13">
        <v>0.111292607</v>
      </c>
      <c r="N806" s="13">
        <v>0.0268800861</v>
      </c>
      <c r="O806" s="13">
        <v>0.3035880708</v>
      </c>
      <c r="P806" s="13">
        <v>0.0182691312</v>
      </c>
      <c r="Q806" s="13">
        <v>0.0213229141</v>
      </c>
      <c r="R806" s="13">
        <v>0.2056299937</v>
      </c>
      <c r="S806" s="13">
        <v>0</v>
      </c>
      <c r="T806" s="13">
        <v>0.1114994304</v>
      </c>
      <c r="U806" s="13">
        <v>0.011477051</v>
      </c>
      <c r="V806" s="13">
        <v>0</v>
      </c>
      <c r="W806" s="13">
        <v>-0.0008612386</v>
      </c>
      <c r="X806" s="13">
        <v>0.0003960857</v>
      </c>
      <c r="Y806" s="13">
        <v>0</v>
      </c>
      <c r="Z806" s="13">
        <v>0.0061808584</v>
      </c>
    </row>
    <row r="807" s="2" customFormat="1" hidden="1" spans="1:26">
      <c r="A807" s="11" t="s">
        <v>935</v>
      </c>
      <c r="B807" s="11" t="s">
        <v>937</v>
      </c>
      <c r="C807" s="14" t="s">
        <v>402</v>
      </c>
      <c r="D807" s="14" t="s">
        <v>938</v>
      </c>
      <c r="E807" s="14" t="s">
        <v>939</v>
      </c>
      <c r="F807" s="3" t="s">
        <v>941</v>
      </c>
      <c r="G807" s="4">
        <v>10</v>
      </c>
      <c r="H807" s="12">
        <v>1644.92</v>
      </c>
      <c r="I807" s="12">
        <v>282.548366</v>
      </c>
      <c r="J807" s="13">
        <v>0.1717702781</v>
      </c>
      <c r="K807" s="13">
        <v>0.1717702781</v>
      </c>
      <c r="L807" s="12">
        <v>24.19</v>
      </c>
      <c r="M807" s="13">
        <v>0.1110740704</v>
      </c>
      <c r="N807" s="13">
        <v>0.0324340089</v>
      </c>
      <c r="O807" s="13">
        <v>0.2715998346</v>
      </c>
      <c r="P807" s="13">
        <v>0</v>
      </c>
      <c r="Q807" s="13">
        <v>0.0017910901</v>
      </c>
      <c r="R807" s="13">
        <v>0.2982176403</v>
      </c>
      <c r="S807" s="13">
        <v>0</v>
      </c>
      <c r="T807" s="13">
        <v>0.0963207937</v>
      </c>
      <c r="U807" s="13">
        <v>0.0114545145</v>
      </c>
      <c r="V807" s="13">
        <v>0</v>
      </c>
      <c r="W807" s="13">
        <v>0</v>
      </c>
      <c r="X807" s="13">
        <v>0</v>
      </c>
      <c r="Y807" s="13">
        <v>0</v>
      </c>
      <c r="Z807" s="13">
        <v>0.005337769</v>
      </c>
    </row>
    <row r="808" s="2" customFormat="1" hidden="1" spans="1:26">
      <c r="A808" s="11" t="s">
        <v>935</v>
      </c>
      <c r="B808" s="11" t="s">
        <v>937</v>
      </c>
      <c r="C808" s="14" t="s">
        <v>402</v>
      </c>
      <c r="D808" s="14" t="s">
        <v>938</v>
      </c>
      <c r="E808" s="14" t="s">
        <v>939</v>
      </c>
      <c r="F808" s="3" t="s">
        <v>942</v>
      </c>
      <c r="G808" s="4">
        <v>52</v>
      </c>
      <c r="H808" s="12">
        <v>8730.384</v>
      </c>
      <c r="I808" s="12">
        <v>1431.626096</v>
      </c>
      <c r="J808" s="13">
        <v>0.1639820305</v>
      </c>
      <c r="K808" s="13">
        <v>0.1639820305</v>
      </c>
      <c r="L808" s="12">
        <v>24.69</v>
      </c>
      <c r="M808" s="13">
        <v>0.1088246968</v>
      </c>
      <c r="N808" s="13">
        <v>0.02591781</v>
      </c>
      <c r="O808" s="13">
        <v>0.2989064398</v>
      </c>
      <c r="P808" s="13">
        <v>0</v>
      </c>
      <c r="Q808" s="13">
        <v>0.0170960933</v>
      </c>
      <c r="R808" s="13">
        <v>0.2634889904</v>
      </c>
      <c r="S808" s="13">
        <v>0</v>
      </c>
      <c r="T808" s="13">
        <v>0.1040751472</v>
      </c>
      <c r="U808" s="13">
        <v>0.0112225478</v>
      </c>
      <c r="V808" s="13">
        <v>0</v>
      </c>
      <c r="W808" s="13">
        <v>0</v>
      </c>
      <c r="X808" s="13">
        <v>0</v>
      </c>
      <c r="Y808" s="13">
        <v>0</v>
      </c>
      <c r="Z808" s="13">
        <v>0.0064862437</v>
      </c>
    </row>
    <row r="809" s="2" customFormat="1" hidden="1" spans="1:26">
      <c r="A809" s="11" t="s">
        <v>935</v>
      </c>
      <c r="B809" s="11" t="s">
        <v>937</v>
      </c>
      <c r="C809" s="14" t="s">
        <v>402</v>
      </c>
      <c r="D809" s="14" t="s">
        <v>938</v>
      </c>
      <c r="E809" s="14" t="s">
        <v>939</v>
      </c>
      <c r="F809" s="3" t="s">
        <v>943</v>
      </c>
      <c r="G809" s="4">
        <v>39</v>
      </c>
      <c r="H809" s="12">
        <v>6525.348</v>
      </c>
      <c r="I809" s="12">
        <v>1162.896965</v>
      </c>
      <c r="J809" s="13">
        <v>0.1782122524</v>
      </c>
      <c r="K809" s="13">
        <v>0.1782122524</v>
      </c>
      <c r="L809" s="12">
        <v>24.6053846153</v>
      </c>
      <c r="M809" s="13">
        <v>0.1091989337</v>
      </c>
      <c r="N809" s="13">
        <v>0.0260069389</v>
      </c>
      <c r="O809" s="13">
        <v>0.2999343483</v>
      </c>
      <c r="P809" s="13">
        <v>0.0495826429</v>
      </c>
      <c r="Q809" s="13">
        <v>0.0368606765</v>
      </c>
      <c r="R809" s="13">
        <v>0.1596830912</v>
      </c>
      <c r="S809" s="13">
        <v>0</v>
      </c>
      <c r="T809" s="13">
        <v>0.1152864184</v>
      </c>
      <c r="U809" s="13">
        <v>0.011261141</v>
      </c>
      <c r="V809" s="13">
        <v>0</v>
      </c>
      <c r="W809" s="13">
        <v>0</v>
      </c>
      <c r="X809" s="13">
        <v>0.0010981674</v>
      </c>
      <c r="Y809" s="13">
        <v>0</v>
      </c>
      <c r="Z809" s="13">
        <v>0.0128753888</v>
      </c>
    </row>
    <row r="810" s="2" customFormat="1" spans="1:26">
      <c r="A810" s="11" t="s">
        <v>935</v>
      </c>
      <c r="B810" s="11" t="s">
        <v>937</v>
      </c>
      <c r="C810" s="14" t="s">
        <v>402</v>
      </c>
      <c r="D810" s="14" t="s">
        <v>938</v>
      </c>
      <c r="E810" s="14" t="s">
        <v>939</v>
      </c>
      <c r="F810" s="3" t="s">
        <v>944</v>
      </c>
      <c r="G810" s="4">
        <v>58</v>
      </c>
      <c r="H810" s="12">
        <v>9203.256</v>
      </c>
      <c r="I810" s="12">
        <v>1996.221191</v>
      </c>
      <c r="J810" s="13">
        <v>0.2169037991</v>
      </c>
      <c r="K810" s="13">
        <v>0.2169037991</v>
      </c>
      <c r="L810" s="12">
        <v>23.3348275862</v>
      </c>
      <c r="M810" s="13">
        <v>0.1151447018</v>
      </c>
      <c r="N810" s="13">
        <v>0.0274229896</v>
      </c>
      <c r="O810" s="13">
        <v>0.3162654608</v>
      </c>
      <c r="P810" s="13">
        <v>0.0169865969</v>
      </c>
      <c r="Q810" s="13">
        <v>0.0181848072</v>
      </c>
      <c r="R810" s="13">
        <v>0.1595002307</v>
      </c>
      <c r="S810" s="13">
        <v>0</v>
      </c>
      <c r="T810" s="13">
        <v>0.1184185249</v>
      </c>
      <c r="U810" s="13">
        <v>0.0118742984</v>
      </c>
      <c r="V810" s="13">
        <v>0</v>
      </c>
      <c r="W810" s="13">
        <v>-0.0024580636</v>
      </c>
      <c r="X810" s="13">
        <v>0.0003518401</v>
      </c>
      <c r="Y810" s="13">
        <v>0</v>
      </c>
      <c r="Z810" s="13">
        <v>0.0014048137</v>
      </c>
    </row>
    <row r="811" s="2" customFormat="1" hidden="1" spans="1:26">
      <c r="A811" s="11" t="s">
        <v>935</v>
      </c>
      <c r="B811" s="11" t="s">
        <v>937</v>
      </c>
      <c r="C811" s="14" t="s">
        <v>402</v>
      </c>
      <c r="D811" s="14" t="s">
        <v>938</v>
      </c>
      <c r="E811" s="14" t="s">
        <v>939</v>
      </c>
      <c r="F811" s="3" t="s">
        <v>945</v>
      </c>
      <c r="G811" s="4">
        <v>1</v>
      </c>
      <c r="H811" s="12">
        <v>163.132</v>
      </c>
      <c r="I811" s="12">
        <v>-31.620212</v>
      </c>
      <c r="J811" s="13">
        <v>-0.1938320623</v>
      </c>
      <c r="K811" s="13">
        <v>-0.1938320623</v>
      </c>
      <c r="L811" s="12">
        <v>23.99</v>
      </c>
      <c r="M811" s="13">
        <v>0.1120000735</v>
      </c>
      <c r="N811" s="13">
        <v>0.0266740614</v>
      </c>
      <c r="O811" s="13">
        <v>0.3076281784</v>
      </c>
      <c r="P811" s="13">
        <v>0</v>
      </c>
      <c r="Q811" s="13">
        <v>0</v>
      </c>
      <c r="R811" s="13">
        <v>0.6159297194</v>
      </c>
      <c r="S811" s="13">
        <v>0</v>
      </c>
      <c r="T811" s="13">
        <v>0.1200500208</v>
      </c>
      <c r="U811" s="13">
        <v>0.0115500085</v>
      </c>
      <c r="V811" s="13">
        <v>0</v>
      </c>
      <c r="W811" s="13">
        <v>0</v>
      </c>
      <c r="X811" s="13">
        <v>0</v>
      </c>
      <c r="Y811" s="13">
        <v>0</v>
      </c>
      <c r="Z811" s="13">
        <v>0</v>
      </c>
    </row>
    <row r="812" s="2" customFormat="1" hidden="1" spans="1:26">
      <c r="A812" s="11" t="s">
        <v>935</v>
      </c>
      <c r="B812" s="11" t="s">
        <v>937</v>
      </c>
      <c r="C812" s="14" t="s">
        <v>406</v>
      </c>
      <c r="D812" s="14" t="s">
        <v>938</v>
      </c>
      <c r="E812" s="14" t="s">
        <v>939</v>
      </c>
      <c r="F812" s="3" t="s">
        <v>936</v>
      </c>
      <c r="G812" s="4">
        <v>78</v>
      </c>
      <c r="H812" s="12">
        <v>13879.548</v>
      </c>
      <c r="I812" s="12">
        <v>1479.519506</v>
      </c>
      <c r="J812" s="13">
        <v>0.1065970956</v>
      </c>
      <c r="K812" s="13">
        <v>0.1065970956</v>
      </c>
      <c r="L812" s="12">
        <v>26.168076923</v>
      </c>
      <c r="M812" s="13">
        <v>0.1301371105</v>
      </c>
      <c r="N812" s="13">
        <v>0.0217961794</v>
      </c>
      <c r="O812" s="13">
        <v>0.2827383139</v>
      </c>
      <c r="P812" s="13">
        <v>0.0942281405</v>
      </c>
      <c r="Q812" s="13">
        <v>0.0359303818</v>
      </c>
      <c r="R812" s="13">
        <v>0.1989104334</v>
      </c>
      <c r="S812" s="13">
        <v>0</v>
      </c>
      <c r="T812" s="13">
        <v>0.1071475814</v>
      </c>
      <c r="U812" s="13">
        <v>0.0134203889</v>
      </c>
      <c r="V812" s="13">
        <v>0.0007005991</v>
      </c>
      <c r="W812" s="13">
        <v>0</v>
      </c>
      <c r="X812" s="13">
        <v>0.0022242797</v>
      </c>
      <c r="Y812" s="13">
        <v>0</v>
      </c>
      <c r="Z812" s="13">
        <v>0.0061694951</v>
      </c>
    </row>
    <row r="813" s="2" customFormat="1" hidden="1" spans="1:26">
      <c r="A813" s="11" t="s">
        <v>935</v>
      </c>
      <c r="B813" s="11" t="s">
        <v>937</v>
      </c>
      <c r="C813" s="14" t="s">
        <v>406</v>
      </c>
      <c r="D813" s="14" t="s">
        <v>938</v>
      </c>
      <c r="E813" s="14" t="s">
        <v>939</v>
      </c>
      <c r="F813" s="3" t="s">
        <v>941</v>
      </c>
      <c r="G813" s="4">
        <v>16</v>
      </c>
      <c r="H813" s="12">
        <v>2936.512</v>
      </c>
      <c r="I813" s="12">
        <v>533.304025</v>
      </c>
      <c r="J813" s="13">
        <v>0.1816113896</v>
      </c>
      <c r="K813" s="13">
        <v>0.1816113896</v>
      </c>
      <c r="L813" s="12">
        <v>26.99</v>
      </c>
      <c r="M813" s="13">
        <v>0.1294944314</v>
      </c>
      <c r="N813" s="13">
        <v>0.0202086448</v>
      </c>
      <c r="O813" s="13">
        <v>0.2762597258</v>
      </c>
      <c r="P813" s="13">
        <v>0</v>
      </c>
      <c r="Q813" s="13">
        <v>0.0072081472</v>
      </c>
      <c r="R813" s="13">
        <v>0.25106633</v>
      </c>
      <c r="S813" s="13">
        <v>0</v>
      </c>
      <c r="T813" s="13">
        <v>0.1154594294</v>
      </c>
      <c r="U813" s="13">
        <v>0.0133541126</v>
      </c>
      <c r="V813" s="13">
        <v>0</v>
      </c>
      <c r="W813" s="13">
        <v>0</v>
      </c>
      <c r="X813" s="13">
        <v>0</v>
      </c>
      <c r="Y813" s="13">
        <v>0</v>
      </c>
      <c r="Z813" s="13">
        <v>0.0053377888</v>
      </c>
    </row>
    <row r="814" s="2" customFormat="1" hidden="1" spans="1:26">
      <c r="A814" s="11" t="s">
        <v>935</v>
      </c>
      <c r="B814" s="11" t="s">
        <v>937</v>
      </c>
      <c r="C814" s="14" t="s">
        <v>406</v>
      </c>
      <c r="D814" s="14" t="s">
        <v>938</v>
      </c>
      <c r="E814" s="14" t="s">
        <v>939</v>
      </c>
      <c r="F814" s="3" t="s">
        <v>942</v>
      </c>
      <c r="G814" s="4">
        <v>11</v>
      </c>
      <c r="H814" s="12">
        <v>1589.704</v>
      </c>
      <c r="I814" s="12">
        <v>-326.117677</v>
      </c>
      <c r="J814" s="13">
        <v>-0.2051436474</v>
      </c>
      <c r="K814" s="13">
        <v>-0.2051436474</v>
      </c>
      <c r="L814" s="12">
        <v>21.2527272727</v>
      </c>
      <c r="M814" s="13">
        <v>0.1345516825</v>
      </c>
      <c r="N814" s="13">
        <v>0.0211963648</v>
      </c>
      <c r="O814" s="13">
        <v>0.2937377021</v>
      </c>
      <c r="P814" s="13">
        <v>0.2309008469</v>
      </c>
      <c r="Q814" s="13">
        <v>0.0947900244</v>
      </c>
      <c r="R814" s="13">
        <v>0.3080994197</v>
      </c>
      <c r="S814" s="13">
        <v>0</v>
      </c>
      <c r="T814" s="13">
        <v>0.0953888271</v>
      </c>
      <c r="U814" s="13">
        <v>0.0138756416</v>
      </c>
      <c r="V814" s="13">
        <v>0.006116862</v>
      </c>
      <c r="W814" s="13">
        <v>0</v>
      </c>
      <c r="X814" s="13">
        <v>0</v>
      </c>
      <c r="Y814" s="13">
        <v>0</v>
      </c>
      <c r="Z814" s="13">
        <v>0.006486276</v>
      </c>
    </row>
    <row r="815" s="2" customFormat="1" hidden="1" spans="1:26">
      <c r="A815" s="11" t="s">
        <v>935</v>
      </c>
      <c r="B815" s="11" t="s">
        <v>937</v>
      </c>
      <c r="C815" s="14" t="s">
        <v>406</v>
      </c>
      <c r="D815" s="14" t="s">
        <v>938</v>
      </c>
      <c r="E815" s="14" t="s">
        <v>939</v>
      </c>
      <c r="F815" s="3" t="s">
        <v>943</v>
      </c>
      <c r="G815" s="4">
        <v>23</v>
      </c>
      <c r="H815" s="12">
        <v>4100.196</v>
      </c>
      <c r="I815" s="12">
        <v>325.873955</v>
      </c>
      <c r="J815" s="13">
        <v>0.079477653</v>
      </c>
      <c r="K815" s="13">
        <v>0.079477653</v>
      </c>
      <c r="L815" s="12">
        <v>26.2160869565</v>
      </c>
      <c r="M815" s="13">
        <v>0.133317177</v>
      </c>
      <c r="N815" s="13">
        <v>0.0230409436</v>
      </c>
      <c r="O815" s="13">
        <v>0.2910426721</v>
      </c>
      <c r="P815" s="13">
        <v>0.0921770569</v>
      </c>
      <c r="Q815" s="13">
        <v>0.0430401127</v>
      </c>
      <c r="R815" s="13">
        <v>0.2033424848</v>
      </c>
      <c r="S815" s="13">
        <v>0</v>
      </c>
      <c r="T815" s="13">
        <v>0.1053452078</v>
      </c>
      <c r="U815" s="13">
        <v>0.0137483332</v>
      </c>
      <c r="V815" s="13">
        <v>0</v>
      </c>
      <c r="W815" s="13">
        <v>0</v>
      </c>
      <c r="X815" s="13">
        <v>0.002592997</v>
      </c>
      <c r="Y815" s="13">
        <v>0</v>
      </c>
      <c r="Z815" s="13">
        <v>0.0128753615</v>
      </c>
    </row>
    <row r="816" s="2" customFormat="1" spans="1:26">
      <c r="A816" s="11" t="s">
        <v>935</v>
      </c>
      <c r="B816" s="11" t="s">
        <v>937</v>
      </c>
      <c r="C816" s="14" t="s">
        <v>406</v>
      </c>
      <c r="D816" s="14" t="s">
        <v>938</v>
      </c>
      <c r="E816" s="14" t="s">
        <v>939</v>
      </c>
      <c r="F816" s="3" t="s">
        <v>944</v>
      </c>
      <c r="G816" s="4">
        <v>26</v>
      </c>
      <c r="H816" s="12">
        <v>4877.912</v>
      </c>
      <c r="I816" s="12">
        <v>859.030544</v>
      </c>
      <c r="J816" s="13">
        <v>0.1761061995</v>
      </c>
      <c r="K816" s="13">
        <v>0.1761061995</v>
      </c>
      <c r="L816" s="12">
        <v>27.59</v>
      </c>
      <c r="M816" s="13">
        <v>0.1266783148</v>
      </c>
      <c r="N816" s="13">
        <v>0.0218935622</v>
      </c>
      <c r="O816" s="13">
        <v>0.2765494744</v>
      </c>
      <c r="P816" s="13">
        <v>0.1153846153</v>
      </c>
      <c r="Q816" s="13">
        <v>0.0308266465</v>
      </c>
      <c r="R816" s="13">
        <v>0.1274387284</v>
      </c>
      <c r="S816" s="13">
        <v>0</v>
      </c>
      <c r="T816" s="13">
        <v>0.1065045863</v>
      </c>
      <c r="U816" s="13">
        <v>0.0130637006</v>
      </c>
      <c r="V816" s="13">
        <v>0</v>
      </c>
      <c r="W816" s="13">
        <v>0</v>
      </c>
      <c r="X816" s="13">
        <v>0.0041493577</v>
      </c>
      <c r="Y816" s="13">
        <v>0</v>
      </c>
      <c r="Z816" s="13">
        <v>0.0014048137</v>
      </c>
    </row>
    <row r="817" s="2" customFormat="1" hidden="1" spans="1:26">
      <c r="A817" s="11" t="s">
        <v>935</v>
      </c>
      <c r="B817" s="11" t="s">
        <v>937</v>
      </c>
      <c r="C817" s="14" t="s">
        <v>406</v>
      </c>
      <c r="D817" s="14" t="s">
        <v>938</v>
      </c>
      <c r="E817" s="14" t="s">
        <v>939</v>
      </c>
      <c r="F817" s="3" t="s">
        <v>945</v>
      </c>
      <c r="G817" s="4">
        <v>2</v>
      </c>
      <c r="H817" s="12">
        <v>375.224</v>
      </c>
      <c r="I817" s="12">
        <v>87.428659</v>
      </c>
      <c r="J817" s="13">
        <v>0.2330039096</v>
      </c>
      <c r="K817" s="13">
        <v>0.2330039096</v>
      </c>
      <c r="L817" s="12">
        <v>27.59</v>
      </c>
      <c r="M817" s="13">
        <v>0.1266783148</v>
      </c>
      <c r="N817" s="13">
        <v>0.0218935622</v>
      </c>
      <c r="O817" s="13">
        <v>0.2765494744</v>
      </c>
      <c r="P817" s="13">
        <v>0</v>
      </c>
      <c r="Q817" s="13">
        <v>0</v>
      </c>
      <c r="R817" s="13">
        <v>0.2088400342</v>
      </c>
      <c r="S817" s="13">
        <v>0</v>
      </c>
      <c r="T817" s="13">
        <v>0.1199710039</v>
      </c>
      <c r="U817" s="13">
        <v>0.0130637006</v>
      </c>
      <c r="V817" s="13">
        <v>0</v>
      </c>
      <c r="W817" s="13">
        <v>0</v>
      </c>
      <c r="X817" s="13">
        <v>0</v>
      </c>
      <c r="Y817" s="13">
        <v>0</v>
      </c>
      <c r="Z817" s="13">
        <v>0</v>
      </c>
    </row>
    <row r="818" s="2" customFormat="1" hidden="1" spans="1:26">
      <c r="A818" s="11" t="s">
        <v>935</v>
      </c>
      <c r="B818" s="11" t="s">
        <v>937</v>
      </c>
      <c r="C818" s="14" t="s">
        <v>410</v>
      </c>
      <c r="D818" s="14" t="s">
        <v>938</v>
      </c>
      <c r="E818" s="14" t="s">
        <v>939</v>
      </c>
      <c r="F818" s="3" t="s">
        <v>936</v>
      </c>
      <c r="G818" s="4">
        <v>56</v>
      </c>
      <c r="H818" s="12">
        <v>7649.184</v>
      </c>
      <c r="I818" s="12">
        <v>-1437.121096</v>
      </c>
      <c r="J818" s="13">
        <v>-0.1878790072</v>
      </c>
      <c r="K818" s="13">
        <v>-0.1878790072</v>
      </c>
      <c r="L818" s="12">
        <v>20.0871428571</v>
      </c>
      <c r="M818" s="13">
        <v>0.1309520245</v>
      </c>
      <c r="N818" s="13">
        <v>0.0911357278</v>
      </c>
      <c r="O818" s="13">
        <v>0.295195932</v>
      </c>
      <c r="P818" s="13">
        <v>0.0767726335</v>
      </c>
      <c r="Q818" s="13">
        <v>0.0748842289</v>
      </c>
      <c r="R818" s="13">
        <v>0.3950499844</v>
      </c>
      <c r="S818" s="13">
        <v>0</v>
      </c>
      <c r="T818" s="13">
        <v>0.1070069696</v>
      </c>
      <c r="U818" s="13">
        <v>0.0135044266</v>
      </c>
      <c r="V818" s="13">
        <v>0.0009423227</v>
      </c>
      <c r="W818" s="13">
        <v>-0.0047090676</v>
      </c>
      <c r="X818" s="13">
        <v>0.0020179928</v>
      </c>
      <c r="Y818" s="13">
        <v>0</v>
      </c>
      <c r="Z818" s="13">
        <v>0.0051258315</v>
      </c>
    </row>
    <row r="819" s="2" customFormat="1" hidden="1" spans="1:26">
      <c r="A819" s="11" t="s">
        <v>935</v>
      </c>
      <c r="B819" s="11" t="s">
        <v>937</v>
      </c>
      <c r="C819" s="14" t="s">
        <v>410</v>
      </c>
      <c r="D819" s="14" t="s">
        <v>938</v>
      </c>
      <c r="E819" s="14" t="s">
        <v>939</v>
      </c>
      <c r="F819" s="3" t="s">
        <v>940</v>
      </c>
      <c r="G819" s="4">
        <v>1</v>
      </c>
      <c r="H819" s="12">
        <v>146.812</v>
      </c>
      <c r="I819" s="12">
        <v>-179.40629</v>
      </c>
      <c r="J819" s="13">
        <v>-1.2220137999</v>
      </c>
      <c r="K819" s="13">
        <v>-1.2220137999</v>
      </c>
      <c r="L819" s="12">
        <v>21.59</v>
      </c>
      <c r="M819" s="13">
        <v>0.1263490586</v>
      </c>
      <c r="N819" s="13">
        <v>0.0288407623</v>
      </c>
      <c r="O819" s="13">
        <v>0.269569245</v>
      </c>
      <c r="P819" s="13">
        <v>0</v>
      </c>
      <c r="Q819" s="13">
        <v>0.0008192313</v>
      </c>
      <c r="R819" s="13">
        <v>1.7691690665</v>
      </c>
      <c r="S819" s="13">
        <v>0</v>
      </c>
      <c r="T819" s="13">
        <v>0.0138953219</v>
      </c>
      <c r="U819" s="13">
        <v>0.0130297455</v>
      </c>
      <c r="V819" s="13">
        <v>0</v>
      </c>
      <c r="W819" s="13">
        <v>0</v>
      </c>
      <c r="X819" s="13">
        <v>0</v>
      </c>
      <c r="Y819" s="13">
        <v>0</v>
      </c>
      <c r="Z819" s="13">
        <v>0.0003413685</v>
      </c>
    </row>
    <row r="820" s="2" customFormat="1" hidden="1" spans="1:26">
      <c r="A820" s="11" t="s">
        <v>935</v>
      </c>
      <c r="B820" s="11" t="s">
        <v>937</v>
      </c>
      <c r="C820" s="14" t="s">
        <v>410</v>
      </c>
      <c r="D820" s="14" t="s">
        <v>938</v>
      </c>
      <c r="E820" s="14" t="s">
        <v>939</v>
      </c>
      <c r="F820" s="3" t="s">
        <v>941</v>
      </c>
      <c r="G820" s="4">
        <v>13</v>
      </c>
      <c r="H820" s="12">
        <v>1769.836</v>
      </c>
      <c r="I820" s="12">
        <v>-811.781011</v>
      </c>
      <c r="J820" s="13">
        <v>-0.4586758383</v>
      </c>
      <c r="K820" s="13">
        <v>-0.4586758383</v>
      </c>
      <c r="L820" s="12">
        <v>20.0207692307</v>
      </c>
      <c r="M820" s="13">
        <v>0.1257713686</v>
      </c>
      <c r="N820" s="13">
        <v>0.1184582096</v>
      </c>
      <c r="O820" s="13">
        <v>0.2836669612</v>
      </c>
      <c r="P820" s="13">
        <v>0.2488569562</v>
      </c>
      <c r="Q820" s="13">
        <v>0.042979098</v>
      </c>
      <c r="R820" s="13">
        <v>0.5555764403</v>
      </c>
      <c r="S820" s="13">
        <v>0</v>
      </c>
      <c r="T820" s="13">
        <v>0.0833749567</v>
      </c>
      <c r="U820" s="13">
        <v>0.0129701712</v>
      </c>
      <c r="V820" s="13">
        <v>0.0020363468</v>
      </c>
      <c r="W820" s="13">
        <v>-0.0203524648</v>
      </c>
      <c r="X820" s="13">
        <v>0</v>
      </c>
      <c r="Y820" s="13">
        <v>0</v>
      </c>
      <c r="Z820" s="13">
        <v>0.005337794</v>
      </c>
    </row>
    <row r="821" s="2" customFormat="1" hidden="1" spans="1:26">
      <c r="A821" s="11" t="s">
        <v>935</v>
      </c>
      <c r="B821" s="11" t="s">
        <v>937</v>
      </c>
      <c r="C821" s="14" t="s">
        <v>410</v>
      </c>
      <c r="D821" s="14" t="s">
        <v>938</v>
      </c>
      <c r="E821" s="14" t="s">
        <v>939</v>
      </c>
      <c r="F821" s="3" t="s">
        <v>942</v>
      </c>
      <c r="G821" s="4">
        <v>15</v>
      </c>
      <c r="H821" s="12">
        <v>2063.46</v>
      </c>
      <c r="I821" s="12">
        <v>-294.019101</v>
      </c>
      <c r="J821" s="13">
        <v>-0.1424883937</v>
      </c>
      <c r="K821" s="13">
        <v>-0.1424883937</v>
      </c>
      <c r="L821" s="12">
        <v>20.23</v>
      </c>
      <c r="M821" s="13">
        <v>0.1258535716</v>
      </c>
      <c r="N821" s="13">
        <v>0.0800913155</v>
      </c>
      <c r="O821" s="13">
        <v>0.2911517548</v>
      </c>
      <c r="P821" s="13">
        <v>0.0711484593</v>
      </c>
      <c r="Q821" s="13">
        <v>0.0848783737</v>
      </c>
      <c r="R821" s="13">
        <v>0.3576245412</v>
      </c>
      <c r="S821" s="13">
        <v>0</v>
      </c>
      <c r="T821" s="13">
        <v>0.1105289174</v>
      </c>
      <c r="U821" s="13">
        <v>0.0129786484</v>
      </c>
      <c r="V821" s="13">
        <v>0.0017465809</v>
      </c>
      <c r="W821" s="13">
        <v>0</v>
      </c>
      <c r="X821" s="13">
        <v>0</v>
      </c>
      <c r="Y821" s="13">
        <v>0</v>
      </c>
      <c r="Z821" s="13">
        <v>0.0064862304</v>
      </c>
    </row>
    <row r="822" s="2" customFormat="1" hidden="1" spans="1:26">
      <c r="A822" s="11" t="s">
        <v>935</v>
      </c>
      <c r="B822" s="11" t="s">
        <v>937</v>
      </c>
      <c r="C822" s="14" t="s">
        <v>410</v>
      </c>
      <c r="D822" s="14" t="s">
        <v>938</v>
      </c>
      <c r="E822" s="14" t="s">
        <v>939</v>
      </c>
      <c r="F822" s="3" t="s">
        <v>943</v>
      </c>
      <c r="G822" s="4">
        <v>7</v>
      </c>
      <c r="H822" s="12">
        <v>974.032</v>
      </c>
      <c r="I822" s="12">
        <v>-280.054833</v>
      </c>
      <c r="J822" s="13">
        <v>-0.287521183</v>
      </c>
      <c r="K822" s="13">
        <v>-0.287521183</v>
      </c>
      <c r="L822" s="12">
        <v>20.4628571428</v>
      </c>
      <c r="M822" s="13">
        <v>0.1333086654</v>
      </c>
      <c r="N822" s="13">
        <v>0.0848356244</v>
      </c>
      <c r="O822" s="13">
        <v>0.3083635855</v>
      </c>
      <c r="P822" s="13">
        <v>0</v>
      </c>
      <c r="Q822" s="13">
        <v>0.1700505342</v>
      </c>
      <c r="R822" s="13">
        <v>0.433416168</v>
      </c>
      <c r="S822" s="13">
        <v>0</v>
      </c>
      <c r="T822" s="13">
        <v>0.1200083775</v>
      </c>
      <c r="U822" s="13">
        <v>0.0137474549</v>
      </c>
      <c r="V822" s="13">
        <v>0</v>
      </c>
      <c r="W822" s="13">
        <v>0</v>
      </c>
      <c r="X822" s="13">
        <v>0.010915243</v>
      </c>
      <c r="Y822" s="13">
        <v>0</v>
      </c>
      <c r="Z822" s="13">
        <v>0.0128755297</v>
      </c>
    </row>
    <row r="823" s="2" customFormat="1" spans="1:26">
      <c r="A823" s="11" t="s">
        <v>935</v>
      </c>
      <c r="B823" s="11" t="s">
        <v>937</v>
      </c>
      <c r="C823" s="14" t="s">
        <v>410</v>
      </c>
      <c r="D823" s="14" t="s">
        <v>938</v>
      </c>
      <c r="E823" s="14" t="s">
        <v>939</v>
      </c>
      <c r="F823" s="3" t="s">
        <v>944</v>
      </c>
      <c r="G823" s="4">
        <v>20</v>
      </c>
      <c r="H823" s="12">
        <v>2695.044</v>
      </c>
      <c r="I823" s="12">
        <v>140.426834</v>
      </c>
      <c r="J823" s="13">
        <v>0.0521055812</v>
      </c>
      <c r="K823" s="13">
        <v>0.0521055812</v>
      </c>
      <c r="L823" s="12">
        <v>19.8165</v>
      </c>
      <c r="M823" s="13">
        <v>0.13765681</v>
      </c>
      <c r="N823" s="13">
        <v>0.0873196645</v>
      </c>
      <c r="O823" s="13">
        <v>0.3025004415</v>
      </c>
      <c r="P823" s="13">
        <v>0</v>
      </c>
      <c r="Q823" s="13">
        <v>0.057824372</v>
      </c>
      <c r="R823" s="13">
        <v>0.2250069902</v>
      </c>
      <c r="S823" s="13">
        <v>0</v>
      </c>
      <c r="T823" s="13">
        <v>0.1202028612</v>
      </c>
      <c r="U823" s="13">
        <v>0.014195858</v>
      </c>
      <c r="V823" s="13">
        <v>0</v>
      </c>
      <c r="W823" s="13">
        <v>0</v>
      </c>
      <c r="X823" s="13">
        <v>0.0017826065</v>
      </c>
      <c r="Y823" s="13">
        <v>0</v>
      </c>
      <c r="Z823" s="13">
        <v>0.0014048145</v>
      </c>
    </row>
    <row r="824" s="2" customFormat="1" hidden="1" spans="1:26">
      <c r="A824" s="11" t="s">
        <v>935</v>
      </c>
      <c r="B824" s="11" t="s">
        <v>937</v>
      </c>
      <c r="C824" s="14" t="s">
        <v>410</v>
      </c>
      <c r="D824" s="14" t="s">
        <v>938</v>
      </c>
      <c r="E824" s="14" t="s">
        <v>939</v>
      </c>
      <c r="F824" s="3" t="s">
        <v>945</v>
      </c>
      <c r="G824" s="4">
        <v>0</v>
      </c>
      <c r="H824" s="12">
        <v>0</v>
      </c>
      <c r="I824" s="12">
        <v>-12.286695</v>
      </c>
      <c r="J824" s="13"/>
      <c r="K824" s="13"/>
      <c r="L824" s="12"/>
      <c r="M824" s="13"/>
      <c r="N824" s="13"/>
      <c r="O824" s="13"/>
      <c r="P824" s="13"/>
      <c r="Q824" s="13"/>
      <c r="R824" s="13"/>
      <c r="S824" s="13"/>
      <c r="T824" s="13"/>
      <c r="U824" s="13"/>
      <c r="V824" s="13"/>
      <c r="W824" s="13"/>
      <c r="X824" s="13"/>
      <c r="Y824" s="13"/>
      <c r="Z824" s="13"/>
    </row>
    <row r="825" s="2" customFormat="1" hidden="1" spans="1:26">
      <c r="A825" s="11" t="s">
        <v>935</v>
      </c>
      <c r="B825" s="11" t="s">
        <v>937</v>
      </c>
      <c r="C825" s="14" t="s">
        <v>414</v>
      </c>
      <c r="D825" s="14" t="s">
        <v>938</v>
      </c>
      <c r="E825" s="14" t="s">
        <v>939</v>
      </c>
      <c r="F825" s="3" t="s">
        <v>936</v>
      </c>
      <c r="G825" s="4">
        <v>40</v>
      </c>
      <c r="H825" s="12">
        <v>7422.88</v>
      </c>
      <c r="I825" s="12">
        <v>830.705495</v>
      </c>
      <c r="J825" s="13">
        <v>0.1119114811</v>
      </c>
      <c r="K825" s="13">
        <v>0.1119114811</v>
      </c>
      <c r="L825" s="12">
        <v>27.29</v>
      </c>
      <c r="M825" s="13">
        <v>0.1255815801</v>
      </c>
      <c r="N825" s="13">
        <v>0.0609165771</v>
      </c>
      <c r="O825" s="13">
        <v>0.2723341883</v>
      </c>
      <c r="P825" s="13">
        <v>0.024725174</v>
      </c>
      <c r="Q825" s="13">
        <v>0.0196631105</v>
      </c>
      <c r="R825" s="13">
        <v>0.2500279145</v>
      </c>
      <c r="S825" s="13">
        <v>0</v>
      </c>
      <c r="T825" s="13">
        <v>0.1176713081</v>
      </c>
      <c r="U825" s="13">
        <v>0.0129506013</v>
      </c>
      <c r="V825" s="13">
        <v>0.0007713448</v>
      </c>
      <c r="W825" s="13">
        <v>0</v>
      </c>
      <c r="X825" s="13">
        <v>0</v>
      </c>
      <c r="Y825" s="13">
        <v>0</v>
      </c>
      <c r="Z825" s="13">
        <v>0.0034467197</v>
      </c>
    </row>
    <row r="826" s="2" customFormat="1" hidden="1" spans="1:26">
      <c r="A826" s="11" t="s">
        <v>935</v>
      </c>
      <c r="B826" s="11" t="s">
        <v>937</v>
      </c>
      <c r="C826" s="14" t="s">
        <v>414</v>
      </c>
      <c r="D826" s="14" t="s">
        <v>938</v>
      </c>
      <c r="E826" s="14" t="s">
        <v>939</v>
      </c>
      <c r="F826" s="3" t="s">
        <v>941</v>
      </c>
      <c r="G826" s="4">
        <v>0</v>
      </c>
      <c r="H826" s="12">
        <v>0</v>
      </c>
      <c r="I826" s="12">
        <v>-125.256</v>
      </c>
      <c r="J826" s="13"/>
      <c r="K826" s="13"/>
      <c r="L826" s="12"/>
      <c r="M826" s="13"/>
      <c r="N826" s="13"/>
      <c r="O826" s="13"/>
      <c r="P826" s="13"/>
      <c r="Q826" s="13"/>
      <c r="R826" s="13"/>
      <c r="S826" s="13"/>
      <c r="T826" s="13"/>
      <c r="U826" s="13"/>
      <c r="V826" s="13"/>
      <c r="W826" s="13"/>
      <c r="X826" s="13"/>
      <c r="Y826" s="13"/>
      <c r="Z826" s="13"/>
    </row>
    <row r="827" s="2" customFormat="1" hidden="1" spans="1:26">
      <c r="A827" s="11" t="s">
        <v>935</v>
      </c>
      <c r="B827" s="11" t="s">
        <v>937</v>
      </c>
      <c r="C827" s="14" t="s">
        <v>414</v>
      </c>
      <c r="D827" s="14" t="s">
        <v>938</v>
      </c>
      <c r="E827" s="14" t="s">
        <v>939</v>
      </c>
      <c r="F827" s="3" t="s">
        <v>942</v>
      </c>
      <c r="G827" s="4">
        <v>0</v>
      </c>
      <c r="H827" s="12">
        <v>0</v>
      </c>
      <c r="I827" s="12">
        <v>-197.214973</v>
      </c>
      <c r="J827" s="13"/>
      <c r="K827" s="13"/>
      <c r="L827" s="12"/>
      <c r="M827" s="13"/>
      <c r="N827" s="13"/>
      <c r="O827" s="13"/>
      <c r="P827" s="13"/>
      <c r="Q827" s="13"/>
      <c r="R827" s="13"/>
      <c r="S827" s="13"/>
      <c r="T827" s="13"/>
      <c r="U827" s="13"/>
      <c r="V827" s="13"/>
      <c r="W827" s="13"/>
      <c r="X827" s="13"/>
      <c r="Y827" s="13"/>
      <c r="Z827" s="13"/>
    </row>
    <row r="828" s="2" customFormat="1" hidden="1" spans="1:26">
      <c r="A828" s="11" t="s">
        <v>935</v>
      </c>
      <c r="B828" s="11" t="s">
        <v>937</v>
      </c>
      <c r="C828" s="14" t="s">
        <v>414</v>
      </c>
      <c r="D828" s="14" t="s">
        <v>938</v>
      </c>
      <c r="E828" s="14" t="s">
        <v>939</v>
      </c>
      <c r="F828" s="3" t="s">
        <v>943</v>
      </c>
      <c r="G828" s="4">
        <v>7</v>
      </c>
      <c r="H828" s="12">
        <v>1366.324</v>
      </c>
      <c r="I828" s="12">
        <v>124.334344</v>
      </c>
      <c r="J828" s="13">
        <v>0.0909991656</v>
      </c>
      <c r="K828" s="13">
        <v>0.0909991656</v>
      </c>
      <c r="L828" s="12">
        <v>28.7042857142</v>
      </c>
      <c r="M828" s="13">
        <v>0.1193940639</v>
      </c>
      <c r="N828" s="13">
        <v>0.0601255675</v>
      </c>
      <c r="O828" s="13">
        <v>0.2543174239</v>
      </c>
      <c r="P828" s="13">
        <v>0</v>
      </c>
      <c r="Q828" s="13">
        <v>0.0327683807</v>
      </c>
      <c r="R828" s="13">
        <v>0.2971657183</v>
      </c>
      <c r="S828" s="13">
        <v>0</v>
      </c>
      <c r="T828" s="13">
        <v>0.1200418056</v>
      </c>
      <c r="U828" s="13">
        <v>0.0123125137</v>
      </c>
      <c r="V828" s="13">
        <v>0</v>
      </c>
      <c r="W828" s="13">
        <v>0</v>
      </c>
      <c r="X828" s="13">
        <v>0</v>
      </c>
      <c r="Y828" s="13">
        <v>0</v>
      </c>
      <c r="Z828" s="13">
        <v>0.0128753604</v>
      </c>
    </row>
    <row r="829" s="2" customFormat="1" spans="1:26">
      <c r="A829" s="11" t="s">
        <v>935</v>
      </c>
      <c r="B829" s="11" t="s">
        <v>937</v>
      </c>
      <c r="C829" s="14" t="s">
        <v>414</v>
      </c>
      <c r="D829" s="14" t="s">
        <v>938</v>
      </c>
      <c r="E829" s="14" t="s">
        <v>939</v>
      </c>
      <c r="F829" s="3" t="s">
        <v>944</v>
      </c>
      <c r="G829" s="4">
        <v>31</v>
      </c>
      <c r="H829" s="12">
        <v>5689.492</v>
      </c>
      <c r="I829" s="12">
        <v>1031.364604</v>
      </c>
      <c r="J829" s="13">
        <v>0.1812753412</v>
      </c>
      <c r="K829" s="13">
        <v>0.1812753412</v>
      </c>
      <c r="L829" s="12">
        <v>26.99</v>
      </c>
      <c r="M829" s="13">
        <v>0.126977448</v>
      </c>
      <c r="N829" s="13">
        <v>0.0610950243</v>
      </c>
      <c r="O829" s="13">
        <v>0.2763986661</v>
      </c>
      <c r="P829" s="13">
        <v>0.0322580645</v>
      </c>
      <c r="Q829" s="13">
        <v>0.0066666254</v>
      </c>
      <c r="R829" s="13">
        <v>0.192937655</v>
      </c>
      <c r="S829" s="13">
        <v>0</v>
      </c>
      <c r="T829" s="13">
        <v>0.1169489297</v>
      </c>
      <c r="U829" s="13">
        <v>0.0130945502</v>
      </c>
      <c r="V829" s="13">
        <v>-0.0090571179</v>
      </c>
      <c r="W829" s="13">
        <v>0</v>
      </c>
      <c r="X829" s="13">
        <v>0</v>
      </c>
      <c r="Y829" s="13">
        <v>0</v>
      </c>
      <c r="Z829" s="13">
        <v>0.0014048131</v>
      </c>
    </row>
    <row r="830" s="2" customFormat="1" hidden="1" spans="1:26">
      <c r="A830" s="11" t="s">
        <v>935</v>
      </c>
      <c r="B830" s="11" t="s">
        <v>937</v>
      </c>
      <c r="C830" s="14" t="s">
        <v>414</v>
      </c>
      <c r="D830" s="14" t="s">
        <v>938</v>
      </c>
      <c r="E830" s="14" t="s">
        <v>939</v>
      </c>
      <c r="F830" s="3" t="s">
        <v>945</v>
      </c>
      <c r="G830" s="4">
        <v>2</v>
      </c>
      <c r="H830" s="12">
        <v>367.064</v>
      </c>
      <c r="I830" s="12">
        <v>-2.52248</v>
      </c>
      <c r="J830" s="13">
        <v>-0.0068720441</v>
      </c>
      <c r="K830" s="13">
        <v>-0.0068720441</v>
      </c>
      <c r="L830" s="12">
        <v>26.99</v>
      </c>
      <c r="M830" s="13">
        <v>0.126977448</v>
      </c>
      <c r="N830" s="13">
        <v>0.0610950243</v>
      </c>
      <c r="O830" s="13">
        <v>0.2763986661</v>
      </c>
      <c r="P830" s="13">
        <v>0</v>
      </c>
      <c r="Q830" s="13">
        <v>0</v>
      </c>
      <c r="R830" s="13">
        <v>0.2532781967</v>
      </c>
      <c r="S830" s="13">
        <v>0</v>
      </c>
      <c r="T830" s="13">
        <v>0.1200444609</v>
      </c>
      <c r="U830" s="13">
        <v>0.0130945502</v>
      </c>
      <c r="V830" s="13">
        <v>0.1559836976</v>
      </c>
      <c r="W830" s="13">
        <v>0</v>
      </c>
      <c r="X830" s="13">
        <v>0</v>
      </c>
      <c r="Y830" s="13">
        <v>0</v>
      </c>
      <c r="Z830" s="13">
        <v>0</v>
      </c>
    </row>
    <row r="831" s="2" customFormat="1" hidden="1" spans="1:26">
      <c r="A831" s="11" t="s">
        <v>935</v>
      </c>
      <c r="B831" s="11" t="s">
        <v>937</v>
      </c>
      <c r="C831" s="14" t="s">
        <v>418</v>
      </c>
      <c r="D831" s="14" t="s">
        <v>938</v>
      </c>
      <c r="E831" s="14" t="s">
        <v>939</v>
      </c>
      <c r="F831" s="3" t="s">
        <v>936</v>
      </c>
      <c r="G831" s="4">
        <v>137</v>
      </c>
      <c r="H831" s="12">
        <v>21240.956</v>
      </c>
      <c r="I831" s="12">
        <v>5674.477556</v>
      </c>
      <c r="J831" s="13">
        <v>0.267147936</v>
      </c>
      <c r="K831" s="13">
        <v>0.267147936</v>
      </c>
      <c r="L831" s="12">
        <v>22.8005109488</v>
      </c>
      <c r="M831" s="13">
        <v>0.1074662899</v>
      </c>
      <c r="N831" s="13">
        <v>0.0192520084</v>
      </c>
      <c r="O831" s="13">
        <v>0.2760118706</v>
      </c>
      <c r="P831" s="13">
        <v>0.0286201807</v>
      </c>
      <c r="Q831" s="13">
        <v>0.0161781552</v>
      </c>
      <c r="R831" s="13">
        <v>0.1644660965</v>
      </c>
      <c r="S831" s="13">
        <v>0</v>
      </c>
      <c r="T831" s="13">
        <v>0.1144359039</v>
      </c>
      <c r="U831" s="13">
        <v>0.0110824594</v>
      </c>
      <c r="V831" s="13">
        <v>-0.0108878338</v>
      </c>
      <c r="W831" s="13">
        <v>0</v>
      </c>
      <c r="X831" s="13">
        <v>0</v>
      </c>
      <c r="Y831" s="13">
        <v>0</v>
      </c>
      <c r="Z831" s="13">
        <v>0.0062269326</v>
      </c>
    </row>
    <row r="832" s="2" customFormat="1" hidden="1" spans="1:26">
      <c r="A832" s="11" t="s">
        <v>935</v>
      </c>
      <c r="B832" s="11" t="s">
        <v>937</v>
      </c>
      <c r="C832" s="14" t="s">
        <v>418</v>
      </c>
      <c r="D832" s="14" t="s">
        <v>938</v>
      </c>
      <c r="E832" s="14" t="s">
        <v>939</v>
      </c>
      <c r="F832" s="3" t="s">
        <v>940</v>
      </c>
      <c r="G832" s="4">
        <v>0</v>
      </c>
      <c r="H832" s="12">
        <v>0</v>
      </c>
      <c r="I832" s="12">
        <v>-7.48</v>
      </c>
      <c r="J832" s="13"/>
      <c r="K832" s="13"/>
      <c r="L832" s="12"/>
      <c r="M832" s="13"/>
      <c r="N832" s="13"/>
      <c r="O832" s="13"/>
      <c r="P832" s="13"/>
      <c r="Q832" s="13"/>
      <c r="R832" s="13"/>
      <c r="S832" s="13"/>
      <c r="T832" s="13"/>
      <c r="U832" s="13"/>
      <c r="V832" s="13"/>
      <c r="W832" s="13"/>
      <c r="X832" s="13"/>
      <c r="Y832" s="13"/>
      <c r="Z832" s="13"/>
    </row>
    <row r="833" s="2" customFormat="1" hidden="1" spans="1:26">
      <c r="A833" s="11" t="s">
        <v>935</v>
      </c>
      <c r="B833" s="11" t="s">
        <v>937</v>
      </c>
      <c r="C833" s="14" t="s">
        <v>418</v>
      </c>
      <c r="D833" s="14" t="s">
        <v>938</v>
      </c>
      <c r="E833" s="14" t="s">
        <v>939</v>
      </c>
      <c r="F833" s="3" t="s">
        <v>941</v>
      </c>
      <c r="G833" s="4">
        <v>33</v>
      </c>
      <c r="H833" s="12">
        <v>5011.26</v>
      </c>
      <c r="I833" s="12">
        <v>837.178591</v>
      </c>
      <c r="J833" s="13">
        <v>0.1670595002</v>
      </c>
      <c r="K833" s="13">
        <v>0.1670595002</v>
      </c>
      <c r="L833" s="12">
        <v>22.3318181818</v>
      </c>
      <c r="M833" s="13">
        <v>0.1097217568</v>
      </c>
      <c r="N833" s="13">
        <v>0.02788273</v>
      </c>
      <c r="O833" s="13">
        <v>0.2794219417</v>
      </c>
      <c r="P833" s="13">
        <v>0</v>
      </c>
      <c r="Q833" s="13">
        <v>0.0126963053</v>
      </c>
      <c r="R833" s="13">
        <v>0.2786743078</v>
      </c>
      <c r="S833" s="13">
        <v>0</v>
      </c>
      <c r="T833" s="13">
        <v>0.1078906303</v>
      </c>
      <c r="U833" s="13">
        <v>0.0113150542</v>
      </c>
      <c r="V833" s="13">
        <v>0</v>
      </c>
      <c r="W833" s="13">
        <v>0</v>
      </c>
      <c r="X833" s="13">
        <v>0</v>
      </c>
      <c r="Y833" s="13">
        <v>0</v>
      </c>
      <c r="Z833" s="13">
        <v>0.0053377733</v>
      </c>
    </row>
    <row r="834" s="2" customFormat="1" hidden="1" spans="1:26">
      <c r="A834" s="11" t="s">
        <v>935</v>
      </c>
      <c r="B834" s="11" t="s">
        <v>937</v>
      </c>
      <c r="C834" s="14" t="s">
        <v>418</v>
      </c>
      <c r="D834" s="14" t="s">
        <v>938</v>
      </c>
      <c r="E834" s="14" t="s">
        <v>939</v>
      </c>
      <c r="F834" s="3" t="s">
        <v>942</v>
      </c>
      <c r="G834" s="4">
        <v>39</v>
      </c>
      <c r="H834" s="12">
        <v>6088.516</v>
      </c>
      <c r="I834" s="12">
        <v>1393.059239</v>
      </c>
      <c r="J834" s="13">
        <v>0.2288011132</v>
      </c>
      <c r="K834" s="13">
        <v>0.2288011132</v>
      </c>
      <c r="L834" s="12">
        <v>22.9582051281</v>
      </c>
      <c r="M834" s="13">
        <v>0.1067281309</v>
      </c>
      <c r="N834" s="13">
        <v>0.0164778584</v>
      </c>
      <c r="O834" s="13">
        <v>0.2748584384</v>
      </c>
      <c r="P834" s="13">
        <v>0.0484939187</v>
      </c>
      <c r="Q834" s="13">
        <v>0.0212119936</v>
      </c>
      <c r="R834" s="13">
        <v>0.1705423175</v>
      </c>
      <c r="S834" s="13">
        <v>0</v>
      </c>
      <c r="T834" s="13">
        <v>0.1153936361</v>
      </c>
      <c r="U834" s="13">
        <v>0.0110063368</v>
      </c>
      <c r="V834" s="13">
        <v>0</v>
      </c>
      <c r="W834" s="13">
        <v>0</v>
      </c>
      <c r="X834" s="13">
        <v>0</v>
      </c>
      <c r="Y834" s="13">
        <v>0</v>
      </c>
      <c r="Z834" s="13">
        <v>0.0064862559</v>
      </c>
    </row>
    <row r="835" s="2" customFormat="1" hidden="1" spans="1:26">
      <c r="A835" s="11" t="s">
        <v>935</v>
      </c>
      <c r="B835" s="11" t="s">
        <v>937</v>
      </c>
      <c r="C835" s="14" t="s">
        <v>418</v>
      </c>
      <c r="D835" s="14" t="s">
        <v>938</v>
      </c>
      <c r="E835" s="14" t="s">
        <v>939</v>
      </c>
      <c r="F835" s="3" t="s">
        <v>943</v>
      </c>
      <c r="G835" s="4">
        <v>29</v>
      </c>
      <c r="H835" s="12">
        <v>4554.028</v>
      </c>
      <c r="I835" s="12">
        <v>1215.203532</v>
      </c>
      <c r="J835" s="13">
        <v>0.2668414713</v>
      </c>
      <c r="K835" s="13">
        <v>0.2668414713</v>
      </c>
      <c r="L835" s="12">
        <v>23.0934482758</v>
      </c>
      <c r="M835" s="13">
        <v>0.106103094</v>
      </c>
      <c r="N835" s="13">
        <v>0.0163813586</v>
      </c>
      <c r="O835" s="13">
        <v>0.27323767</v>
      </c>
      <c r="P835" s="13">
        <v>0.0358214749</v>
      </c>
      <c r="Q835" s="13">
        <v>0.0206096295</v>
      </c>
      <c r="R835" s="13">
        <v>0.1531430199</v>
      </c>
      <c r="S835" s="13">
        <v>0</v>
      </c>
      <c r="T835" s="13">
        <v>0.1166176404</v>
      </c>
      <c r="U835" s="13">
        <v>0.0109418802</v>
      </c>
      <c r="V835" s="13">
        <v>-0.012572606</v>
      </c>
      <c r="W835" s="13">
        <v>0</v>
      </c>
      <c r="X835" s="13">
        <v>0</v>
      </c>
      <c r="Y835" s="13">
        <v>0</v>
      </c>
      <c r="Z835" s="13">
        <v>0.0128753668</v>
      </c>
    </row>
    <row r="836" s="2" customFormat="1" spans="1:26">
      <c r="A836" s="11" t="s">
        <v>935</v>
      </c>
      <c r="B836" s="11" t="s">
        <v>937</v>
      </c>
      <c r="C836" s="14" t="s">
        <v>418</v>
      </c>
      <c r="D836" s="14" t="s">
        <v>938</v>
      </c>
      <c r="E836" s="14" t="s">
        <v>939</v>
      </c>
      <c r="F836" s="3" t="s">
        <v>944</v>
      </c>
      <c r="G836" s="4">
        <v>34</v>
      </c>
      <c r="H836" s="12">
        <v>5260.888</v>
      </c>
      <c r="I836" s="12">
        <v>2082.353657</v>
      </c>
      <c r="J836" s="13">
        <v>0.3958179031</v>
      </c>
      <c r="K836" s="13">
        <v>0.3958179031</v>
      </c>
      <c r="L836" s="12">
        <v>22.7547058823</v>
      </c>
      <c r="M836" s="13">
        <v>0.1076826189</v>
      </c>
      <c r="N836" s="13">
        <v>0.0169247085</v>
      </c>
      <c r="O836" s="13">
        <v>0.2773052762</v>
      </c>
      <c r="P836" s="13">
        <v>0.0284233384</v>
      </c>
      <c r="Q836" s="13">
        <v>0.010836308</v>
      </c>
      <c r="R836" s="13">
        <v>0.0662513676</v>
      </c>
      <c r="S836" s="13">
        <v>0</v>
      </c>
      <c r="T836" s="13">
        <v>0.1173254401</v>
      </c>
      <c r="U836" s="13">
        <v>0.0111047682</v>
      </c>
      <c r="V836" s="13">
        <v>-0.0330765452</v>
      </c>
      <c r="W836" s="13">
        <v>0</v>
      </c>
      <c r="X836" s="13">
        <v>0</v>
      </c>
      <c r="Y836" s="13">
        <v>0</v>
      </c>
      <c r="Z836" s="13">
        <v>0.0014048158</v>
      </c>
    </row>
    <row r="837" s="2" customFormat="1" hidden="1" spans="1:26">
      <c r="A837" s="11" t="s">
        <v>935</v>
      </c>
      <c r="B837" s="11" t="s">
        <v>937</v>
      </c>
      <c r="C837" s="14" t="s">
        <v>418</v>
      </c>
      <c r="D837" s="14" t="s">
        <v>938</v>
      </c>
      <c r="E837" s="14" t="s">
        <v>939</v>
      </c>
      <c r="F837" s="3" t="s">
        <v>945</v>
      </c>
      <c r="G837" s="4">
        <v>2</v>
      </c>
      <c r="H837" s="12">
        <v>326.264</v>
      </c>
      <c r="I837" s="12">
        <v>154.162537</v>
      </c>
      <c r="J837" s="13">
        <v>0.4725085728</v>
      </c>
      <c r="K837" s="13">
        <v>0.4725085728</v>
      </c>
      <c r="L837" s="12">
        <v>23.99</v>
      </c>
      <c r="M837" s="13">
        <v>0.1021378209</v>
      </c>
      <c r="N837" s="13">
        <v>0.0160532207</v>
      </c>
      <c r="O837" s="13">
        <v>0.2630262609</v>
      </c>
      <c r="P837" s="13">
        <v>0</v>
      </c>
      <c r="Q837" s="13">
        <v>0</v>
      </c>
      <c r="R837" s="13">
        <v>0.0156911427</v>
      </c>
      <c r="S837" s="13">
        <v>0</v>
      </c>
      <c r="T837" s="13">
        <v>0.1200500208</v>
      </c>
      <c r="U837" s="13">
        <v>0.010532961</v>
      </c>
      <c r="V837" s="13">
        <v>0</v>
      </c>
      <c r="W837" s="13">
        <v>0</v>
      </c>
      <c r="X837" s="13">
        <v>0</v>
      </c>
      <c r="Y837" s="13">
        <v>0</v>
      </c>
      <c r="Z837" s="13">
        <v>0</v>
      </c>
    </row>
    <row r="838" s="2" customFormat="1" hidden="1" spans="1:26">
      <c r="A838" s="11" t="s">
        <v>935</v>
      </c>
      <c r="B838" s="11" t="s">
        <v>937</v>
      </c>
      <c r="C838" s="14" t="s">
        <v>422</v>
      </c>
      <c r="D838" s="14" t="s">
        <v>938</v>
      </c>
      <c r="E838" s="14" t="s">
        <v>939</v>
      </c>
      <c r="F838" s="3" t="s">
        <v>936</v>
      </c>
      <c r="G838" s="4">
        <v>99</v>
      </c>
      <c r="H838" s="12">
        <v>17843.268</v>
      </c>
      <c r="I838" s="12">
        <v>1821.185606</v>
      </c>
      <c r="J838" s="13">
        <v>0.1020656981</v>
      </c>
      <c r="K838" s="13">
        <v>0.1020656981</v>
      </c>
      <c r="L838" s="12">
        <v>26.5051515151</v>
      </c>
      <c r="M838" s="13">
        <v>0.1176782058</v>
      </c>
      <c r="N838" s="13">
        <v>0.0254801814</v>
      </c>
      <c r="O838" s="13">
        <v>0.348733427</v>
      </c>
      <c r="P838" s="13">
        <v>0.0697139111</v>
      </c>
      <c r="Q838" s="13">
        <v>0.0112513089</v>
      </c>
      <c r="R838" s="13">
        <v>0.2014885727</v>
      </c>
      <c r="S838" s="13">
        <v>0</v>
      </c>
      <c r="T838" s="13">
        <v>0.1030636316</v>
      </c>
      <c r="U838" s="13">
        <v>0.0121355654</v>
      </c>
      <c r="V838" s="13">
        <v>-0.0061432692</v>
      </c>
      <c r="W838" s="13">
        <v>0</v>
      </c>
      <c r="X838" s="13">
        <v>0.0065548529</v>
      </c>
      <c r="Y838" s="13">
        <v>0</v>
      </c>
      <c r="Z838" s="13">
        <v>0.0079779138</v>
      </c>
    </row>
    <row r="839" s="2" customFormat="1" hidden="1" spans="1:26">
      <c r="A839" s="11" t="s">
        <v>935</v>
      </c>
      <c r="B839" s="11" t="s">
        <v>937</v>
      </c>
      <c r="C839" s="14" t="s">
        <v>422</v>
      </c>
      <c r="D839" s="14" t="s">
        <v>938</v>
      </c>
      <c r="E839" s="14" t="s">
        <v>939</v>
      </c>
      <c r="F839" s="3" t="s">
        <v>941</v>
      </c>
      <c r="G839" s="4">
        <v>26</v>
      </c>
      <c r="H839" s="12">
        <v>4241.432</v>
      </c>
      <c r="I839" s="12">
        <v>-459.024037</v>
      </c>
      <c r="J839" s="13">
        <v>-0.108223835</v>
      </c>
      <c r="K839" s="13">
        <v>-0.108223835</v>
      </c>
      <c r="L839" s="12">
        <v>23.99</v>
      </c>
      <c r="M839" s="13">
        <v>0.1300157847</v>
      </c>
      <c r="N839" s="13">
        <v>0.0424209719</v>
      </c>
      <c r="O839" s="13">
        <v>0.3912046686</v>
      </c>
      <c r="P839" s="13">
        <v>0</v>
      </c>
      <c r="Q839" s="13">
        <v>0.0017910934</v>
      </c>
      <c r="R839" s="13">
        <v>0.4435473872</v>
      </c>
      <c r="S839" s="13">
        <v>0</v>
      </c>
      <c r="T839" s="13">
        <v>0.0804982845</v>
      </c>
      <c r="U839" s="13">
        <v>0.0134078782</v>
      </c>
      <c r="V839" s="13">
        <v>0</v>
      </c>
      <c r="W839" s="13">
        <v>0</v>
      </c>
      <c r="X839" s="13">
        <v>0</v>
      </c>
      <c r="Y839" s="13">
        <v>0</v>
      </c>
      <c r="Z839" s="13">
        <v>0.0053377661</v>
      </c>
    </row>
    <row r="840" s="2" customFormat="1" hidden="1" spans="1:26">
      <c r="A840" s="11" t="s">
        <v>935</v>
      </c>
      <c r="B840" s="11" t="s">
        <v>937</v>
      </c>
      <c r="C840" s="14" t="s">
        <v>422</v>
      </c>
      <c r="D840" s="14" t="s">
        <v>938</v>
      </c>
      <c r="E840" s="14" t="s">
        <v>939</v>
      </c>
      <c r="F840" s="3" t="s">
        <v>942</v>
      </c>
      <c r="G840" s="4">
        <v>48</v>
      </c>
      <c r="H840" s="12">
        <v>8673.536</v>
      </c>
      <c r="I840" s="12">
        <v>1623.091786</v>
      </c>
      <c r="J840" s="13">
        <v>0.1871314981</v>
      </c>
      <c r="K840" s="13">
        <v>0.1871314981</v>
      </c>
      <c r="L840" s="12">
        <v>26.5733333333</v>
      </c>
      <c r="M840" s="13">
        <v>0.1173762673</v>
      </c>
      <c r="N840" s="13">
        <v>0.0208266229</v>
      </c>
      <c r="O840" s="13">
        <v>0.3420722528</v>
      </c>
      <c r="P840" s="13">
        <v>0.0564240466</v>
      </c>
      <c r="Q840" s="13">
        <v>0.0108599851</v>
      </c>
      <c r="R840" s="13">
        <v>0.1434274506</v>
      </c>
      <c r="S840" s="13">
        <v>0</v>
      </c>
      <c r="T840" s="13">
        <v>0.1127932137</v>
      </c>
      <c r="U840" s="13">
        <v>0.0121044279</v>
      </c>
      <c r="V840" s="13">
        <v>-0.009502007</v>
      </c>
      <c r="W840" s="13">
        <v>0</v>
      </c>
      <c r="X840" s="13">
        <v>0</v>
      </c>
      <c r="Y840" s="13">
        <v>0</v>
      </c>
      <c r="Z840" s="13">
        <v>0.0064862414</v>
      </c>
    </row>
    <row r="841" s="2" customFormat="1" hidden="1" spans="1:26">
      <c r="A841" s="11" t="s">
        <v>935</v>
      </c>
      <c r="B841" s="11" t="s">
        <v>937</v>
      </c>
      <c r="C841" s="14" t="s">
        <v>422</v>
      </c>
      <c r="D841" s="14" t="s">
        <v>938</v>
      </c>
      <c r="E841" s="14" t="s">
        <v>939</v>
      </c>
      <c r="F841" s="3" t="s">
        <v>943</v>
      </c>
      <c r="G841" s="4">
        <v>25</v>
      </c>
      <c r="H841" s="12">
        <v>4928.3</v>
      </c>
      <c r="I841" s="12">
        <v>628.750984</v>
      </c>
      <c r="J841" s="13">
        <v>0.1275796895</v>
      </c>
      <c r="K841" s="13">
        <v>0.1275796895</v>
      </c>
      <c r="L841" s="12">
        <v>28.99</v>
      </c>
      <c r="M841" s="13">
        <v>0.1075915376</v>
      </c>
      <c r="N841" s="13">
        <v>0.0190904723</v>
      </c>
      <c r="O841" s="13">
        <v>0.3239047947</v>
      </c>
      <c r="P841" s="13">
        <v>0.1531010693</v>
      </c>
      <c r="Q841" s="13">
        <v>0.0154616642</v>
      </c>
      <c r="R841" s="13">
        <v>0.0953503975</v>
      </c>
      <c r="S841" s="13">
        <v>0</v>
      </c>
      <c r="T841" s="13">
        <v>0.1053604691</v>
      </c>
      <c r="U841" s="13">
        <v>0.0110953777</v>
      </c>
      <c r="V841" s="13">
        <v>0.0167230079</v>
      </c>
      <c r="W841" s="13">
        <v>0</v>
      </c>
      <c r="X841" s="13">
        <v>0.0118661603</v>
      </c>
      <c r="Y841" s="13">
        <v>0</v>
      </c>
      <c r="Z841" s="13">
        <v>0.0128753594</v>
      </c>
    </row>
    <row r="842" s="2" customFormat="1" spans="1:26">
      <c r="A842" s="11" t="s">
        <v>935</v>
      </c>
      <c r="B842" s="11" t="s">
        <v>937</v>
      </c>
      <c r="C842" s="14" t="s">
        <v>422</v>
      </c>
      <c r="D842" s="14" t="s">
        <v>938</v>
      </c>
      <c r="E842" s="14" t="s">
        <v>939</v>
      </c>
      <c r="F842" s="3" t="s">
        <v>944</v>
      </c>
      <c r="G842" s="4">
        <v>0</v>
      </c>
      <c r="H842" s="12">
        <v>0</v>
      </c>
      <c r="I842" s="12">
        <v>33.325225</v>
      </c>
      <c r="J842" s="13"/>
      <c r="K842" s="13"/>
      <c r="L842" s="12"/>
      <c r="M842" s="13"/>
      <c r="N842" s="13"/>
      <c r="O842" s="13"/>
      <c r="P842" s="13"/>
      <c r="Q842" s="13"/>
      <c r="R842" s="13"/>
      <c r="S842" s="13"/>
      <c r="T842" s="13"/>
      <c r="U842" s="13"/>
      <c r="V842" s="13"/>
      <c r="W842" s="13"/>
      <c r="X842" s="13"/>
      <c r="Y842" s="13"/>
      <c r="Z842" s="13"/>
    </row>
    <row r="843" s="2" customFormat="1" hidden="1" spans="1:26">
      <c r="A843" s="11" t="s">
        <v>935</v>
      </c>
      <c r="B843" s="11" t="s">
        <v>937</v>
      </c>
      <c r="C843" s="14" t="s">
        <v>422</v>
      </c>
      <c r="D843" s="14" t="s">
        <v>938</v>
      </c>
      <c r="E843" s="14" t="s">
        <v>939</v>
      </c>
      <c r="F843" s="3" t="s">
        <v>945</v>
      </c>
      <c r="G843" s="4">
        <v>0</v>
      </c>
      <c r="H843" s="12">
        <v>0</v>
      </c>
      <c r="I843" s="12">
        <v>-4.958352</v>
      </c>
      <c r="J843" s="13"/>
      <c r="K843" s="13"/>
      <c r="L843" s="12"/>
      <c r="M843" s="13"/>
      <c r="N843" s="13"/>
      <c r="O843" s="13"/>
      <c r="P843" s="13"/>
      <c r="Q843" s="13"/>
      <c r="R843" s="13"/>
      <c r="S843" s="13"/>
      <c r="T843" s="13"/>
      <c r="U843" s="13"/>
      <c r="V843" s="13"/>
      <c r="W843" s="13"/>
      <c r="X843" s="13"/>
      <c r="Y843" s="13"/>
      <c r="Z843" s="13"/>
    </row>
    <row r="844" s="2" customFormat="1" hidden="1" spans="1:26">
      <c r="A844" s="11" t="s">
        <v>935</v>
      </c>
      <c r="B844" s="11" t="s">
        <v>937</v>
      </c>
      <c r="C844" s="14" t="s">
        <v>426</v>
      </c>
      <c r="D844" s="14" t="s">
        <v>938</v>
      </c>
      <c r="E844" s="14" t="s">
        <v>939</v>
      </c>
      <c r="F844" s="3" t="s">
        <v>936</v>
      </c>
      <c r="G844" s="4">
        <v>109</v>
      </c>
      <c r="H844" s="12">
        <v>17468.588</v>
      </c>
      <c r="I844" s="12">
        <v>2472.140939</v>
      </c>
      <c r="J844" s="13">
        <v>0.1415192194</v>
      </c>
      <c r="K844" s="13">
        <v>0.1415192194</v>
      </c>
      <c r="L844" s="12">
        <v>23.5679816513</v>
      </c>
      <c r="M844" s="13">
        <v>0.094673347</v>
      </c>
      <c r="N844" s="13">
        <v>0.0252506899</v>
      </c>
      <c r="O844" s="13">
        <v>0.3403972891</v>
      </c>
      <c r="P844" s="13">
        <v>0.048250036</v>
      </c>
      <c r="Q844" s="13">
        <v>0.0310009098</v>
      </c>
      <c r="R844" s="13">
        <v>0.2014406</v>
      </c>
      <c r="S844" s="13">
        <v>0</v>
      </c>
      <c r="T844" s="13">
        <v>0.1072439283</v>
      </c>
      <c r="U844" s="13">
        <v>0.0097631897</v>
      </c>
      <c r="V844" s="13">
        <v>-0.0057728764</v>
      </c>
      <c r="W844" s="13">
        <v>0</v>
      </c>
      <c r="X844" s="13">
        <v>0.0005955832</v>
      </c>
      <c r="Y844" s="13">
        <v>0</v>
      </c>
      <c r="Z844" s="13">
        <v>0.0056380835</v>
      </c>
    </row>
    <row r="845" s="2" customFormat="1" hidden="1" spans="1:26">
      <c r="A845" s="11" t="s">
        <v>935</v>
      </c>
      <c r="B845" s="11" t="s">
        <v>937</v>
      </c>
      <c r="C845" s="14" t="s">
        <v>426</v>
      </c>
      <c r="D845" s="14" t="s">
        <v>938</v>
      </c>
      <c r="E845" s="14" t="s">
        <v>939</v>
      </c>
      <c r="F845" s="3" t="s">
        <v>941</v>
      </c>
      <c r="G845" s="4">
        <v>3</v>
      </c>
      <c r="H845" s="12">
        <v>489.396</v>
      </c>
      <c r="I845" s="12">
        <v>4.51589</v>
      </c>
      <c r="J845" s="13">
        <v>0.0092274763</v>
      </c>
      <c r="K845" s="13">
        <v>0.0092274763</v>
      </c>
      <c r="L845" s="12">
        <v>23.99</v>
      </c>
      <c r="M845" s="13">
        <v>0.0930079077</v>
      </c>
      <c r="N845" s="13">
        <v>0.0258030245</v>
      </c>
      <c r="O845" s="13">
        <v>0.3086008058</v>
      </c>
      <c r="P845" s="13">
        <v>0</v>
      </c>
      <c r="Q845" s="13">
        <v>0.0017911057</v>
      </c>
      <c r="R845" s="13">
        <v>0.4557693503</v>
      </c>
      <c r="S845" s="13">
        <v>0</v>
      </c>
      <c r="T845" s="13">
        <v>0.0908711963</v>
      </c>
      <c r="U845" s="13">
        <v>0.0095914412</v>
      </c>
      <c r="V845" s="13">
        <v>0</v>
      </c>
      <c r="W845" s="13">
        <v>0</v>
      </c>
      <c r="X845" s="13">
        <v>0</v>
      </c>
      <c r="Y845" s="13">
        <v>0</v>
      </c>
      <c r="Z845" s="13">
        <v>0.0053376917</v>
      </c>
    </row>
    <row r="846" s="2" customFormat="1" hidden="1" spans="1:26">
      <c r="A846" s="11" t="s">
        <v>935</v>
      </c>
      <c r="B846" s="11" t="s">
        <v>937</v>
      </c>
      <c r="C846" s="14" t="s">
        <v>426</v>
      </c>
      <c r="D846" s="14" t="s">
        <v>938</v>
      </c>
      <c r="E846" s="14" t="s">
        <v>939</v>
      </c>
      <c r="F846" s="3" t="s">
        <v>942</v>
      </c>
      <c r="G846" s="4">
        <v>39</v>
      </c>
      <c r="H846" s="12">
        <v>5994.948</v>
      </c>
      <c r="I846" s="12">
        <v>91.850069</v>
      </c>
      <c r="J846" s="13">
        <v>0.0153212453</v>
      </c>
      <c r="K846" s="13">
        <v>0.0153212453</v>
      </c>
      <c r="L846" s="12">
        <v>22.6053846153</v>
      </c>
      <c r="M846" s="13">
        <v>0.0987047884</v>
      </c>
      <c r="N846" s="13">
        <v>0.0273835004</v>
      </c>
      <c r="O846" s="13">
        <v>0.355667472</v>
      </c>
      <c r="P846" s="13">
        <v>0.0589603112</v>
      </c>
      <c r="Q846" s="13">
        <v>0.0281241471</v>
      </c>
      <c r="R846" s="13">
        <v>0.3062297717</v>
      </c>
      <c r="S846" s="13">
        <v>0</v>
      </c>
      <c r="T846" s="13">
        <v>0.0929435918</v>
      </c>
      <c r="U846" s="13">
        <v>0.0101789321</v>
      </c>
      <c r="V846" s="13">
        <v>0</v>
      </c>
      <c r="W846" s="13">
        <v>0</v>
      </c>
      <c r="X846" s="13">
        <v>0</v>
      </c>
      <c r="Y846" s="13">
        <v>0</v>
      </c>
      <c r="Z846" s="13">
        <v>0.0064862395</v>
      </c>
    </row>
    <row r="847" s="2" customFormat="1" hidden="1" spans="1:26">
      <c r="A847" s="11" t="s">
        <v>935</v>
      </c>
      <c r="B847" s="11" t="s">
        <v>937</v>
      </c>
      <c r="C847" s="14" t="s">
        <v>426</v>
      </c>
      <c r="D847" s="14" t="s">
        <v>938</v>
      </c>
      <c r="E847" s="14" t="s">
        <v>939</v>
      </c>
      <c r="F847" s="3" t="s">
        <v>943</v>
      </c>
      <c r="G847" s="4">
        <v>22</v>
      </c>
      <c r="H847" s="12">
        <v>3643.304</v>
      </c>
      <c r="I847" s="12">
        <v>617.421591</v>
      </c>
      <c r="J847" s="13">
        <v>0.1694674918</v>
      </c>
      <c r="K847" s="13">
        <v>0.1694674918</v>
      </c>
      <c r="L847" s="12">
        <v>24.3536363636</v>
      </c>
      <c r="M847" s="13">
        <v>0.0916191599</v>
      </c>
      <c r="N847" s="13">
        <v>0.023820733</v>
      </c>
      <c r="O847" s="13">
        <v>0.3301355033</v>
      </c>
      <c r="P847" s="13">
        <v>0</v>
      </c>
      <c r="Q847" s="13">
        <v>0.0602609052</v>
      </c>
      <c r="R847" s="13">
        <v>0.1794676672</v>
      </c>
      <c r="S847" s="13">
        <v>0</v>
      </c>
      <c r="T847" s="13">
        <v>0.1200492739</v>
      </c>
      <c r="U847" s="13">
        <v>0.0094482266</v>
      </c>
      <c r="V847" s="13">
        <v>0</v>
      </c>
      <c r="W847" s="13">
        <v>0</v>
      </c>
      <c r="X847" s="13">
        <v>0.0028556494</v>
      </c>
      <c r="Y847" s="13">
        <v>0</v>
      </c>
      <c r="Z847" s="13">
        <v>0.0128753892</v>
      </c>
    </row>
    <row r="848" s="2" customFormat="1" spans="1:26">
      <c r="A848" s="11" t="s">
        <v>935</v>
      </c>
      <c r="B848" s="11" t="s">
        <v>937</v>
      </c>
      <c r="C848" s="14" t="s">
        <v>426</v>
      </c>
      <c r="D848" s="14" t="s">
        <v>938</v>
      </c>
      <c r="E848" s="14" t="s">
        <v>939</v>
      </c>
      <c r="F848" s="3" t="s">
        <v>944</v>
      </c>
      <c r="G848" s="4">
        <v>44</v>
      </c>
      <c r="H848" s="12">
        <v>7177.808</v>
      </c>
      <c r="I848" s="12">
        <v>1863.248733</v>
      </c>
      <c r="J848" s="13">
        <v>0.2595846438</v>
      </c>
      <c r="K848" s="13">
        <v>0.2595846438</v>
      </c>
      <c r="L848" s="12">
        <v>23.99</v>
      </c>
      <c r="M848" s="13">
        <v>0.0930079077</v>
      </c>
      <c r="N848" s="13">
        <v>0.0241818036</v>
      </c>
      <c r="O848" s="13">
        <v>0.3351396415</v>
      </c>
      <c r="P848" s="13">
        <v>0.0454545454</v>
      </c>
      <c r="Q848" s="13">
        <v>0.021247986</v>
      </c>
      <c r="R848" s="13">
        <v>0.1087444861</v>
      </c>
      <c r="S848" s="13">
        <v>0</v>
      </c>
      <c r="T848" s="13">
        <v>0.1156921444</v>
      </c>
      <c r="U848" s="13">
        <v>0.0095914412</v>
      </c>
      <c r="V848" s="13">
        <v>-0.0140494145</v>
      </c>
      <c r="W848" s="13">
        <v>0</v>
      </c>
      <c r="X848" s="13">
        <v>0</v>
      </c>
      <c r="Y848" s="13">
        <v>0</v>
      </c>
      <c r="Z848" s="13">
        <v>0.0014048143</v>
      </c>
    </row>
    <row r="849" s="2" customFormat="1" hidden="1" spans="1:26">
      <c r="A849" s="11" t="s">
        <v>935</v>
      </c>
      <c r="B849" s="11" t="s">
        <v>937</v>
      </c>
      <c r="C849" s="14" t="s">
        <v>426</v>
      </c>
      <c r="D849" s="14" t="s">
        <v>938</v>
      </c>
      <c r="E849" s="14" t="s">
        <v>939</v>
      </c>
      <c r="F849" s="3" t="s">
        <v>945</v>
      </c>
      <c r="G849" s="4">
        <v>1</v>
      </c>
      <c r="H849" s="12">
        <v>163.132</v>
      </c>
      <c r="I849" s="12">
        <v>-104.895344</v>
      </c>
      <c r="J849" s="13">
        <v>-0.6430089988</v>
      </c>
      <c r="K849" s="13">
        <v>-0.6430089988</v>
      </c>
      <c r="L849" s="12">
        <v>23.99</v>
      </c>
      <c r="M849" s="13">
        <v>0.0930079077</v>
      </c>
      <c r="N849" s="13">
        <v>0.0241818036</v>
      </c>
      <c r="O849" s="13">
        <v>0.3351396415</v>
      </c>
      <c r="P849" s="13">
        <v>1</v>
      </c>
      <c r="Q849" s="13">
        <v>0</v>
      </c>
      <c r="R849" s="13">
        <v>0.1569114643</v>
      </c>
      <c r="S849" s="13">
        <v>0</v>
      </c>
      <c r="T849" s="13">
        <v>0.0241767403</v>
      </c>
      <c r="U849" s="13">
        <v>0.0095914412</v>
      </c>
      <c r="V849" s="13">
        <v>0</v>
      </c>
      <c r="W849" s="13">
        <v>0</v>
      </c>
      <c r="X849" s="13">
        <v>0</v>
      </c>
      <c r="Y849" s="13">
        <v>0</v>
      </c>
      <c r="Z849" s="13">
        <v>0</v>
      </c>
    </row>
    <row r="850" s="2" customFormat="1" hidden="1" spans="1:26">
      <c r="A850" s="11" t="s">
        <v>935</v>
      </c>
      <c r="B850" s="11" t="s">
        <v>937</v>
      </c>
      <c r="C850" s="14" t="s">
        <v>430</v>
      </c>
      <c r="D850" s="14" t="s">
        <v>938</v>
      </c>
      <c r="E850" s="14" t="s">
        <v>939</v>
      </c>
      <c r="F850" s="3" t="s">
        <v>936</v>
      </c>
      <c r="G850" s="4">
        <v>14</v>
      </c>
      <c r="H850" s="12">
        <v>2168.248</v>
      </c>
      <c r="I850" s="12">
        <v>-1355.449002</v>
      </c>
      <c r="J850" s="13">
        <v>-0.6251355942</v>
      </c>
      <c r="K850" s="13">
        <v>-0.6251355942</v>
      </c>
      <c r="L850" s="12">
        <v>22.7757142857</v>
      </c>
      <c r="M850" s="13">
        <v>0.127948005</v>
      </c>
      <c r="N850" s="13">
        <v>0.023642325</v>
      </c>
      <c r="O850" s="13">
        <v>0.2972150787</v>
      </c>
      <c r="P850" s="13">
        <v>0</v>
      </c>
      <c r="Q850" s="13">
        <v>0.3580380569</v>
      </c>
      <c r="R850" s="13">
        <v>0.6986495285</v>
      </c>
      <c r="S850" s="13">
        <v>0</v>
      </c>
      <c r="T850" s="13">
        <v>0.101235652</v>
      </c>
      <c r="U850" s="13">
        <v>0.01319464</v>
      </c>
      <c r="V850" s="13">
        <v>0</v>
      </c>
      <c r="W850" s="13">
        <v>0</v>
      </c>
      <c r="X850" s="13">
        <v>0</v>
      </c>
      <c r="Y850" s="13">
        <v>0</v>
      </c>
      <c r="Z850" s="13">
        <v>0.0052123078</v>
      </c>
    </row>
    <row r="851" s="2" customFormat="1" hidden="1" spans="1:26">
      <c r="A851" s="11" t="s">
        <v>935</v>
      </c>
      <c r="B851" s="11" t="s">
        <v>937</v>
      </c>
      <c r="C851" s="14" t="s">
        <v>430</v>
      </c>
      <c r="D851" s="14" t="s">
        <v>938</v>
      </c>
      <c r="E851" s="14" t="s">
        <v>939</v>
      </c>
      <c r="F851" s="3" t="s">
        <v>940</v>
      </c>
      <c r="G851" s="4">
        <v>1</v>
      </c>
      <c r="H851" s="12">
        <v>163.132</v>
      </c>
      <c r="I851" s="12">
        <v>-0.019194</v>
      </c>
      <c r="J851" s="13">
        <v>-0.0001176593</v>
      </c>
      <c r="K851" s="13">
        <v>-0.0001176593</v>
      </c>
      <c r="L851" s="12">
        <v>23.99</v>
      </c>
      <c r="M851" s="13">
        <v>0.1214717468</v>
      </c>
      <c r="N851" s="13">
        <v>0.0297325601</v>
      </c>
      <c r="O851" s="13">
        <v>0.2542726135</v>
      </c>
      <c r="P851" s="13">
        <v>0</v>
      </c>
      <c r="Q851" s="13">
        <v>0.0008191771</v>
      </c>
      <c r="R851" s="13">
        <v>0.4729917857</v>
      </c>
      <c r="S851" s="13">
        <v>0</v>
      </c>
      <c r="T851" s="13">
        <v>0.1079616506</v>
      </c>
      <c r="U851" s="13">
        <v>0.0125267758</v>
      </c>
      <c r="V851" s="13">
        <v>0</v>
      </c>
      <c r="W851" s="13">
        <v>0</v>
      </c>
      <c r="X851" s="13">
        <v>0</v>
      </c>
      <c r="Y851" s="13">
        <v>0</v>
      </c>
      <c r="Z851" s="13">
        <v>0.0003413493</v>
      </c>
    </row>
    <row r="852" s="2" customFormat="1" hidden="1" spans="1:26">
      <c r="A852" s="11" t="s">
        <v>935</v>
      </c>
      <c r="B852" s="11" t="s">
        <v>937</v>
      </c>
      <c r="C852" s="14" t="s">
        <v>430</v>
      </c>
      <c r="D852" s="14" t="s">
        <v>938</v>
      </c>
      <c r="E852" s="14" t="s">
        <v>939</v>
      </c>
      <c r="F852" s="3" t="s">
        <v>941</v>
      </c>
      <c r="G852" s="4">
        <v>4</v>
      </c>
      <c r="H852" s="12">
        <v>625.328</v>
      </c>
      <c r="I852" s="12">
        <v>-273.574739</v>
      </c>
      <c r="J852" s="13">
        <v>-0.4374899876</v>
      </c>
      <c r="K852" s="13">
        <v>-0.4374899876</v>
      </c>
      <c r="L852" s="12">
        <v>22.99</v>
      </c>
      <c r="M852" s="13">
        <v>0.1267554243</v>
      </c>
      <c r="N852" s="13">
        <v>0.0310258424</v>
      </c>
      <c r="O852" s="13">
        <v>0.2889299695</v>
      </c>
      <c r="P852" s="13">
        <v>0</v>
      </c>
      <c r="Q852" s="13">
        <v>0.138571177</v>
      </c>
      <c r="R852" s="13">
        <v>0.76985727</v>
      </c>
      <c r="S852" s="13">
        <v>0</v>
      </c>
      <c r="T852" s="13">
        <v>0.0639408438</v>
      </c>
      <c r="U852" s="13">
        <v>0.0130716551</v>
      </c>
      <c r="V852" s="13">
        <v>0</v>
      </c>
      <c r="W852" s="13">
        <v>0</v>
      </c>
      <c r="X852" s="13">
        <v>0</v>
      </c>
      <c r="Y852" s="13">
        <v>0</v>
      </c>
      <c r="Z852" s="13">
        <v>0.0053378051</v>
      </c>
    </row>
    <row r="853" s="2" customFormat="1" hidden="1" spans="1:26">
      <c r="A853" s="11" t="s">
        <v>935</v>
      </c>
      <c r="B853" s="11" t="s">
        <v>937</v>
      </c>
      <c r="C853" s="14" t="s">
        <v>430</v>
      </c>
      <c r="D853" s="14" t="s">
        <v>938</v>
      </c>
      <c r="E853" s="14" t="s">
        <v>939</v>
      </c>
      <c r="F853" s="3" t="s">
        <v>942</v>
      </c>
      <c r="G853" s="4">
        <v>3</v>
      </c>
      <c r="H853" s="12">
        <v>468.996</v>
      </c>
      <c r="I853" s="12">
        <v>-396.483035</v>
      </c>
      <c r="J853" s="13">
        <v>-0.8453868156</v>
      </c>
      <c r="K853" s="13">
        <v>-0.8453868156</v>
      </c>
      <c r="L853" s="12">
        <v>22.99</v>
      </c>
      <c r="M853" s="13">
        <v>0.1267554243</v>
      </c>
      <c r="N853" s="13">
        <v>0.0191975795</v>
      </c>
      <c r="O853" s="13">
        <v>0.3001304915</v>
      </c>
      <c r="P853" s="13">
        <v>0</v>
      </c>
      <c r="Q853" s="13">
        <v>0.497190153</v>
      </c>
      <c r="R853" s="13">
        <v>0.7625030064</v>
      </c>
      <c r="S853" s="13">
        <v>0</v>
      </c>
      <c r="T853" s="13">
        <v>0.1200521966</v>
      </c>
      <c r="U853" s="13">
        <v>0.0130716551</v>
      </c>
      <c r="V853" s="13">
        <v>0</v>
      </c>
      <c r="W853" s="13">
        <v>0</v>
      </c>
      <c r="X853" s="13">
        <v>0</v>
      </c>
      <c r="Y853" s="13">
        <v>0</v>
      </c>
      <c r="Z853" s="13">
        <v>0.006486309</v>
      </c>
    </row>
    <row r="854" s="2" customFormat="1" hidden="1" spans="1:26">
      <c r="A854" s="11" t="s">
        <v>935</v>
      </c>
      <c r="B854" s="11" t="s">
        <v>937</v>
      </c>
      <c r="C854" s="14" t="s">
        <v>430</v>
      </c>
      <c r="D854" s="14" t="s">
        <v>938</v>
      </c>
      <c r="E854" s="14" t="s">
        <v>939</v>
      </c>
      <c r="F854" s="3" t="s">
        <v>943</v>
      </c>
      <c r="G854" s="4">
        <v>2</v>
      </c>
      <c r="H854" s="12">
        <v>312.664</v>
      </c>
      <c r="I854" s="12">
        <v>-219.68771</v>
      </c>
      <c r="J854" s="13">
        <v>-0.7026319307</v>
      </c>
      <c r="K854" s="13">
        <v>-0.7026319307</v>
      </c>
      <c r="L854" s="12">
        <v>22.99</v>
      </c>
      <c r="M854" s="13">
        <v>0.1267554243</v>
      </c>
      <c r="N854" s="13">
        <v>0.0191975795</v>
      </c>
      <c r="O854" s="13">
        <v>0.3001304915</v>
      </c>
      <c r="P854" s="13">
        <v>0</v>
      </c>
      <c r="Q854" s="13">
        <v>0.7338913466</v>
      </c>
      <c r="R854" s="13">
        <v>0.3827473676</v>
      </c>
      <c r="S854" s="13">
        <v>0</v>
      </c>
      <c r="T854" s="13">
        <v>0.1139625924</v>
      </c>
      <c r="U854" s="13">
        <v>0.0130716551</v>
      </c>
      <c r="V854" s="13">
        <v>0</v>
      </c>
      <c r="W854" s="13">
        <v>0</v>
      </c>
      <c r="X854" s="13">
        <v>0</v>
      </c>
      <c r="Y854" s="13">
        <v>0</v>
      </c>
      <c r="Z854" s="13">
        <v>0.0128754733</v>
      </c>
    </row>
    <row r="855" s="2" customFormat="1" spans="1:26">
      <c r="A855" s="11" t="s">
        <v>935</v>
      </c>
      <c r="B855" s="11" t="s">
        <v>937</v>
      </c>
      <c r="C855" s="14" t="s">
        <v>430</v>
      </c>
      <c r="D855" s="14" t="s">
        <v>938</v>
      </c>
      <c r="E855" s="14" t="s">
        <v>939</v>
      </c>
      <c r="F855" s="3" t="s">
        <v>944</v>
      </c>
      <c r="G855" s="4">
        <v>4</v>
      </c>
      <c r="H855" s="12">
        <v>598.128</v>
      </c>
      <c r="I855" s="12">
        <v>-446.298652</v>
      </c>
      <c r="J855" s="13">
        <v>-0.746159103</v>
      </c>
      <c r="K855" s="13">
        <v>-0.746159103</v>
      </c>
      <c r="L855" s="12">
        <v>21.99</v>
      </c>
      <c r="M855" s="13">
        <v>0.1325196546</v>
      </c>
      <c r="N855" s="13">
        <v>0.0200705935</v>
      </c>
      <c r="O855" s="13">
        <v>0.3137789904</v>
      </c>
      <c r="P855" s="13">
        <v>0</v>
      </c>
      <c r="Q855" s="13">
        <v>0.3793295632</v>
      </c>
      <c r="R855" s="13">
        <v>0.7684043967</v>
      </c>
      <c r="S855" s="13">
        <v>0</v>
      </c>
      <c r="T855" s="13">
        <v>0.1169849931</v>
      </c>
      <c r="U855" s="13">
        <v>0.0136660915</v>
      </c>
      <c r="V855" s="13">
        <v>0</v>
      </c>
      <c r="W855" s="13">
        <v>0</v>
      </c>
      <c r="X855" s="13">
        <v>0</v>
      </c>
      <c r="Y855" s="13">
        <v>0</v>
      </c>
      <c r="Z855" s="13">
        <v>0.0014048197</v>
      </c>
    </row>
    <row r="856" s="2" customFormat="1" hidden="1" spans="1:26">
      <c r="A856" s="11" t="s">
        <v>935</v>
      </c>
      <c r="B856" s="11" t="s">
        <v>937</v>
      </c>
      <c r="C856" s="14" t="s">
        <v>430</v>
      </c>
      <c r="D856" s="14" t="s">
        <v>938</v>
      </c>
      <c r="E856" s="14" t="s">
        <v>939</v>
      </c>
      <c r="F856" s="3" t="s">
        <v>945</v>
      </c>
      <c r="G856" s="4">
        <v>0</v>
      </c>
      <c r="H856" s="12">
        <v>0</v>
      </c>
      <c r="I856" s="12">
        <v>-19.385672</v>
      </c>
      <c r="J856" s="13"/>
      <c r="K856" s="13"/>
      <c r="L856" s="12"/>
      <c r="M856" s="13"/>
      <c r="N856" s="13"/>
      <c r="O856" s="13"/>
      <c r="P856" s="13"/>
      <c r="Q856" s="13"/>
      <c r="R856" s="13"/>
      <c r="S856" s="13"/>
      <c r="T856" s="13"/>
      <c r="U856" s="13"/>
      <c r="V856" s="13"/>
      <c r="W856" s="13"/>
      <c r="X856" s="13"/>
      <c r="Y856" s="13"/>
      <c r="Z856" s="13"/>
    </row>
    <row r="857" s="2" customFormat="1" hidden="1" spans="1:26">
      <c r="A857" s="11" t="s">
        <v>935</v>
      </c>
      <c r="B857" s="11" t="s">
        <v>937</v>
      </c>
      <c r="C857" s="14" t="s">
        <v>434</v>
      </c>
      <c r="D857" s="14" t="s">
        <v>938</v>
      </c>
      <c r="E857" s="14" t="s">
        <v>939</v>
      </c>
      <c r="F857" s="3" t="s">
        <v>936</v>
      </c>
      <c r="G857" s="4">
        <v>147</v>
      </c>
      <c r="H857" s="12">
        <v>26904.404</v>
      </c>
      <c r="I857" s="12">
        <v>8141.345667</v>
      </c>
      <c r="J857" s="13">
        <v>0.3026027139</v>
      </c>
      <c r="K857" s="13">
        <v>0.3026027139</v>
      </c>
      <c r="L857" s="12">
        <v>26.915170068</v>
      </c>
      <c r="M857" s="13">
        <v>0.096172366</v>
      </c>
      <c r="N857" s="13">
        <v>0.0397948159</v>
      </c>
      <c r="O857" s="13">
        <v>0.2796541413</v>
      </c>
      <c r="P857" s="13">
        <v>0.0203638036</v>
      </c>
      <c r="Q857" s="13">
        <v>0.0124949508</v>
      </c>
      <c r="R857" s="13">
        <v>0.1187895688</v>
      </c>
      <c r="S857" s="13">
        <v>0</v>
      </c>
      <c r="T857" s="13">
        <v>0.1146989912</v>
      </c>
      <c r="U857" s="13">
        <v>0.0099177777</v>
      </c>
      <c r="V857" s="13">
        <v>0</v>
      </c>
      <c r="W857" s="13">
        <v>-0.0020283714</v>
      </c>
      <c r="X857" s="13">
        <v>0.000573735</v>
      </c>
      <c r="Y857" s="13">
        <v>0</v>
      </c>
      <c r="Z857" s="13">
        <v>0.0069655067</v>
      </c>
    </row>
    <row r="858" s="2" customFormat="1" hidden="1" spans="1:26">
      <c r="A858" s="11" t="s">
        <v>935</v>
      </c>
      <c r="B858" s="11" t="s">
        <v>937</v>
      </c>
      <c r="C858" s="14" t="s">
        <v>434</v>
      </c>
      <c r="D858" s="14" t="s">
        <v>938</v>
      </c>
      <c r="E858" s="14" t="s">
        <v>939</v>
      </c>
      <c r="F858" s="3" t="s">
        <v>940</v>
      </c>
      <c r="G858" s="4">
        <v>1</v>
      </c>
      <c r="H858" s="12">
        <v>174.012</v>
      </c>
      <c r="I858" s="12">
        <v>42.080424</v>
      </c>
      <c r="J858" s="13">
        <v>0.2418248396</v>
      </c>
      <c r="K858" s="13">
        <v>0.2418248396</v>
      </c>
      <c r="L858" s="12">
        <v>25.59</v>
      </c>
      <c r="M858" s="13">
        <v>0.1011526216</v>
      </c>
      <c r="N858" s="13">
        <v>0.0329173332</v>
      </c>
      <c r="O858" s="13">
        <v>0.2446268073</v>
      </c>
      <c r="P858" s="13">
        <v>0</v>
      </c>
      <c r="Q858" s="13">
        <v>0.0008192136</v>
      </c>
      <c r="R858" s="13">
        <v>0.2600317276</v>
      </c>
      <c r="S858" s="13">
        <v>0</v>
      </c>
      <c r="T858" s="13">
        <v>0.1078546307</v>
      </c>
      <c r="U858" s="13">
        <v>0.0104313668</v>
      </c>
      <c r="V858" s="13">
        <v>0</v>
      </c>
      <c r="W858" s="13">
        <v>0</v>
      </c>
      <c r="X858" s="13">
        <v>0</v>
      </c>
      <c r="Y858" s="13">
        <v>0</v>
      </c>
      <c r="Z858" s="13">
        <v>0.0003414592</v>
      </c>
    </row>
    <row r="859" s="2" customFormat="1" hidden="1" spans="1:26">
      <c r="A859" s="11" t="s">
        <v>935</v>
      </c>
      <c r="B859" s="11" t="s">
        <v>937</v>
      </c>
      <c r="C859" s="14" t="s">
        <v>434</v>
      </c>
      <c r="D859" s="14" t="s">
        <v>938</v>
      </c>
      <c r="E859" s="14" t="s">
        <v>939</v>
      </c>
      <c r="F859" s="3" t="s">
        <v>941</v>
      </c>
      <c r="G859" s="4">
        <v>13</v>
      </c>
      <c r="H859" s="12">
        <v>2262.156</v>
      </c>
      <c r="I859" s="12">
        <v>346.982637</v>
      </c>
      <c r="J859" s="13">
        <v>0.1533858129</v>
      </c>
      <c r="K859" s="13">
        <v>0.1533858129</v>
      </c>
      <c r="L859" s="12">
        <v>25.59</v>
      </c>
      <c r="M859" s="13">
        <v>0.1011526216</v>
      </c>
      <c r="N859" s="13">
        <v>0.0329173332</v>
      </c>
      <c r="O859" s="13">
        <v>0.2567409144</v>
      </c>
      <c r="P859" s="13">
        <v>0</v>
      </c>
      <c r="Q859" s="13">
        <v>0.0142214126</v>
      </c>
      <c r="R859" s="13">
        <v>0.3290201616</v>
      </c>
      <c r="S859" s="13">
        <v>0</v>
      </c>
      <c r="T859" s="13">
        <v>0.0967926173</v>
      </c>
      <c r="U859" s="13">
        <v>0.0104313668</v>
      </c>
      <c r="V859" s="13">
        <v>0</v>
      </c>
      <c r="W859" s="13">
        <v>0</v>
      </c>
      <c r="X859" s="13">
        <v>0</v>
      </c>
      <c r="Y859" s="13">
        <v>0</v>
      </c>
      <c r="Z859" s="13">
        <v>0.0053377591</v>
      </c>
    </row>
    <row r="860" s="2" customFormat="1" hidden="1" spans="1:26">
      <c r="A860" s="11" t="s">
        <v>935</v>
      </c>
      <c r="B860" s="11" t="s">
        <v>937</v>
      </c>
      <c r="C860" s="14" t="s">
        <v>434</v>
      </c>
      <c r="D860" s="14" t="s">
        <v>938</v>
      </c>
      <c r="E860" s="14" t="s">
        <v>939</v>
      </c>
      <c r="F860" s="3" t="s">
        <v>942</v>
      </c>
      <c r="G860" s="4">
        <v>43</v>
      </c>
      <c r="H860" s="12">
        <v>7482.516</v>
      </c>
      <c r="I860" s="12">
        <v>2299.311357</v>
      </c>
      <c r="J860" s="13">
        <v>0.3072912048</v>
      </c>
      <c r="K860" s="13">
        <v>0.3072912048</v>
      </c>
      <c r="L860" s="12">
        <v>25.59</v>
      </c>
      <c r="M860" s="13">
        <v>0.1011526216</v>
      </c>
      <c r="N860" s="13">
        <v>0.0158873411</v>
      </c>
      <c r="O860" s="13">
        <v>0.298163345</v>
      </c>
      <c r="P860" s="13">
        <v>0.0232558139</v>
      </c>
      <c r="Q860" s="13">
        <v>0.0111535951</v>
      </c>
      <c r="R860" s="13">
        <v>0.1132346338</v>
      </c>
      <c r="S860" s="13">
        <v>0</v>
      </c>
      <c r="T860" s="13">
        <v>0.1129438279</v>
      </c>
      <c r="U860" s="13">
        <v>0.0104313668</v>
      </c>
      <c r="V860" s="13">
        <v>0</v>
      </c>
      <c r="W860" s="13">
        <v>0</v>
      </c>
      <c r="X860" s="13">
        <v>0</v>
      </c>
      <c r="Y860" s="13">
        <v>0</v>
      </c>
      <c r="Z860" s="13">
        <v>0.0064862495</v>
      </c>
    </row>
    <row r="861" s="2" customFormat="1" hidden="1" spans="1:26">
      <c r="A861" s="11" t="s">
        <v>935</v>
      </c>
      <c r="B861" s="11" t="s">
        <v>937</v>
      </c>
      <c r="C861" s="14" t="s">
        <v>434</v>
      </c>
      <c r="D861" s="14" t="s">
        <v>938</v>
      </c>
      <c r="E861" s="14" t="s">
        <v>939</v>
      </c>
      <c r="F861" s="3" t="s">
        <v>943</v>
      </c>
      <c r="G861" s="4">
        <v>48</v>
      </c>
      <c r="H861" s="12">
        <v>8991.776</v>
      </c>
      <c r="I861" s="12">
        <v>3173.272217</v>
      </c>
      <c r="J861" s="13">
        <v>0.3529082816</v>
      </c>
      <c r="K861" s="13">
        <v>0.3529082816</v>
      </c>
      <c r="L861" s="12">
        <v>27.5483333333</v>
      </c>
      <c r="M861" s="13">
        <v>0.093961967</v>
      </c>
      <c r="N861" s="13">
        <v>0.051696802</v>
      </c>
      <c r="O861" s="13">
        <v>0.2769677536</v>
      </c>
      <c r="P861" s="13">
        <v>0.0204110956</v>
      </c>
      <c r="Q861" s="13">
        <v>0.0115639892</v>
      </c>
      <c r="R861" s="13">
        <v>0.0548791225</v>
      </c>
      <c r="S861" s="13">
        <v>0</v>
      </c>
      <c r="T861" s="13">
        <v>0.1180803436</v>
      </c>
      <c r="U861" s="13">
        <v>0.0096898303</v>
      </c>
      <c r="V861" s="13">
        <v>0</v>
      </c>
      <c r="W861" s="13">
        <v>-0.0030345576</v>
      </c>
      <c r="X861" s="13">
        <v>0</v>
      </c>
      <c r="Y861" s="13">
        <v>0</v>
      </c>
      <c r="Z861" s="13">
        <v>0.0128753718</v>
      </c>
    </row>
    <row r="862" s="2" customFormat="1" spans="1:26">
      <c r="A862" s="11" t="s">
        <v>935</v>
      </c>
      <c r="B862" s="11" t="s">
        <v>937</v>
      </c>
      <c r="C862" s="14" t="s">
        <v>434</v>
      </c>
      <c r="D862" s="14" t="s">
        <v>938</v>
      </c>
      <c r="E862" s="14" t="s">
        <v>939</v>
      </c>
      <c r="F862" s="3" t="s">
        <v>944</v>
      </c>
      <c r="G862" s="4">
        <v>41</v>
      </c>
      <c r="H862" s="12">
        <v>7803.612</v>
      </c>
      <c r="I862" s="12">
        <v>2288.558668</v>
      </c>
      <c r="J862" s="13">
        <v>0.2932691512</v>
      </c>
      <c r="K862" s="13">
        <v>0.2932691512</v>
      </c>
      <c r="L862" s="12">
        <v>27.99</v>
      </c>
      <c r="M862" s="13">
        <v>0.0924792993</v>
      </c>
      <c r="N862" s="13">
        <v>0.050881055</v>
      </c>
      <c r="O862" s="13">
        <v>0.2725973561</v>
      </c>
      <c r="P862" s="13">
        <v>0.0243902439</v>
      </c>
      <c r="Q862" s="13">
        <v>0.014918456</v>
      </c>
      <c r="R862" s="13">
        <v>0.1243424006</v>
      </c>
      <c r="S862" s="13">
        <v>0</v>
      </c>
      <c r="T862" s="13">
        <v>0.1176988297</v>
      </c>
      <c r="U862" s="13">
        <v>0.00953693</v>
      </c>
      <c r="V862" s="13">
        <v>0</v>
      </c>
      <c r="W862" s="13">
        <v>-0.003496594</v>
      </c>
      <c r="X862" s="13">
        <v>0.0019780582</v>
      </c>
      <c r="Y862" s="13">
        <v>0</v>
      </c>
      <c r="Z862" s="13">
        <v>0.0014048134</v>
      </c>
    </row>
    <row r="863" s="2" customFormat="1" hidden="1" spans="1:26">
      <c r="A863" s="11" t="s">
        <v>935</v>
      </c>
      <c r="B863" s="11" t="s">
        <v>937</v>
      </c>
      <c r="C863" s="14" t="s">
        <v>434</v>
      </c>
      <c r="D863" s="14" t="s">
        <v>938</v>
      </c>
      <c r="E863" s="14" t="s">
        <v>939</v>
      </c>
      <c r="F863" s="3" t="s">
        <v>945</v>
      </c>
      <c r="G863" s="4">
        <v>1</v>
      </c>
      <c r="H863" s="12">
        <v>190.332</v>
      </c>
      <c r="I863" s="12">
        <v>-8.859636</v>
      </c>
      <c r="J863" s="13">
        <v>-0.046548326</v>
      </c>
      <c r="K863" s="13">
        <v>-0.046548326</v>
      </c>
      <c r="L863" s="12">
        <v>27.99</v>
      </c>
      <c r="M863" s="13">
        <v>0.0924792993</v>
      </c>
      <c r="N863" s="13">
        <v>0.0508810499</v>
      </c>
      <c r="O863" s="13">
        <v>0.2725973561</v>
      </c>
      <c r="P863" s="13">
        <v>0</v>
      </c>
      <c r="Q863" s="13">
        <v>0</v>
      </c>
      <c r="R863" s="13">
        <v>0.5010108231</v>
      </c>
      <c r="S863" s="13">
        <v>0</v>
      </c>
      <c r="T863" s="13">
        <v>0.1200428724</v>
      </c>
      <c r="U863" s="13">
        <v>0.0095369249</v>
      </c>
      <c r="V863" s="13">
        <v>0</v>
      </c>
      <c r="W863" s="13">
        <v>0</v>
      </c>
      <c r="X863" s="13">
        <v>0</v>
      </c>
      <c r="Y863" s="13">
        <v>0</v>
      </c>
      <c r="Z863" s="13">
        <v>0</v>
      </c>
    </row>
    <row r="864" s="2" customFormat="1" hidden="1" spans="1:26">
      <c r="A864" s="11" t="s">
        <v>935</v>
      </c>
      <c r="B864" s="11" t="s">
        <v>937</v>
      </c>
      <c r="C864" s="14" t="s">
        <v>438</v>
      </c>
      <c r="D864" s="14" t="s">
        <v>938</v>
      </c>
      <c r="E864" s="14" t="s">
        <v>939</v>
      </c>
      <c r="F864" s="3" t="s">
        <v>936</v>
      </c>
      <c r="G864" s="4">
        <v>54</v>
      </c>
      <c r="H864" s="12">
        <v>9366.728</v>
      </c>
      <c r="I864" s="12">
        <v>1135.985408</v>
      </c>
      <c r="J864" s="13">
        <v>0.1212787867</v>
      </c>
      <c r="K864" s="13">
        <v>0.1212787867</v>
      </c>
      <c r="L864" s="12">
        <v>25.5085185185</v>
      </c>
      <c r="M864" s="13">
        <v>0.0965167369</v>
      </c>
      <c r="N864" s="13">
        <v>0.0365455687</v>
      </c>
      <c r="O864" s="13">
        <v>0.2885383241</v>
      </c>
      <c r="P864" s="13">
        <v>0</v>
      </c>
      <c r="Q864" s="13">
        <v>0.0432381898</v>
      </c>
      <c r="R864" s="13">
        <v>0.3509499189</v>
      </c>
      <c r="S864" s="13">
        <v>0</v>
      </c>
      <c r="T864" s="13">
        <v>0.0952187359</v>
      </c>
      <c r="U864" s="13">
        <v>0.0099532897</v>
      </c>
      <c r="V864" s="13">
        <v>-0.0495128715</v>
      </c>
      <c r="W864" s="13">
        <v>0</v>
      </c>
      <c r="X864" s="13">
        <v>0</v>
      </c>
      <c r="Y864" s="13">
        <v>0</v>
      </c>
      <c r="Z864" s="13">
        <v>0.0072733203</v>
      </c>
    </row>
    <row r="865" s="2" customFormat="1" hidden="1" spans="1:26">
      <c r="A865" s="11" t="s">
        <v>935</v>
      </c>
      <c r="B865" s="11" t="s">
        <v>937</v>
      </c>
      <c r="C865" s="14" t="s">
        <v>438</v>
      </c>
      <c r="D865" s="14" t="s">
        <v>938</v>
      </c>
      <c r="E865" s="14" t="s">
        <v>939</v>
      </c>
      <c r="F865" s="3" t="s">
        <v>941</v>
      </c>
      <c r="G865" s="4">
        <v>2</v>
      </c>
      <c r="H865" s="12">
        <v>353.464</v>
      </c>
      <c r="I865" s="12">
        <v>158.243742</v>
      </c>
      <c r="J865" s="13">
        <v>0.4476940848</v>
      </c>
      <c r="K865" s="13">
        <v>0.4476940848</v>
      </c>
      <c r="L865" s="12">
        <v>25.99</v>
      </c>
      <c r="M865" s="13">
        <v>0.0947287022</v>
      </c>
      <c r="N865" s="13">
        <v>0.0301877136</v>
      </c>
      <c r="O865" s="13">
        <v>0.2633705271</v>
      </c>
      <c r="P865" s="13">
        <v>0</v>
      </c>
      <c r="Q865" s="13">
        <v>0.001791048</v>
      </c>
      <c r="R865" s="13">
        <v>0.027075142</v>
      </c>
      <c r="S865" s="13">
        <v>0</v>
      </c>
      <c r="T865" s="13">
        <v>0.1200461716</v>
      </c>
      <c r="U865" s="13">
        <v>0.0097688986</v>
      </c>
      <c r="V865" s="13">
        <v>0</v>
      </c>
      <c r="W865" s="13">
        <v>0</v>
      </c>
      <c r="X865" s="13">
        <v>0</v>
      </c>
      <c r="Y865" s="13">
        <v>0</v>
      </c>
      <c r="Z865" s="13">
        <v>0.0053377119</v>
      </c>
    </row>
    <row r="866" s="2" customFormat="1" hidden="1" spans="1:26">
      <c r="A866" s="11" t="s">
        <v>935</v>
      </c>
      <c r="B866" s="11" t="s">
        <v>937</v>
      </c>
      <c r="C866" s="14" t="s">
        <v>438</v>
      </c>
      <c r="D866" s="14" t="s">
        <v>938</v>
      </c>
      <c r="E866" s="14" t="s">
        <v>939</v>
      </c>
      <c r="F866" s="3" t="s">
        <v>942</v>
      </c>
      <c r="G866" s="4">
        <v>10</v>
      </c>
      <c r="H866" s="12">
        <v>1767.32</v>
      </c>
      <c r="I866" s="12">
        <v>186.210056</v>
      </c>
      <c r="J866" s="13">
        <v>0.105362954</v>
      </c>
      <c r="K866" s="13">
        <v>0.105362954</v>
      </c>
      <c r="L866" s="12">
        <v>25.99</v>
      </c>
      <c r="M866" s="13">
        <v>0.0947287022</v>
      </c>
      <c r="N866" s="13">
        <v>0.0301877136</v>
      </c>
      <c r="O866" s="13">
        <v>0.2839553674</v>
      </c>
      <c r="P866" s="13">
        <v>0</v>
      </c>
      <c r="Q866" s="13">
        <v>0.0572310911</v>
      </c>
      <c r="R866" s="13">
        <v>0.3156265021</v>
      </c>
      <c r="S866" s="13">
        <v>0</v>
      </c>
      <c r="T866" s="13">
        <v>0.0966525586</v>
      </c>
      <c r="U866" s="13">
        <v>0.0097688986</v>
      </c>
      <c r="V866" s="13">
        <v>0</v>
      </c>
      <c r="W866" s="13">
        <v>0</v>
      </c>
      <c r="X866" s="13">
        <v>0</v>
      </c>
      <c r="Y866" s="13">
        <v>0</v>
      </c>
      <c r="Z866" s="13">
        <v>0.0064862118</v>
      </c>
    </row>
    <row r="867" s="2" customFormat="1" hidden="1" spans="1:26">
      <c r="A867" s="11" t="s">
        <v>935</v>
      </c>
      <c r="B867" s="11" t="s">
        <v>937</v>
      </c>
      <c r="C867" s="14" t="s">
        <v>438</v>
      </c>
      <c r="D867" s="14" t="s">
        <v>938</v>
      </c>
      <c r="E867" s="14" t="s">
        <v>939</v>
      </c>
      <c r="F867" s="3" t="s">
        <v>943</v>
      </c>
      <c r="G867" s="4">
        <v>23</v>
      </c>
      <c r="H867" s="12">
        <v>3888.036</v>
      </c>
      <c r="I867" s="12">
        <v>109.10857</v>
      </c>
      <c r="J867" s="13">
        <v>0.0280626439</v>
      </c>
      <c r="K867" s="13">
        <v>0.0280626439</v>
      </c>
      <c r="L867" s="12">
        <v>24.8595652173</v>
      </c>
      <c r="M867" s="13">
        <v>0.0990362843</v>
      </c>
      <c r="N867" s="13">
        <v>0.0391964819</v>
      </c>
      <c r="O867" s="13">
        <v>0.2968676215</v>
      </c>
      <c r="P867" s="13">
        <v>0</v>
      </c>
      <c r="Q867" s="13">
        <v>0.0420828852</v>
      </c>
      <c r="R867" s="13">
        <v>0.3756479255</v>
      </c>
      <c r="S867" s="13">
        <v>0</v>
      </c>
      <c r="T867" s="13">
        <v>0.0960176294</v>
      </c>
      <c r="U867" s="13">
        <v>0.0102131181</v>
      </c>
      <c r="V867" s="13">
        <v>0</v>
      </c>
      <c r="W867" s="13">
        <v>0</v>
      </c>
      <c r="X867" s="13">
        <v>0</v>
      </c>
      <c r="Y867" s="13">
        <v>0</v>
      </c>
      <c r="Z867" s="13">
        <v>0.0128754095</v>
      </c>
    </row>
    <row r="868" s="2" customFormat="1" spans="1:26">
      <c r="A868" s="11" t="s">
        <v>935</v>
      </c>
      <c r="B868" s="11" t="s">
        <v>937</v>
      </c>
      <c r="C868" s="14" t="s">
        <v>438</v>
      </c>
      <c r="D868" s="14" t="s">
        <v>938</v>
      </c>
      <c r="E868" s="14" t="s">
        <v>939</v>
      </c>
      <c r="F868" s="3" t="s">
        <v>944</v>
      </c>
      <c r="G868" s="4">
        <v>19</v>
      </c>
      <c r="H868" s="12">
        <v>3357.908</v>
      </c>
      <c r="I868" s="12">
        <v>693.95888</v>
      </c>
      <c r="J868" s="13">
        <v>0.2066640539</v>
      </c>
      <c r="K868" s="13">
        <v>0.2066640539</v>
      </c>
      <c r="L868" s="12">
        <v>25.99</v>
      </c>
      <c r="M868" s="13">
        <v>0.0947287022</v>
      </c>
      <c r="N868" s="13">
        <v>0.0374916313</v>
      </c>
      <c r="O868" s="13">
        <v>0.2839553674</v>
      </c>
      <c r="P868" s="13">
        <v>0</v>
      </c>
      <c r="Q868" s="13">
        <v>0.0415740598</v>
      </c>
      <c r="R868" s="13">
        <v>0.3716006563</v>
      </c>
      <c r="S868" s="13">
        <v>0</v>
      </c>
      <c r="T868" s="13">
        <v>0.0909256596</v>
      </c>
      <c r="U868" s="13">
        <v>0.0097688986</v>
      </c>
      <c r="V868" s="13">
        <v>-0.1381138494</v>
      </c>
      <c r="W868" s="13">
        <v>0</v>
      </c>
      <c r="X868" s="13">
        <v>0</v>
      </c>
      <c r="Y868" s="13">
        <v>0</v>
      </c>
      <c r="Z868" s="13">
        <v>0.0014048199</v>
      </c>
    </row>
    <row r="869" s="2" customFormat="1" hidden="1" spans="1:26">
      <c r="A869" s="11" t="s">
        <v>935</v>
      </c>
      <c r="B869" s="11" t="s">
        <v>937</v>
      </c>
      <c r="C869" s="14" t="s">
        <v>438</v>
      </c>
      <c r="D869" s="14" t="s">
        <v>938</v>
      </c>
      <c r="E869" s="14" t="s">
        <v>939</v>
      </c>
      <c r="F869" s="3" t="s">
        <v>945</v>
      </c>
      <c r="G869" s="4">
        <v>0</v>
      </c>
      <c r="H869" s="12">
        <v>0</v>
      </c>
      <c r="I869" s="12">
        <v>-11.53584</v>
      </c>
      <c r="J869" s="13"/>
      <c r="K869" s="13"/>
      <c r="L869" s="12"/>
      <c r="M869" s="13"/>
      <c r="N869" s="13"/>
      <c r="O869" s="13"/>
      <c r="P869" s="13"/>
      <c r="Q869" s="13"/>
      <c r="R869" s="13"/>
      <c r="S869" s="13"/>
      <c r="T869" s="13"/>
      <c r="U869" s="13"/>
      <c r="V869" s="13"/>
      <c r="W869" s="13"/>
      <c r="X869" s="13"/>
      <c r="Y869" s="13"/>
      <c r="Z869" s="13"/>
    </row>
    <row r="870" s="2" customFormat="1" hidden="1" spans="1:26">
      <c r="A870" s="11" t="s">
        <v>935</v>
      </c>
      <c r="B870" s="11" t="s">
        <v>937</v>
      </c>
      <c r="C870" s="14" t="s">
        <v>442</v>
      </c>
      <c r="D870" s="14" t="s">
        <v>938</v>
      </c>
      <c r="E870" s="14" t="s">
        <v>939</v>
      </c>
      <c r="F870" s="3" t="s">
        <v>936</v>
      </c>
      <c r="G870" s="4">
        <v>127</v>
      </c>
      <c r="H870" s="12">
        <v>19500.564</v>
      </c>
      <c r="I870" s="12">
        <v>636.431955</v>
      </c>
      <c r="J870" s="13">
        <v>0.0326365922</v>
      </c>
      <c r="K870" s="13">
        <v>0.0326365922</v>
      </c>
      <c r="L870" s="12">
        <v>22.580551181</v>
      </c>
      <c r="M870" s="13">
        <v>0.1385555557</v>
      </c>
      <c r="N870" s="13">
        <v>0.0380213434</v>
      </c>
      <c r="O870" s="13">
        <v>0.3030968745</v>
      </c>
      <c r="P870" s="13">
        <v>0.1236971402</v>
      </c>
      <c r="Q870" s="13">
        <v>0.0079555207</v>
      </c>
      <c r="R870" s="13">
        <v>0.2356970699</v>
      </c>
      <c r="S870" s="13">
        <v>0</v>
      </c>
      <c r="T870" s="13">
        <v>0.0995839915</v>
      </c>
      <c r="U870" s="13">
        <v>0.0142885406</v>
      </c>
      <c r="V870" s="13">
        <v>0.0015866207</v>
      </c>
      <c r="W870" s="13">
        <v>-0.0072949365</v>
      </c>
      <c r="X870" s="13">
        <v>0.0023747004</v>
      </c>
      <c r="Y870" s="13">
        <v>0</v>
      </c>
      <c r="Z870" s="13">
        <v>0.0098009862</v>
      </c>
    </row>
    <row r="871" s="2" customFormat="1" hidden="1" spans="1:26">
      <c r="A871" s="11" t="s">
        <v>935</v>
      </c>
      <c r="B871" s="11" t="s">
        <v>937</v>
      </c>
      <c r="C871" s="14" t="s">
        <v>442</v>
      </c>
      <c r="D871" s="14" t="s">
        <v>938</v>
      </c>
      <c r="E871" s="14" t="s">
        <v>939</v>
      </c>
      <c r="F871" s="3" t="s">
        <v>940</v>
      </c>
      <c r="G871" s="4">
        <v>11</v>
      </c>
      <c r="H871" s="12">
        <v>1794.452</v>
      </c>
      <c r="I871" s="12">
        <v>172.985871</v>
      </c>
      <c r="J871" s="13">
        <v>0.096400389</v>
      </c>
      <c r="K871" s="13">
        <v>0.096400389</v>
      </c>
      <c r="L871" s="12">
        <v>23.99</v>
      </c>
      <c r="M871" s="13">
        <v>0.1380227607</v>
      </c>
      <c r="N871" s="13">
        <v>0.0398192629</v>
      </c>
      <c r="O871" s="13">
        <v>0.2780325135</v>
      </c>
      <c r="P871" s="13">
        <v>0</v>
      </c>
      <c r="Q871" s="13">
        <v>0.0008192189</v>
      </c>
      <c r="R871" s="13">
        <v>0.3389965253</v>
      </c>
      <c r="S871" s="13">
        <v>0</v>
      </c>
      <c r="T871" s="13">
        <v>0.0933343438</v>
      </c>
      <c r="U871" s="13">
        <v>0.0142335961</v>
      </c>
      <c r="V871" s="13">
        <v>0</v>
      </c>
      <c r="W871" s="13">
        <v>0</v>
      </c>
      <c r="X871" s="13">
        <v>0</v>
      </c>
      <c r="Y871" s="13">
        <v>0</v>
      </c>
      <c r="Z871" s="13">
        <v>0.0003413894</v>
      </c>
    </row>
    <row r="872" s="2" customFormat="1" hidden="1" spans="1:26">
      <c r="A872" s="11" t="s">
        <v>935</v>
      </c>
      <c r="B872" s="11" t="s">
        <v>937</v>
      </c>
      <c r="C872" s="14" t="s">
        <v>442</v>
      </c>
      <c r="D872" s="14" t="s">
        <v>938</v>
      </c>
      <c r="E872" s="14" t="s">
        <v>939</v>
      </c>
      <c r="F872" s="3" t="s">
        <v>941</v>
      </c>
      <c r="G872" s="4">
        <v>62</v>
      </c>
      <c r="H872" s="12">
        <v>9522.584</v>
      </c>
      <c r="I872" s="12">
        <v>241.036173</v>
      </c>
      <c r="J872" s="13">
        <v>0.0253120553</v>
      </c>
      <c r="K872" s="13">
        <v>0.0253120553</v>
      </c>
      <c r="L872" s="12">
        <v>22.5867741935</v>
      </c>
      <c r="M872" s="13">
        <v>0.1442330851</v>
      </c>
      <c r="N872" s="13">
        <v>0.038620087</v>
      </c>
      <c r="O872" s="13">
        <v>0.3122581013</v>
      </c>
      <c r="P872" s="13">
        <v>0.1134049329</v>
      </c>
      <c r="Q872" s="13">
        <v>0.0047896337</v>
      </c>
      <c r="R872" s="13">
        <v>0.2457144451</v>
      </c>
      <c r="S872" s="13">
        <v>0</v>
      </c>
      <c r="T872" s="13">
        <v>0.1009868749</v>
      </c>
      <c r="U872" s="13">
        <v>0.0148740357</v>
      </c>
      <c r="V872" s="13">
        <v>0.0004641597</v>
      </c>
      <c r="W872" s="13">
        <v>-0.0059951859</v>
      </c>
      <c r="X872" s="13">
        <v>0</v>
      </c>
      <c r="Y872" s="13">
        <v>0</v>
      </c>
      <c r="Z872" s="13">
        <v>0.0053377747</v>
      </c>
    </row>
    <row r="873" s="2" customFormat="1" hidden="1" spans="1:26">
      <c r="A873" s="11" t="s">
        <v>935</v>
      </c>
      <c r="B873" s="11" t="s">
        <v>937</v>
      </c>
      <c r="C873" s="14" t="s">
        <v>442</v>
      </c>
      <c r="D873" s="14" t="s">
        <v>938</v>
      </c>
      <c r="E873" s="14" t="s">
        <v>939</v>
      </c>
      <c r="F873" s="3" t="s">
        <v>942</v>
      </c>
      <c r="G873" s="4">
        <v>34</v>
      </c>
      <c r="H873" s="12">
        <v>4648.888</v>
      </c>
      <c r="I873" s="12">
        <v>-267.029589</v>
      </c>
      <c r="J873" s="13">
        <v>-0.0574394541</v>
      </c>
      <c r="K873" s="13">
        <v>-0.0574394541</v>
      </c>
      <c r="L873" s="12">
        <v>20.1076470588</v>
      </c>
      <c r="M873" s="13">
        <v>0.1356122182</v>
      </c>
      <c r="N873" s="13">
        <v>0.0353706094</v>
      </c>
      <c r="O873" s="13">
        <v>0.3062194658</v>
      </c>
      <c r="P873" s="13">
        <v>0.2105432524</v>
      </c>
      <c r="Q873" s="13">
        <v>0.0210860777</v>
      </c>
      <c r="R873" s="13">
        <v>0.2498730736</v>
      </c>
      <c r="S873" s="13">
        <v>0</v>
      </c>
      <c r="T873" s="13">
        <v>0.0908785068</v>
      </c>
      <c r="U873" s="13">
        <v>0.0139850093</v>
      </c>
      <c r="V873" s="13">
        <v>0.00570459</v>
      </c>
      <c r="W873" s="13">
        <v>-0.0183195886</v>
      </c>
      <c r="X873" s="13">
        <v>0</v>
      </c>
      <c r="Y873" s="13">
        <v>0</v>
      </c>
      <c r="Z873" s="13">
        <v>0.006486239</v>
      </c>
    </row>
    <row r="874" s="2" customFormat="1" hidden="1" spans="1:26">
      <c r="A874" s="11" t="s">
        <v>935</v>
      </c>
      <c r="B874" s="11" t="s">
        <v>937</v>
      </c>
      <c r="C874" s="14" t="s">
        <v>442</v>
      </c>
      <c r="D874" s="14" t="s">
        <v>938</v>
      </c>
      <c r="E874" s="14" t="s">
        <v>939</v>
      </c>
      <c r="F874" s="3" t="s">
        <v>943</v>
      </c>
      <c r="G874" s="4">
        <v>0</v>
      </c>
      <c r="H874" s="12">
        <v>0</v>
      </c>
      <c r="I874" s="12">
        <v>-80.892789</v>
      </c>
      <c r="J874" s="13"/>
      <c r="K874" s="13"/>
      <c r="L874" s="12"/>
      <c r="M874" s="13"/>
      <c r="N874" s="13"/>
      <c r="O874" s="13"/>
      <c r="P874" s="13"/>
      <c r="Q874" s="13"/>
      <c r="R874" s="13"/>
      <c r="S874" s="13"/>
      <c r="T874" s="13"/>
      <c r="U874" s="13"/>
      <c r="V874" s="13"/>
      <c r="W874" s="13"/>
      <c r="X874" s="13"/>
      <c r="Y874" s="13"/>
      <c r="Z874" s="13"/>
    </row>
    <row r="875" s="2" customFormat="1" spans="1:26">
      <c r="A875" s="11" t="s">
        <v>935</v>
      </c>
      <c r="B875" s="11" t="s">
        <v>937</v>
      </c>
      <c r="C875" s="14" t="s">
        <v>442</v>
      </c>
      <c r="D875" s="14" t="s">
        <v>938</v>
      </c>
      <c r="E875" s="14" t="s">
        <v>939</v>
      </c>
      <c r="F875" s="3" t="s">
        <v>944</v>
      </c>
      <c r="G875" s="4">
        <v>18</v>
      </c>
      <c r="H875" s="12">
        <v>3181.176</v>
      </c>
      <c r="I875" s="12">
        <v>444.75682</v>
      </c>
      <c r="J875" s="13">
        <v>0.1398089322</v>
      </c>
      <c r="K875" s="13">
        <v>0.1398089322</v>
      </c>
      <c r="L875" s="12">
        <v>25.99</v>
      </c>
      <c r="M875" s="13">
        <v>0.1274015401</v>
      </c>
      <c r="N875" s="13">
        <v>0.0389818651</v>
      </c>
      <c r="O875" s="13">
        <v>0.2870334744</v>
      </c>
      <c r="P875" s="13">
        <v>0.1111111111</v>
      </c>
      <c r="Q875" s="13">
        <v>0.0007248259</v>
      </c>
      <c r="R875" s="13">
        <v>0.1380113357</v>
      </c>
      <c r="S875" s="13">
        <v>0</v>
      </c>
      <c r="T875" s="13">
        <v>0.1093583002</v>
      </c>
      <c r="U875" s="13">
        <v>0.0131382828</v>
      </c>
      <c r="V875" s="13">
        <v>0</v>
      </c>
      <c r="W875" s="13">
        <v>0</v>
      </c>
      <c r="X875" s="13">
        <v>0</v>
      </c>
      <c r="Y875" s="13">
        <v>0</v>
      </c>
      <c r="Z875" s="13">
        <v>0.034430332</v>
      </c>
    </row>
    <row r="876" s="2" customFormat="1" hidden="1" spans="1:26">
      <c r="A876" s="11" t="s">
        <v>935</v>
      </c>
      <c r="B876" s="11" t="s">
        <v>937</v>
      </c>
      <c r="C876" s="14" t="s">
        <v>442</v>
      </c>
      <c r="D876" s="14" t="s">
        <v>938</v>
      </c>
      <c r="E876" s="14" t="s">
        <v>939</v>
      </c>
      <c r="F876" s="3" t="s">
        <v>945</v>
      </c>
      <c r="G876" s="4">
        <v>2</v>
      </c>
      <c r="H876" s="12">
        <v>353.464</v>
      </c>
      <c r="I876" s="12">
        <v>125.575469</v>
      </c>
      <c r="J876" s="13">
        <v>0.3552708875</v>
      </c>
      <c r="K876" s="13">
        <v>0.3552708875</v>
      </c>
      <c r="L876" s="12">
        <v>25.99</v>
      </c>
      <c r="M876" s="13">
        <v>0.1274015401</v>
      </c>
      <c r="N876" s="13">
        <v>0.0389818651</v>
      </c>
      <c r="O876" s="13">
        <v>0.2870334744</v>
      </c>
      <c r="P876" s="13">
        <v>0</v>
      </c>
      <c r="Q876" s="13">
        <v>0</v>
      </c>
      <c r="R876" s="13">
        <v>0.0581277782</v>
      </c>
      <c r="S876" s="13">
        <v>0</v>
      </c>
      <c r="T876" s="13">
        <v>0.1200461716</v>
      </c>
      <c r="U876" s="13">
        <v>0.0131382828</v>
      </c>
      <c r="V876" s="13">
        <v>0</v>
      </c>
      <c r="W876" s="13">
        <v>0</v>
      </c>
      <c r="X876" s="13">
        <v>0</v>
      </c>
      <c r="Y876" s="13">
        <v>0</v>
      </c>
      <c r="Z876" s="13">
        <v>0</v>
      </c>
    </row>
    <row r="877" s="2" customFormat="1" hidden="1" spans="1:26">
      <c r="A877" s="11" t="s">
        <v>935</v>
      </c>
      <c r="B877" s="11" t="s">
        <v>937</v>
      </c>
      <c r="C877" s="14" t="s">
        <v>446</v>
      </c>
      <c r="D877" s="14" t="s">
        <v>938</v>
      </c>
      <c r="E877" s="14" t="s">
        <v>939</v>
      </c>
      <c r="F877" s="3" t="s">
        <v>936</v>
      </c>
      <c r="G877" s="4">
        <v>78</v>
      </c>
      <c r="H877" s="12">
        <v>13689.896</v>
      </c>
      <c r="I877" s="12">
        <v>767.936499</v>
      </c>
      <c r="J877" s="13">
        <v>0.0560951302</v>
      </c>
      <c r="K877" s="13">
        <v>0.0560951302</v>
      </c>
      <c r="L877" s="12">
        <v>25.8105128205</v>
      </c>
      <c r="M877" s="13">
        <v>0.1142652673</v>
      </c>
      <c r="N877" s="13">
        <v>0.0282063667</v>
      </c>
      <c r="O877" s="13">
        <v>0.282433117</v>
      </c>
      <c r="P877" s="13">
        <v>0.0129096671</v>
      </c>
      <c r="Q877" s="13">
        <v>0.0430621502</v>
      </c>
      <c r="R877" s="13">
        <v>0.3447963538</v>
      </c>
      <c r="S877" s="13">
        <v>0</v>
      </c>
      <c r="T877" s="13">
        <v>0.0980618114</v>
      </c>
      <c r="U877" s="13">
        <v>0.0117836047</v>
      </c>
      <c r="V877" s="13">
        <v>0</v>
      </c>
      <c r="W877" s="13">
        <v>0</v>
      </c>
      <c r="X877" s="13">
        <v>0.0011275468</v>
      </c>
      <c r="Y877" s="13">
        <v>0</v>
      </c>
      <c r="Z877" s="13">
        <v>0.0072589842</v>
      </c>
    </row>
    <row r="878" s="2" customFormat="1" hidden="1" spans="1:26">
      <c r="A878" s="11" t="s">
        <v>935</v>
      </c>
      <c r="B878" s="11" t="s">
        <v>937</v>
      </c>
      <c r="C878" s="14" t="s">
        <v>446</v>
      </c>
      <c r="D878" s="14" t="s">
        <v>938</v>
      </c>
      <c r="E878" s="14" t="s">
        <v>939</v>
      </c>
      <c r="F878" s="3" t="s">
        <v>941</v>
      </c>
      <c r="G878" s="4">
        <v>2</v>
      </c>
      <c r="H878" s="12">
        <v>326.264</v>
      </c>
      <c r="I878" s="12">
        <v>-190.462299</v>
      </c>
      <c r="J878" s="13">
        <v>-0.5837674367</v>
      </c>
      <c r="K878" s="13">
        <v>-0.5837674367</v>
      </c>
      <c r="L878" s="12">
        <v>23.99</v>
      </c>
      <c r="M878" s="13">
        <v>0.1229364379</v>
      </c>
      <c r="N878" s="13">
        <v>0.0376379373</v>
      </c>
      <c r="O878" s="13">
        <v>0.2876198416</v>
      </c>
      <c r="P878" s="13">
        <v>0</v>
      </c>
      <c r="Q878" s="13">
        <v>0.0017911047</v>
      </c>
      <c r="R878" s="13">
        <v>1.1032614171</v>
      </c>
      <c r="S878" s="13">
        <v>0</v>
      </c>
      <c r="T878" s="13">
        <v>0.0125052105</v>
      </c>
      <c r="U878" s="13">
        <v>0.0126778191</v>
      </c>
      <c r="V878" s="13">
        <v>0</v>
      </c>
      <c r="W878" s="13">
        <v>0</v>
      </c>
      <c r="X878" s="13">
        <v>0</v>
      </c>
      <c r="Y878" s="13">
        <v>0</v>
      </c>
      <c r="Z878" s="13">
        <v>0.0053376682</v>
      </c>
    </row>
    <row r="879" s="2" customFormat="1" hidden="1" spans="1:26">
      <c r="A879" s="11" t="s">
        <v>935</v>
      </c>
      <c r="B879" s="11" t="s">
        <v>937</v>
      </c>
      <c r="C879" s="14" t="s">
        <v>446</v>
      </c>
      <c r="D879" s="14" t="s">
        <v>938</v>
      </c>
      <c r="E879" s="14" t="s">
        <v>939</v>
      </c>
      <c r="F879" s="3" t="s">
        <v>942</v>
      </c>
      <c r="G879" s="4">
        <v>12</v>
      </c>
      <c r="H879" s="12">
        <v>2052.784</v>
      </c>
      <c r="I879" s="12">
        <v>-55.484545</v>
      </c>
      <c r="J879" s="13">
        <v>-0.0270289251</v>
      </c>
      <c r="K879" s="13">
        <v>-0.0270289251</v>
      </c>
      <c r="L879" s="12">
        <v>25.1566666666</v>
      </c>
      <c r="M879" s="13">
        <v>0.1172351323</v>
      </c>
      <c r="N879" s="13">
        <v>0.0300468066</v>
      </c>
      <c r="O879" s="13">
        <v>0.290181529</v>
      </c>
      <c r="P879" s="13">
        <v>0</v>
      </c>
      <c r="Q879" s="13">
        <v>0.0631964327</v>
      </c>
      <c r="R879" s="13">
        <v>0.4196452924</v>
      </c>
      <c r="S879" s="13">
        <v>0</v>
      </c>
      <c r="T879" s="13">
        <v>0.0881476083</v>
      </c>
      <c r="U879" s="13">
        <v>0.012089872</v>
      </c>
      <c r="V879" s="13">
        <v>0</v>
      </c>
      <c r="W879" s="13">
        <v>0</v>
      </c>
      <c r="X879" s="13">
        <v>0</v>
      </c>
      <c r="Y879" s="13">
        <v>0</v>
      </c>
      <c r="Z879" s="13">
        <v>0.0064862513</v>
      </c>
    </row>
    <row r="880" s="2" customFormat="1" hidden="1" spans="1:26">
      <c r="A880" s="11" t="s">
        <v>935</v>
      </c>
      <c r="B880" s="11" t="s">
        <v>937</v>
      </c>
      <c r="C880" s="14" t="s">
        <v>446</v>
      </c>
      <c r="D880" s="14" t="s">
        <v>938</v>
      </c>
      <c r="E880" s="14" t="s">
        <v>939</v>
      </c>
      <c r="F880" s="3" t="s">
        <v>943</v>
      </c>
      <c r="G880" s="4">
        <v>34</v>
      </c>
      <c r="H880" s="12">
        <v>6008.888</v>
      </c>
      <c r="I880" s="12">
        <v>268.543137</v>
      </c>
      <c r="J880" s="13">
        <v>0.0446909872</v>
      </c>
      <c r="K880" s="13">
        <v>0.0446909872</v>
      </c>
      <c r="L880" s="12">
        <v>25.99</v>
      </c>
      <c r="M880" s="13">
        <v>0.1134761503</v>
      </c>
      <c r="N880" s="13">
        <v>0.027600293</v>
      </c>
      <c r="O880" s="13">
        <v>0.2808772604</v>
      </c>
      <c r="P880" s="13">
        <v>0.0294117647</v>
      </c>
      <c r="Q880" s="13">
        <v>0.0407818937</v>
      </c>
      <c r="R880" s="13">
        <v>0.345207076</v>
      </c>
      <c r="S880" s="13">
        <v>0</v>
      </c>
      <c r="T880" s="13">
        <v>0.0916076318</v>
      </c>
      <c r="U880" s="13">
        <v>0.0117022271</v>
      </c>
      <c r="V880" s="13">
        <v>0</v>
      </c>
      <c r="W880" s="13">
        <v>0</v>
      </c>
      <c r="X880" s="13">
        <v>0.001769345</v>
      </c>
      <c r="Y880" s="13">
        <v>0</v>
      </c>
      <c r="Z880" s="13">
        <v>0.0128753702</v>
      </c>
    </row>
    <row r="881" s="2" customFormat="1" spans="1:26">
      <c r="A881" s="11" t="s">
        <v>935</v>
      </c>
      <c r="B881" s="11" t="s">
        <v>937</v>
      </c>
      <c r="C881" s="14" t="s">
        <v>446</v>
      </c>
      <c r="D881" s="14" t="s">
        <v>938</v>
      </c>
      <c r="E881" s="14" t="s">
        <v>939</v>
      </c>
      <c r="F881" s="3" t="s">
        <v>944</v>
      </c>
      <c r="G881" s="4">
        <v>28</v>
      </c>
      <c r="H881" s="12">
        <v>4948.496</v>
      </c>
      <c r="I881" s="12">
        <v>597.828876</v>
      </c>
      <c r="J881" s="13">
        <v>0.120810217</v>
      </c>
      <c r="K881" s="13">
        <v>0.120810217</v>
      </c>
      <c r="L881" s="12">
        <v>25.99</v>
      </c>
      <c r="M881" s="13">
        <v>0.1134761503</v>
      </c>
      <c r="N881" s="13">
        <v>0.027600293</v>
      </c>
      <c r="O881" s="13">
        <v>0.2808772604</v>
      </c>
      <c r="P881" s="13">
        <v>0</v>
      </c>
      <c r="Q881" s="13">
        <v>0.0432756797</v>
      </c>
      <c r="R881" s="13">
        <v>0.2858001769</v>
      </c>
      <c r="S881" s="13">
        <v>0</v>
      </c>
      <c r="T881" s="13">
        <v>0.1140823393</v>
      </c>
      <c r="U881" s="13">
        <v>0.0117022271</v>
      </c>
      <c r="V881" s="13">
        <v>0</v>
      </c>
      <c r="W881" s="13">
        <v>0</v>
      </c>
      <c r="X881" s="13">
        <v>0.000970841</v>
      </c>
      <c r="Y881" s="13">
        <v>0</v>
      </c>
      <c r="Z881" s="13">
        <v>0.0014048147</v>
      </c>
    </row>
    <row r="882" s="2" customFormat="1" hidden="1" spans="1:26">
      <c r="A882" s="11" t="s">
        <v>935</v>
      </c>
      <c r="B882" s="11" t="s">
        <v>937</v>
      </c>
      <c r="C882" s="14" t="s">
        <v>446</v>
      </c>
      <c r="D882" s="14" t="s">
        <v>938</v>
      </c>
      <c r="E882" s="14" t="s">
        <v>939</v>
      </c>
      <c r="F882" s="3" t="s">
        <v>945</v>
      </c>
      <c r="G882" s="4">
        <v>2</v>
      </c>
      <c r="H882" s="12">
        <v>353.464</v>
      </c>
      <c r="I882" s="12">
        <v>147.51133</v>
      </c>
      <c r="J882" s="13">
        <v>0.4173305626</v>
      </c>
      <c r="K882" s="13">
        <v>0.4173305626</v>
      </c>
      <c r="L882" s="12">
        <v>25.99</v>
      </c>
      <c r="M882" s="13">
        <v>0.1134761503</v>
      </c>
      <c r="N882" s="13">
        <v>0.027600293</v>
      </c>
      <c r="O882" s="13">
        <v>0.2808772604</v>
      </c>
      <c r="P882" s="13">
        <v>0</v>
      </c>
      <c r="Q882" s="13">
        <v>0</v>
      </c>
      <c r="R882" s="13">
        <v>0.0289673347</v>
      </c>
      <c r="S882" s="13">
        <v>0</v>
      </c>
      <c r="T882" s="13">
        <v>0.1200461716</v>
      </c>
      <c r="U882" s="13">
        <v>0.0117022271</v>
      </c>
      <c r="V882" s="13">
        <v>0</v>
      </c>
      <c r="W882" s="13">
        <v>0</v>
      </c>
      <c r="X882" s="13">
        <v>0</v>
      </c>
      <c r="Y882" s="13">
        <v>0</v>
      </c>
      <c r="Z882" s="13">
        <v>0</v>
      </c>
    </row>
    <row r="883" s="2" customFormat="1" hidden="1" spans="1:26">
      <c r="A883" s="11" t="s">
        <v>935</v>
      </c>
      <c r="B883" s="11" t="s">
        <v>937</v>
      </c>
      <c r="C883" s="14" t="s">
        <v>450</v>
      </c>
      <c r="D883" s="14" t="s">
        <v>938</v>
      </c>
      <c r="E883" s="14" t="s">
        <v>939</v>
      </c>
      <c r="F883" s="3" t="s">
        <v>936</v>
      </c>
      <c r="G883" s="4">
        <v>191</v>
      </c>
      <c r="H883" s="12">
        <v>32189.296</v>
      </c>
      <c r="I883" s="12">
        <v>9859.373739</v>
      </c>
      <c r="J883" s="13">
        <v>0.3062935498</v>
      </c>
      <c r="K883" s="13">
        <v>0.3062935498</v>
      </c>
      <c r="L883" s="12">
        <v>24.7838743455</v>
      </c>
      <c r="M883" s="13">
        <v>0.1222304876</v>
      </c>
      <c r="N883" s="13">
        <v>0.0382102356</v>
      </c>
      <c r="O883" s="13">
        <v>0.276089418</v>
      </c>
      <c r="P883" s="13">
        <v>0.0101357917</v>
      </c>
      <c r="Q883" s="13">
        <v>0.0030312002</v>
      </c>
      <c r="R883" s="13">
        <v>0.1217825448</v>
      </c>
      <c r="S883" s="13">
        <v>0</v>
      </c>
      <c r="T883" s="13">
        <v>0.1161792416</v>
      </c>
      <c r="U883" s="13">
        <v>0.0126050196</v>
      </c>
      <c r="V883" s="13">
        <v>-0.0086654892</v>
      </c>
      <c r="W883" s="13">
        <v>-0.0007826455</v>
      </c>
      <c r="X883" s="13">
        <v>0</v>
      </c>
      <c r="Y883" s="13">
        <v>0</v>
      </c>
      <c r="Z883" s="13">
        <v>0.0028906455</v>
      </c>
    </row>
    <row r="884" s="2" customFormat="1" hidden="1" spans="1:26">
      <c r="A884" s="11" t="s">
        <v>935</v>
      </c>
      <c r="B884" s="11" t="s">
        <v>937</v>
      </c>
      <c r="C884" s="14" t="s">
        <v>450</v>
      </c>
      <c r="D884" s="14" t="s">
        <v>938</v>
      </c>
      <c r="E884" s="14" t="s">
        <v>939</v>
      </c>
      <c r="F884" s="3" t="s">
        <v>940</v>
      </c>
      <c r="G884" s="4">
        <v>17</v>
      </c>
      <c r="H884" s="12">
        <v>2868.444</v>
      </c>
      <c r="I884" s="12">
        <v>748.583311</v>
      </c>
      <c r="J884" s="13">
        <v>0.2609719105</v>
      </c>
      <c r="K884" s="13">
        <v>0.2609719105</v>
      </c>
      <c r="L884" s="12">
        <v>24.8135294117</v>
      </c>
      <c r="M884" s="13">
        <v>0.1227269575</v>
      </c>
      <c r="N884" s="13">
        <v>0.0355907356</v>
      </c>
      <c r="O884" s="13">
        <v>0.2688049688</v>
      </c>
      <c r="P884" s="13">
        <v>0</v>
      </c>
      <c r="Q884" s="13">
        <v>0.0008192281</v>
      </c>
      <c r="R884" s="13">
        <v>0.1851046866</v>
      </c>
      <c r="S884" s="13">
        <v>0</v>
      </c>
      <c r="T884" s="13">
        <v>0.1129839034</v>
      </c>
      <c r="U884" s="13">
        <v>0.0126562181</v>
      </c>
      <c r="V884" s="13">
        <v>0</v>
      </c>
      <c r="W884" s="13">
        <v>0</v>
      </c>
      <c r="X884" s="13">
        <v>0</v>
      </c>
      <c r="Y884" s="13">
        <v>0</v>
      </c>
      <c r="Z884" s="13">
        <v>0.000341391</v>
      </c>
    </row>
    <row r="885" s="2" customFormat="1" hidden="1" spans="1:26">
      <c r="A885" s="11" t="s">
        <v>935</v>
      </c>
      <c r="B885" s="11" t="s">
        <v>937</v>
      </c>
      <c r="C885" s="14" t="s">
        <v>450</v>
      </c>
      <c r="D885" s="14" t="s">
        <v>938</v>
      </c>
      <c r="E885" s="14" t="s">
        <v>939</v>
      </c>
      <c r="F885" s="3" t="s">
        <v>941</v>
      </c>
      <c r="G885" s="4">
        <v>79</v>
      </c>
      <c r="H885" s="12">
        <v>12708.044</v>
      </c>
      <c r="I885" s="12">
        <v>3467.756837</v>
      </c>
      <c r="J885" s="13">
        <v>0.2728788818</v>
      </c>
      <c r="K885" s="13">
        <v>0.2728788818</v>
      </c>
      <c r="L885" s="12">
        <v>23.6560759493</v>
      </c>
      <c r="M885" s="13">
        <v>0.1271022721</v>
      </c>
      <c r="N885" s="13">
        <v>0.027385725</v>
      </c>
      <c r="O885" s="13">
        <v>0.2871636264</v>
      </c>
      <c r="P885" s="13">
        <v>0.0128369086</v>
      </c>
      <c r="Q885" s="13">
        <v>0.0043331622</v>
      </c>
      <c r="R885" s="13">
        <v>0.1364249732</v>
      </c>
      <c r="S885" s="13">
        <v>0</v>
      </c>
      <c r="T885" s="13">
        <v>0.1130760957</v>
      </c>
      <c r="U885" s="13">
        <v>0.0131074225</v>
      </c>
      <c r="V885" s="13">
        <v>0.0003531621</v>
      </c>
      <c r="W885" s="13">
        <v>0</v>
      </c>
      <c r="X885" s="13">
        <v>0</v>
      </c>
      <c r="Y885" s="13">
        <v>0</v>
      </c>
      <c r="Z885" s="13">
        <v>0.0053377699</v>
      </c>
    </row>
    <row r="886" s="2" customFormat="1" hidden="1" spans="1:26">
      <c r="A886" s="11" t="s">
        <v>935</v>
      </c>
      <c r="B886" s="11" t="s">
        <v>937</v>
      </c>
      <c r="C886" s="14" t="s">
        <v>450</v>
      </c>
      <c r="D886" s="14" t="s">
        <v>938</v>
      </c>
      <c r="E886" s="14" t="s">
        <v>939</v>
      </c>
      <c r="F886" s="3" t="s">
        <v>942</v>
      </c>
      <c r="G886" s="4">
        <v>1</v>
      </c>
      <c r="H886" s="12">
        <v>176.732</v>
      </c>
      <c r="I886" s="12">
        <v>100.122102</v>
      </c>
      <c r="J886" s="13">
        <v>0.5665193739</v>
      </c>
      <c r="K886" s="13">
        <v>0.5665193739</v>
      </c>
      <c r="L886" s="12">
        <v>25.99</v>
      </c>
      <c r="M886" s="13">
        <v>0.1171715648</v>
      </c>
      <c r="N886" s="13">
        <v>0.0253765305</v>
      </c>
      <c r="O886" s="13">
        <v>0.2654867256</v>
      </c>
      <c r="P886" s="13">
        <v>0.9230473258</v>
      </c>
      <c r="Q886" s="13">
        <v>0.1831629529</v>
      </c>
      <c r="R886" s="13">
        <v>0.3075464375</v>
      </c>
      <c r="S886" s="13">
        <v>0</v>
      </c>
      <c r="T886" s="13">
        <v>0.0315505963</v>
      </c>
      <c r="U886" s="13">
        <v>0.0120833182</v>
      </c>
      <c r="V886" s="13">
        <v>-1.2958830319</v>
      </c>
      <c r="W886" s="13">
        <v>-0.1425480954</v>
      </c>
      <c r="X886" s="13">
        <v>0</v>
      </c>
      <c r="Y886" s="13">
        <v>0</v>
      </c>
      <c r="Z886" s="13">
        <v>0.0064863012</v>
      </c>
    </row>
    <row r="887" s="2" customFormat="1" hidden="1" spans="1:26">
      <c r="A887" s="11" t="s">
        <v>935</v>
      </c>
      <c r="B887" s="11" t="s">
        <v>937</v>
      </c>
      <c r="C887" s="14" t="s">
        <v>450</v>
      </c>
      <c r="D887" s="14" t="s">
        <v>938</v>
      </c>
      <c r="E887" s="14" t="s">
        <v>939</v>
      </c>
      <c r="F887" s="3" t="s">
        <v>943</v>
      </c>
      <c r="G887" s="4">
        <v>0</v>
      </c>
      <c r="H887" s="12">
        <v>0</v>
      </c>
      <c r="I887" s="12">
        <v>-0.82959</v>
      </c>
      <c r="J887" s="13"/>
      <c r="K887" s="13"/>
      <c r="L887" s="12"/>
      <c r="M887" s="13"/>
      <c r="N887" s="13"/>
      <c r="O887" s="13"/>
      <c r="P887" s="13"/>
      <c r="Q887" s="13"/>
      <c r="R887" s="13"/>
      <c r="S887" s="13"/>
      <c r="T887" s="13"/>
      <c r="U887" s="13"/>
      <c r="V887" s="13"/>
      <c r="W887" s="13"/>
      <c r="X887" s="13"/>
      <c r="Y887" s="13"/>
      <c r="Z887" s="13"/>
    </row>
    <row r="888" s="2" customFormat="1" spans="1:26">
      <c r="A888" s="11" t="s">
        <v>935</v>
      </c>
      <c r="B888" s="11" t="s">
        <v>937</v>
      </c>
      <c r="C888" s="14" t="s">
        <v>450</v>
      </c>
      <c r="D888" s="14" t="s">
        <v>938</v>
      </c>
      <c r="E888" s="14" t="s">
        <v>939</v>
      </c>
      <c r="F888" s="3" t="s">
        <v>944</v>
      </c>
      <c r="G888" s="4">
        <v>94</v>
      </c>
      <c r="H888" s="12">
        <v>16436.076</v>
      </c>
      <c r="I888" s="12">
        <v>5522.992966</v>
      </c>
      <c r="J888" s="13">
        <v>0.3360286826</v>
      </c>
      <c r="K888" s="13">
        <v>0.3360286826</v>
      </c>
      <c r="L888" s="12">
        <v>25.7135106382</v>
      </c>
      <c r="M888" s="13">
        <v>0.1184314741</v>
      </c>
      <c r="N888" s="13">
        <v>0.047174685</v>
      </c>
      <c r="O888" s="13">
        <v>0.2689123608</v>
      </c>
      <c r="P888" s="13">
        <v>0</v>
      </c>
      <c r="Q888" s="13">
        <v>0.0004232111</v>
      </c>
      <c r="R888" s="13">
        <v>0.0953653541</v>
      </c>
      <c r="S888" s="13">
        <v>0</v>
      </c>
      <c r="T888" s="13">
        <v>0.1200461716</v>
      </c>
      <c r="U888" s="13">
        <v>0.0122132463</v>
      </c>
      <c r="V888" s="13">
        <v>0</v>
      </c>
      <c r="W888" s="13">
        <v>0</v>
      </c>
      <c r="X888" s="13">
        <v>0</v>
      </c>
      <c r="Y888" s="13">
        <v>0</v>
      </c>
      <c r="Z888" s="13">
        <v>0.001404814</v>
      </c>
    </row>
    <row r="889" s="2" customFormat="1" hidden="1" spans="1:26">
      <c r="A889" s="11" t="s">
        <v>935</v>
      </c>
      <c r="B889" s="11" t="s">
        <v>937</v>
      </c>
      <c r="C889" s="14" t="s">
        <v>450</v>
      </c>
      <c r="D889" s="14" t="s">
        <v>938</v>
      </c>
      <c r="E889" s="14" t="s">
        <v>939</v>
      </c>
      <c r="F889" s="3" t="s">
        <v>945</v>
      </c>
      <c r="G889" s="4">
        <v>0</v>
      </c>
      <c r="H889" s="12">
        <v>0</v>
      </c>
      <c r="I889" s="12">
        <v>20.748113</v>
      </c>
      <c r="J889" s="13"/>
      <c r="K889" s="13"/>
      <c r="L889" s="12"/>
      <c r="M889" s="13"/>
      <c r="N889" s="13"/>
      <c r="O889" s="13"/>
      <c r="P889" s="13"/>
      <c r="Q889" s="13"/>
      <c r="R889" s="13"/>
      <c r="S889" s="13"/>
      <c r="T889" s="13"/>
      <c r="U889" s="13"/>
      <c r="V889" s="13"/>
      <c r="W889" s="13"/>
      <c r="X889" s="13"/>
      <c r="Y889" s="13"/>
      <c r="Z889" s="13"/>
    </row>
    <row r="890" s="2" customFormat="1" hidden="1" spans="1:26">
      <c r="A890" s="11" t="s">
        <v>935</v>
      </c>
      <c r="B890" s="11" t="s">
        <v>937</v>
      </c>
      <c r="C890" s="14" t="s">
        <v>454</v>
      </c>
      <c r="D890" s="14" t="s">
        <v>938</v>
      </c>
      <c r="E890" s="14" t="s">
        <v>939</v>
      </c>
      <c r="F890" s="3" t="s">
        <v>936</v>
      </c>
      <c r="G890" s="4">
        <v>133</v>
      </c>
      <c r="H890" s="12">
        <v>23835.904</v>
      </c>
      <c r="I890" s="12">
        <v>5619.57793</v>
      </c>
      <c r="J890" s="13">
        <v>0.2357610573</v>
      </c>
      <c r="K890" s="13">
        <v>0.2357610573</v>
      </c>
      <c r="L890" s="12">
        <v>26.3554887217</v>
      </c>
      <c r="M890" s="13">
        <v>0.1131912954</v>
      </c>
      <c r="N890" s="13">
        <v>0.033971178</v>
      </c>
      <c r="O890" s="13">
        <v>0.2779121781</v>
      </c>
      <c r="P890" s="13">
        <v>0</v>
      </c>
      <c r="Q890" s="13">
        <v>0.0185814657</v>
      </c>
      <c r="R890" s="13">
        <v>0.1924177767</v>
      </c>
      <c r="S890" s="13">
        <v>0</v>
      </c>
      <c r="T890" s="13">
        <v>0.1102222932</v>
      </c>
      <c r="U890" s="13">
        <v>0.0116728559</v>
      </c>
      <c r="V890" s="13">
        <v>0</v>
      </c>
      <c r="W890" s="13">
        <v>0</v>
      </c>
      <c r="X890" s="13">
        <v>0</v>
      </c>
      <c r="Y890" s="13">
        <v>0</v>
      </c>
      <c r="Z890" s="13">
        <v>0.0062698991</v>
      </c>
    </row>
    <row r="891" s="2" customFormat="1" hidden="1" spans="1:26">
      <c r="A891" s="11" t="s">
        <v>935</v>
      </c>
      <c r="B891" s="11" t="s">
        <v>937</v>
      </c>
      <c r="C891" s="14" t="s">
        <v>454</v>
      </c>
      <c r="D891" s="14" t="s">
        <v>938</v>
      </c>
      <c r="E891" s="14" t="s">
        <v>939</v>
      </c>
      <c r="F891" s="3" t="s">
        <v>941</v>
      </c>
      <c r="G891" s="4">
        <v>6</v>
      </c>
      <c r="H891" s="12">
        <v>1003.272</v>
      </c>
      <c r="I891" s="12">
        <v>128.865468</v>
      </c>
      <c r="J891" s="13">
        <v>0.1284451953</v>
      </c>
      <c r="K891" s="13">
        <v>0.1284451953</v>
      </c>
      <c r="L891" s="12">
        <v>24.59</v>
      </c>
      <c r="M891" s="13">
        <v>0.1213180931</v>
      </c>
      <c r="N891" s="13">
        <v>0.0374083259</v>
      </c>
      <c r="O891" s="13">
        <v>0.3001220008</v>
      </c>
      <c r="P891" s="13">
        <v>0</v>
      </c>
      <c r="Q891" s="13">
        <v>0.0017910925</v>
      </c>
      <c r="R891" s="13">
        <v>0.2949914449</v>
      </c>
      <c r="S891" s="13">
        <v>0</v>
      </c>
      <c r="T891" s="13">
        <v>0.0980750982</v>
      </c>
      <c r="U891" s="13">
        <v>0.0125109322</v>
      </c>
      <c r="V891" s="13">
        <v>0</v>
      </c>
      <c r="W891" s="13">
        <v>0</v>
      </c>
      <c r="X891" s="13">
        <v>0</v>
      </c>
      <c r="Y891" s="13">
        <v>0</v>
      </c>
      <c r="Z891" s="13">
        <v>0.0053378166</v>
      </c>
    </row>
    <row r="892" s="2" customFormat="1" hidden="1" spans="1:26">
      <c r="A892" s="11" t="s">
        <v>935</v>
      </c>
      <c r="B892" s="11" t="s">
        <v>937</v>
      </c>
      <c r="C892" s="14" t="s">
        <v>454</v>
      </c>
      <c r="D892" s="14" t="s">
        <v>938</v>
      </c>
      <c r="E892" s="14" t="s">
        <v>939</v>
      </c>
      <c r="F892" s="3" t="s">
        <v>942</v>
      </c>
      <c r="G892" s="4">
        <v>44</v>
      </c>
      <c r="H892" s="12">
        <v>7357.328</v>
      </c>
      <c r="I892" s="12">
        <v>961.393087</v>
      </c>
      <c r="J892" s="13">
        <v>0.1306715001</v>
      </c>
      <c r="K892" s="13">
        <v>0.1306715001</v>
      </c>
      <c r="L892" s="12">
        <v>24.59</v>
      </c>
      <c r="M892" s="13">
        <v>0.1213180931</v>
      </c>
      <c r="N892" s="13">
        <v>0.0374083259</v>
      </c>
      <c r="O892" s="13">
        <v>0.3001220008</v>
      </c>
      <c r="P892" s="13">
        <v>0</v>
      </c>
      <c r="Q892" s="13">
        <v>0.0182263911</v>
      </c>
      <c r="R892" s="13">
        <v>0.2736132639</v>
      </c>
      <c r="S892" s="13">
        <v>0</v>
      </c>
      <c r="T892" s="13">
        <v>0.09964324</v>
      </c>
      <c r="U892" s="13">
        <v>0.0125109322</v>
      </c>
      <c r="V892" s="13">
        <v>0</v>
      </c>
      <c r="W892" s="13">
        <v>0</v>
      </c>
      <c r="X892" s="13">
        <v>0</v>
      </c>
      <c r="Y892" s="13">
        <v>0</v>
      </c>
      <c r="Z892" s="13">
        <v>0.0064862524</v>
      </c>
    </row>
    <row r="893" s="2" customFormat="1" hidden="1" spans="1:26">
      <c r="A893" s="11" t="s">
        <v>935</v>
      </c>
      <c r="B893" s="11" t="s">
        <v>937</v>
      </c>
      <c r="C893" s="14" t="s">
        <v>454</v>
      </c>
      <c r="D893" s="14" t="s">
        <v>938</v>
      </c>
      <c r="E893" s="14" t="s">
        <v>939</v>
      </c>
      <c r="F893" s="3" t="s">
        <v>943</v>
      </c>
      <c r="G893" s="4">
        <v>35</v>
      </c>
      <c r="H893" s="12">
        <v>6529.7</v>
      </c>
      <c r="I893" s="12">
        <v>1533.773121</v>
      </c>
      <c r="J893" s="13">
        <v>0.2348918206</v>
      </c>
      <c r="K893" s="13">
        <v>0.2348918206</v>
      </c>
      <c r="L893" s="12">
        <v>27.4357142857</v>
      </c>
      <c r="M893" s="13">
        <v>0.1087346179</v>
      </c>
      <c r="N893" s="13">
        <v>0.0320947218</v>
      </c>
      <c r="O893" s="13">
        <v>0.2689924498</v>
      </c>
      <c r="P893" s="13">
        <v>0</v>
      </c>
      <c r="Q893" s="13">
        <v>0.0281967756</v>
      </c>
      <c r="R893" s="13">
        <v>0.1924464215</v>
      </c>
      <c r="S893" s="13">
        <v>0</v>
      </c>
      <c r="T893" s="13">
        <v>0.110554543</v>
      </c>
      <c r="U893" s="13">
        <v>0.0112132609</v>
      </c>
      <c r="V893" s="13">
        <v>0</v>
      </c>
      <c r="W893" s="13">
        <v>0</v>
      </c>
      <c r="X893" s="13">
        <v>0</v>
      </c>
      <c r="Y893" s="13">
        <v>0</v>
      </c>
      <c r="Z893" s="13">
        <v>0.0128753884</v>
      </c>
    </row>
    <row r="894" s="2" customFormat="1" spans="1:26">
      <c r="A894" s="11" t="s">
        <v>935</v>
      </c>
      <c r="B894" s="11" t="s">
        <v>937</v>
      </c>
      <c r="C894" s="14" t="s">
        <v>454</v>
      </c>
      <c r="D894" s="14" t="s">
        <v>938</v>
      </c>
      <c r="E894" s="14" t="s">
        <v>939</v>
      </c>
      <c r="F894" s="3" t="s">
        <v>944</v>
      </c>
      <c r="G894" s="4">
        <v>47</v>
      </c>
      <c r="H894" s="12">
        <v>8755.272</v>
      </c>
      <c r="I894" s="12">
        <v>3005.519626</v>
      </c>
      <c r="J894" s="13">
        <v>0.3432811254</v>
      </c>
      <c r="K894" s="13">
        <v>0.3432811254</v>
      </c>
      <c r="L894" s="12">
        <v>27.3944680851</v>
      </c>
      <c r="M894" s="13">
        <v>0.1088983331</v>
      </c>
      <c r="N894" s="13">
        <v>0.0321430448</v>
      </c>
      <c r="O894" s="13">
        <v>0.2636655948</v>
      </c>
      <c r="P894" s="13">
        <v>0</v>
      </c>
      <c r="Q894" s="13">
        <v>0.014036692</v>
      </c>
      <c r="R894" s="13">
        <v>0.1052973799</v>
      </c>
      <c r="S894" s="13">
        <v>0</v>
      </c>
      <c r="T894" s="13">
        <v>0.1200428724</v>
      </c>
      <c r="U894" s="13">
        <v>0.011230144</v>
      </c>
      <c r="V894" s="13">
        <v>0</v>
      </c>
      <c r="W894" s="13">
        <v>0</v>
      </c>
      <c r="X894" s="13">
        <v>0</v>
      </c>
      <c r="Y894" s="13">
        <v>0</v>
      </c>
      <c r="Z894" s="13">
        <v>0.0014048131</v>
      </c>
    </row>
    <row r="895" s="2" customFormat="1" hidden="1" spans="1:26">
      <c r="A895" s="11" t="s">
        <v>935</v>
      </c>
      <c r="B895" s="11" t="s">
        <v>937</v>
      </c>
      <c r="C895" s="14" t="s">
        <v>454</v>
      </c>
      <c r="D895" s="14" t="s">
        <v>938</v>
      </c>
      <c r="E895" s="14" t="s">
        <v>939</v>
      </c>
      <c r="F895" s="3" t="s">
        <v>945</v>
      </c>
      <c r="G895" s="4">
        <v>1</v>
      </c>
      <c r="H895" s="12">
        <v>190.332</v>
      </c>
      <c r="I895" s="12">
        <v>-9.973372</v>
      </c>
      <c r="J895" s="13">
        <v>-0.0523998697</v>
      </c>
      <c r="K895" s="13">
        <v>-0.0523998697</v>
      </c>
      <c r="L895" s="12">
        <v>27.99</v>
      </c>
      <c r="M895" s="13">
        <v>0.1065813473</v>
      </c>
      <c r="N895" s="13">
        <v>0.0314591503</v>
      </c>
      <c r="O895" s="13">
        <v>0.2636655948</v>
      </c>
      <c r="P895" s="13">
        <v>0</v>
      </c>
      <c r="Q895" s="13">
        <v>0</v>
      </c>
      <c r="R895" s="13">
        <v>0.5196596998</v>
      </c>
      <c r="S895" s="13">
        <v>0</v>
      </c>
      <c r="T895" s="13">
        <v>0.1200428724</v>
      </c>
      <c r="U895" s="13">
        <v>0.0109912048</v>
      </c>
      <c r="V895" s="13">
        <v>0</v>
      </c>
      <c r="W895" s="13">
        <v>0</v>
      </c>
      <c r="X895" s="13">
        <v>0</v>
      </c>
      <c r="Y895" s="13">
        <v>0</v>
      </c>
      <c r="Z895" s="13">
        <v>0</v>
      </c>
    </row>
    <row r="896" s="2" customFormat="1" hidden="1" spans="1:26">
      <c r="A896" s="11" t="s">
        <v>935</v>
      </c>
      <c r="B896" s="11" t="s">
        <v>937</v>
      </c>
      <c r="C896" s="14" t="s">
        <v>458</v>
      </c>
      <c r="D896" s="14" t="s">
        <v>938</v>
      </c>
      <c r="E896" s="14" t="s">
        <v>939</v>
      </c>
      <c r="F896" s="3" t="s">
        <v>936</v>
      </c>
      <c r="G896" s="4">
        <v>19</v>
      </c>
      <c r="H896" s="12">
        <v>3154.588</v>
      </c>
      <c r="I896" s="12">
        <v>-505.219034</v>
      </c>
      <c r="J896" s="13">
        <v>-0.1601537297</v>
      </c>
      <c r="K896" s="13">
        <v>-0.1601537297</v>
      </c>
      <c r="L896" s="12">
        <v>24.4163157894</v>
      </c>
      <c r="M896" s="13">
        <v>0.1022253156</v>
      </c>
      <c r="N896" s="13">
        <v>0.0450207903</v>
      </c>
      <c r="O896" s="13">
        <v>0.3087883425</v>
      </c>
      <c r="P896" s="13">
        <v>0</v>
      </c>
      <c r="Q896" s="13">
        <v>0.1474919694</v>
      </c>
      <c r="R896" s="13">
        <v>0.4145829068</v>
      </c>
      <c r="S896" s="13">
        <v>0</v>
      </c>
      <c r="T896" s="13">
        <v>0.1028432239</v>
      </c>
      <c r="U896" s="13">
        <v>0.0105419864</v>
      </c>
      <c r="V896" s="13">
        <v>0.028505529</v>
      </c>
      <c r="W896" s="13">
        <v>0</v>
      </c>
      <c r="X896" s="13">
        <v>0</v>
      </c>
      <c r="Y896" s="13">
        <v>0</v>
      </c>
      <c r="Z896" s="13">
        <v>0.0001536654</v>
      </c>
    </row>
    <row r="897" s="2" customFormat="1" hidden="1" spans="1:26">
      <c r="A897" s="11" t="s">
        <v>935</v>
      </c>
      <c r="B897" s="11" t="s">
        <v>937</v>
      </c>
      <c r="C897" s="14" t="s">
        <v>458</v>
      </c>
      <c r="D897" s="14" t="s">
        <v>938</v>
      </c>
      <c r="E897" s="14" t="s">
        <v>939</v>
      </c>
      <c r="F897" s="3" t="s">
        <v>940</v>
      </c>
      <c r="G897" s="4">
        <v>0</v>
      </c>
      <c r="H897" s="12">
        <v>0</v>
      </c>
      <c r="I897" s="12">
        <v>-27.54</v>
      </c>
      <c r="J897" s="13"/>
      <c r="K897" s="13"/>
      <c r="L897" s="12"/>
      <c r="M897" s="13"/>
      <c r="N897" s="13"/>
      <c r="O897" s="13"/>
      <c r="P897" s="13"/>
      <c r="Q897" s="13"/>
      <c r="R897" s="13"/>
      <c r="S897" s="13"/>
      <c r="T897" s="13"/>
      <c r="U897" s="13"/>
      <c r="V897" s="13"/>
      <c r="W897" s="13"/>
      <c r="X897" s="13"/>
      <c r="Y897" s="13"/>
      <c r="Z897" s="13"/>
    </row>
    <row r="898" s="2" customFormat="1" hidden="1" spans="1:26">
      <c r="A898" s="11" t="s">
        <v>935</v>
      </c>
      <c r="B898" s="11" t="s">
        <v>937</v>
      </c>
      <c r="C898" s="14" t="s">
        <v>458</v>
      </c>
      <c r="D898" s="14" t="s">
        <v>938</v>
      </c>
      <c r="E898" s="14" t="s">
        <v>939</v>
      </c>
      <c r="F898" s="3" t="s">
        <v>941</v>
      </c>
      <c r="G898" s="4">
        <v>6</v>
      </c>
      <c r="H898" s="12">
        <v>1033.872</v>
      </c>
      <c r="I898" s="12">
        <v>-127.30558</v>
      </c>
      <c r="J898" s="13">
        <v>-0.1231347594</v>
      </c>
      <c r="K898" s="13">
        <v>-0.1231347594</v>
      </c>
      <c r="L898" s="12">
        <v>25.34</v>
      </c>
      <c r="M898" s="13">
        <v>0.0984990366</v>
      </c>
      <c r="N898" s="13">
        <v>0.04959701</v>
      </c>
      <c r="O898" s="13">
        <v>0.3010392002</v>
      </c>
      <c r="P898" s="13">
        <v>0</v>
      </c>
      <c r="Q898" s="13">
        <v>0.0193693319</v>
      </c>
      <c r="R898" s="13">
        <v>0.4712578152</v>
      </c>
      <c r="S898" s="13">
        <v>0</v>
      </c>
      <c r="T898" s="13">
        <v>0.0808997632</v>
      </c>
      <c r="U898" s="13">
        <v>0.0101577139</v>
      </c>
      <c r="V898" s="13">
        <v>0.0869771112</v>
      </c>
      <c r="W898" s="13">
        <v>0</v>
      </c>
      <c r="X898" s="13">
        <v>0</v>
      </c>
      <c r="Y898" s="13">
        <v>0</v>
      </c>
      <c r="Z898" s="13">
        <v>0.0053377768</v>
      </c>
    </row>
    <row r="899" s="2" customFormat="1" hidden="1" spans="1:26">
      <c r="A899" s="11" t="s">
        <v>935</v>
      </c>
      <c r="B899" s="11" t="s">
        <v>937</v>
      </c>
      <c r="C899" s="14" t="s">
        <v>458</v>
      </c>
      <c r="D899" s="14" t="s">
        <v>938</v>
      </c>
      <c r="E899" s="14" t="s">
        <v>939</v>
      </c>
      <c r="F899" s="3" t="s">
        <v>942</v>
      </c>
      <c r="G899" s="4">
        <v>3</v>
      </c>
      <c r="H899" s="12">
        <v>489.396</v>
      </c>
      <c r="I899" s="12">
        <v>-426.830638</v>
      </c>
      <c r="J899" s="13">
        <v>-0.8721580029</v>
      </c>
      <c r="K899" s="13">
        <v>-0.8721580029</v>
      </c>
      <c r="L899" s="12">
        <v>23.99</v>
      </c>
      <c r="M899" s="13">
        <v>0.1040419169</v>
      </c>
      <c r="N899" s="13">
        <v>0.0427293847</v>
      </c>
      <c r="O899" s="13">
        <v>0.3179102403</v>
      </c>
      <c r="P899" s="13">
        <v>0</v>
      </c>
      <c r="Q899" s="13">
        <v>0.3426730193</v>
      </c>
      <c r="R899" s="13">
        <v>0.9801986509</v>
      </c>
      <c r="S899" s="13">
        <v>0</v>
      </c>
      <c r="T899" s="13">
        <v>0.1079616506</v>
      </c>
      <c r="U899" s="13">
        <v>0.0107293234</v>
      </c>
      <c r="V899" s="13">
        <v>0</v>
      </c>
      <c r="W899" s="13">
        <v>0</v>
      </c>
      <c r="X899" s="13">
        <v>0</v>
      </c>
      <c r="Y899" s="13">
        <v>0</v>
      </c>
      <c r="Z899" s="13">
        <v>-0.0340861838</v>
      </c>
    </row>
    <row r="900" s="2" customFormat="1" hidden="1" spans="1:26">
      <c r="A900" s="11" t="s">
        <v>935</v>
      </c>
      <c r="B900" s="11" t="s">
        <v>937</v>
      </c>
      <c r="C900" s="14" t="s">
        <v>458</v>
      </c>
      <c r="D900" s="14" t="s">
        <v>938</v>
      </c>
      <c r="E900" s="14" t="s">
        <v>939</v>
      </c>
      <c r="F900" s="3" t="s">
        <v>943</v>
      </c>
      <c r="G900" s="4">
        <v>5</v>
      </c>
      <c r="H900" s="12">
        <v>815.66</v>
      </c>
      <c r="I900" s="12">
        <v>21.608125</v>
      </c>
      <c r="J900" s="13">
        <v>0.0264915835</v>
      </c>
      <c r="K900" s="13">
        <v>0.0264915835</v>
      </c>
      <c r="L900" s="12">
        <v>23.99</v>
      </c>
      <c r="M900" s="13">
        <v>0.1040419169</v>
      </c>
      <c r="N900" s="13">
        <v>0.0427293847</v>
      </c>
      <c r="O900" s="13">
        <v>0.3109629012</v>
      </c>
      <c r="P900" s="13">
        <v>0</v>
      </c>
      <c r="Q900" s="13">
        <v>0.174064571</v>
      </c>
      <c r="R900" s="13">
        <v>0.2028902238</v>
      </c>
      <c r="S900" s="13">
        <v>0</v>
      </c>
      <c r="T900" s="13">
        <v>0.1152146727</v>
      </c>
      <c r="U900" s="13">
        <v>0.0107293234</v>
      </c>
      <c r="V900" s="13">
        <v>0</v>
      </c>
      <c r="W900" s="13">
        <v>0</v>
      </c>
      <c r="X900" s="13">
        <v>0</v>
      </c>
      <c r="Y900" s="13">
        <v>0</v>
      </c>
      <c r="Z900" s="13">
        <v>0.0128754223</v>
      </c>
    </row>
    <row r="901" s="2" customFormat="1" spans="1:26">
      <c r="A901" s="11" t="s">
        <v>935</v>
      </c>
      <c r="B901" s="11" t="s">
        <v>937</v>
      </c>
      <c r="C901" s="14" t="s">
        <v>458</v>
      </c>
      <c r="D901" s="14" t="s">
        <v>938</v>
      </c>
      <c r="E901" s="14" t="s">
        <v>939</v>
      </c>
      <c r="F901" s="3" t="s">
        <v>944</v>
      </c>
      <c r="G901" s="4">
        <v>5</v>
      </c>
      <c r="H901" s="12">
        <v>815.66</v>
      </c>
      <c r="I901" s="12">
        <v>54.849059</v>
      </c>
      <c r="J901" s="13">
        <v>0.0672450028</v>
      </c>
      <c r="K901" s="13">
        <v>0.0672450028</v>
      </c>
      <c r="L901" s="12">
        <v>23.99</v>
      </c>
      <c r="M901" s="13">
        <v>0.1040419169</v>
      </c>
      <c r="N901" s="13">
        <v>0.0428865519</v>
      </c>
      <c r="O901" s="13">
        <v>0.3109629012</v>
      </c>
      <c r="P901" s="13">
        <v>0</v>
      </c>
      <c r="Q901" s="13">
        <v>0.1662097859</v>
      </c>
      <c r="R901" s="13">
        <v>0.1813050339</v>
      </c>
      <c r="S901" s="13">
        <v>0</v>
      </c>
      <c r="T901" s="13">
        <v>0.1152146727</v>
      </c>
      <c r="U901" s="13">
        <v>0.0107293234</v>
      </c>
      <c r="V901" s="13">
        <v>0</v>
      </c>
      <c r="W901" s="13">
        <v>0</v>
      </c>
      <c r="X901" s="13">
        <v>0</v>
      </c>
      <c r="Y901" s="13">
        <v>0</v>
      </c>
      <c r="Z901" s="13">
        <v>0.0014048108</v>
      </c>
    </row>
    <row r="902" s="2" customFormat="1" hidden="1" spans="1:26">
      <c r="A902" s="11" t="s">
        <v>935</v>
      </c>
      <c r="B902" s="11" t="s">
        <v>937</v>
      </c>
      <c r="C902" s="14" t="s">
        <v>462</v>
      </c>
      <c r="D902" s="14" t="s">
        <v>938</v>
      </c>
      <c r="E902" s="14" t="s">
        <v>939</v>
      </c>
      <c r="F902" s="3" t="s">
        <v>936</v>
      </c>
      <c r="G902" s="4">
        <v>225</v>
      </c>
      <c r="H902" s="12">
        <v>36314.924</v>
      </c>
      <c r="I902" s="12">
        <v>8450.294132</v>
      </c>
      <c r="J902" s="13">
        <v>0.2326948042</v>
      </c>
      <c r="K902" s="13">
        <v>0.2326948042</v>
      </c>
      <c r="L902" s="12">
        <v>23.7352444444</v>
      </c>
      <c r="M902" s="13">
        <v>0.1132394815</v>
      </c>
      <c r="N902" s="13">
        <v>0.0707664316</v>
      </c>
      <c r="O902" s="13">
        <v>0.2829322732</v>
      </c>
      <c r="P902" s="13">
        <v>0.0309656713</v>
      </c>
      <c r="Q902" s="13">
        <v>0.0061323665</v>
      </c>
      <c r="R902" s="13">
        <v>0.1402775584</v>
      </c>
      <c r="S902" s="13">
        <v>0</v>
      </c>
      <c r="T902" s="13">
        <v>0.1116071177</v>
      </c>
      <c r="U902" s="13">
        <v>0.0116778232</v>
      </c>
      <c r="V902" s="13">
        <v>-0.0040461161</v>
      </c>
      <c r="W902" s="13">
        <v>-0.0025008792</v>
      </c>
      <c r="X902" s="13">
        <v>0.0004250594</v>
      </c>
      <c r="Y902" s="13">
        <v>0</v>
      </c>
      <c r="Z902" s="13">
        <v>0.0058284077</v>
      </c>
    </row>
    <row r="903" s="2" customFormat="1" hidden="1" spans="1:26">
      <c r="A903" s="11" t="s">
        <v>935</v>
      </c>
      <c r="B903" s="11" t="s">
        <v>937</v>
      </c>
      <c r="C903" s="14" t="s">
        <v>462</v>
      </c>
      <c r="D903" s="14" t="s">
        <v>938</v>
      </c>
      <c r="E903" s="14" t="s">
        <v>939</v>
      </c>
      <c r="F903" s="3" t="s">
        <v>940</v>
      </c>
      <c r="G903" s="4">
        <v>8</v>
      </c>
      <c r="H903" s="12">
        <v>1305.056</v>
      </c>
      <c r="I903" s="12">
        <v>56.210712</v>
      </c>
      <c r="J903" s="13">
        <v>0.0430714942</v>
      </c>
      <c r="K903" s="13">
        <v>0.0430714942</v>
      </c>
      <c r="L903" s="12">
        <v>23.99</v>
      </c>
      <c r="M903" s="13">
        <v>0.1125371294</v>
      </c>
      <c r="N903" s="13">
        <v>0.0298507772</v>
      </c>
      <c r="O903" s="13">
        <v>0.2467694872</v>
      </c>
      <c r="P903" s="13">
        <v>0</v>
      </c>
      <c r="Q903" s="13">
        <v>0.0008192299</v>
      </c>
      <c r="R903" s="13">
        <v>0.4709075556</v>
      </c>
      <c r="S903" s="13">
        <v>0</v>
      </c>
      <c r="T903" s="13">
        <v>0.0840975406</v>
      </c>
      <c r="U903" s="13">
        <v>0.0116053931</v>
      </c>
      <c r="V903" s="13">
        <v>0</v>
      </c>
      <c r="W903" s="13">
        <v>0</v>
      </c>
      <c r="X903" s="13">
        <v>0</v>
      </c>
      <c r="Y903" s="13">
        <v>0</v>
      </c>
      <c r="Z903" s="13">
        <v>0.0003413922</v>
      </c>
    </row>
    <row r="904" s="2" customFormat="1" hidden="1" spans="1:26">
      <c r="A904" s="11" t="s">
        <v>935</v>
      </c>
      <c r="B904" s="11" t="s">
        <v>937</v>
      </c>
      <c r="C904" s="14" t="s">
        <v>462</v>
      </c>
      <c r="D904" s="14" t="s">
        <v>938</v>
      </c>
      <c r="E904" s="14" t="s">
        <v>939</v>
      </c>
      <c r="F904" s="3" t="s">
        <v>941</v>
      </c>
      <c r="G904" s="4">
        <v>72</v>
      </c>
      <c r="H904" s="12">
        <v>11435.424</v>
      </c>
      <c r="I904" s="12">
        <v>2491.628529</v>
      </c>
      <c r="J904" s="13">
        <v>0.2178868513</v>
      </c>
      <c r="K904" s="13">
        <v>0.2178868513</v>
      </c>
      <c r="L904" s="12">
        <v>23.3566666666</v>
      </c>
      <c r="M904" s="13">
        <v>0.1155886571</v>
      </c>
      <c r="N904" s="13">
        <v>0.0940474966</v>
      </c>
      <c r="O904" s="13">
        <v>0.2794824223</v>
      </c>
      <c r="P904" s="13">
        <v>0.0427964892</v>
      </c>
      <c r="Q904" s="13">
        <v>0.0023077757</v>
      </c>
      <c r="R904" s="13">
        <v>0.1230652562</v>
      </c>
      <c r="S904" s="13">
        <v>0</v>
      </c>
      <c r="T904" s="13">
        <v>0.1104788069</v>
      </c>
      <c r="U904" s="13">
        <v>0.011920082</v>
      </c>
      <c r="V904" s="13">
        <v>0</v>
      </c>
      <c r="W904" s="13">
        <v>-0.0029116132</v>
      </c>
      <c r="X904" s="13">
        <v>0</v>
      </c>
      <c r="Y904" s="13">
        <v>0</v>
      </c>
      <c r="Z904" s="13">
        <v>0.0053377756</v>
      </c>
    </row>
    <row r="905" s="2" customFormat="1" hidden="1" spans="1:26">
      <c r="A905" s="11" t="s">
        <v>935</v>
      </c>
      <c r="B905" s="11" t="s">
        <v>937</v>
      </c>
      <c r="C905" s="14" t="s">
        <v>462</v>
      </c>
      <c r="D905" s="14" t="s">
        <v>938</v>
      </c>
      <c r="E905" s="14" t="s">
        <v>939</v>
      </c>
      <c r="F905" s="3" t="s">
        <v>942</v>
      </c>
      <c r="G905" s="4">
        <v>86</v>
      </c>
      <c r="H905" s="12">
        <v>13555.256</v>
      </c>
      <c r="I905" s="12">
        <v>3446.517939</v>
      </c>
      <c r="J905" s="13">
        <v>0.254256942</v>
      </c>
      <c r="K905" s="13">
        <v>0.254256942</v>
      </c>
      <c r="L905" s="12">
        <v>23.1793023255</v>
      </c>
      <c r="M905" s="13">
        <v>0.1151187845</v>
      </c>
      <c r="N905" s="13">
        <v>0.0565582577</v>
      </c>
      <c r="O905" s="13">
        <v>0.2942280101</v>
      </c>
      <c r="P905" s="13">
        <v>0.0217816616</v>
      </c>
      <c r="Q905" s="13">
        <v>0.0086948634</v>
      </c>
      <c r="R905" s="13">
        <v>0.1239785792</v>
      </c>
      <c r="S905" s="13">
        <v>0</v>
      </c>
      <c r="T905" s="13">
        <v>0.1138144495</v>
      </c>
      <c r="U905" s="13">
        <v>0.0118716264</v>
      </c>
      <c r="V905" s="13">
        <v>-0.0047696922</v>
      </c>
      <c r="W905" s="13">
        <v>-0.0020197299</v>
      </c>
      <c r="X905" s="13">
        <v>0</v>
      </c>
      <c r="Y905" s="13">
        <v>0</v>
      </c>
      <c r="Z905" s="13">
        <v>0.0064862472</v>
      </c>
    </row>
    <row r="906" s="2" customFormat="1" hidden="1" spans="1:26">
      <c r="A906" s="11" t="s">
        <v>935</v>
      </c>
      <c r="B906" s="11" t="s">
        <v>937</v>
      </c>
      <c r="C906" s="14" t="s">
        <v>462</v>
      </c>
      <c r="D906" s="14" t="s">
        <v>938</v>
      </c>
      <c r="E906" s="14" t="s">
        <v>939</v>
      </c>
      <c r="F906" s="3" t="s">
        <v>943</v>
      </c>
      <c r="G906" s="4">
        <v>25</v>
      </c>
      <c r="H906" s="12">
        <v>4241.5</v>
      </c>
      <c r="I906" s="12">
        <v>1207.603876</v>
      </c>
      <c r="J906" s="13">
        <v>0.2847115114</v>
      </c>
      <c r="K906" s="13">
        <v>0.2847115114</v>
      </c>
      <c r="L906" s="12">
        <v>24.95</v>
      </c>
      <c r="M906" s="13">
        <v>0.1082070434</v>
      </c>
      <c r="N906" s="13">
        <v>0.069476276</v>
      </c>
      <c r="O906" s="13">
        <v>0.2765531062</v>
      </c>
      <c r="P906" s="13">
        <v>0.0400641282</v>
      </c>
      <c r="Q906" s="13">
        <v>0.0165455091</v>
      </c>
      <c r="R906" s="13">
        <v>0.0870746132</v>
      </c>
      <c r="S906" s="13">
        <v>0</v>
      </c>
      <c r="T906" s="13">
        <v>0.1162004008</v>
      </c>
      <c r="U906" s="13">
        <v>0.011158853</v>
      </c>
      <c r="V906" s="13">
        <v>-0.0193987975</v>
      </c>
      <c r="W906" s="13">
        <v>-0.0071073327</v>
      </c>
      <c r="X906" s="13">
        <v>0.0036392787</v>
      </c>
      <c r="Y906" s="13">
        <v>0</v>
      </c>
      <c r="Z906" s="13">
        <v>0.0128754098</v>
      </c>
    </row>
    <row r="907" s="2" customFormat="1" spans="1:26">
      <c r="A907" s="11" t="s">
        <v>935</v>
      </c>
      <c r="B907" s="11" t="s">
        <v>937</v>
      </c>
      <c r="C907" s="14" t="s">
        <v>462</v>
      </c>
      <c r="D907" s="14" t="s">
        <v>938</v>
      </c>
      <c r="E907" s="14" t="s">
        <v>939</v>
      </c>
      <c r="F907" s="3" t="s">
        <v>944</v>
      </c>
      <c r="G907" s="4">
        <v>32</v>
      </c>
      <c r="H907" s="12">
        <v>5437.824</v>
      </c>
      <c r="I907" s="12">
        <v>1205.383768</v>
      </c>
      <c r="J907" s="13">
        <v>0.2216665651</v>
      </c>
      <c r="K907" s="13">
        <v>0.2216665651</v>
      </c>
      <c r="L907" s="12">
        <v>24.99</v>
      </c>
      <c r="M907" s="13">
        <v>0.1080338429</v>
      </c>
      <c r="N907" s="13">
        <v>0.0682110844</v>
      </c>
      <c r="O907" s="13">
        <v>0.2761104441</v>
      </c>
      <c r="P907" s="13">
        <v>0.03125</v>
      </c>
      <c r="Q907" s="13">
        <v>0.0013236934</v>
      </c>
      <c r="R907" s="13">
        <v>0.1691388768</v>
      </c>
      <c r="S907" s="13">
        <v>0</v>
      </c>
      <c r="T907" s="13">
        <v>0.1117196878</v>
      </c>
      <c r="U907" s="13">
        <v>0.0111409916</v>
      </c>
      <c r="V907" s="13">
        <v>0</v>
      </c>
      <c r="W907" s="13">
        <v>0</v>
      </c>
      <c r="X907" s="13">
        <v>0</v>
      </c>
      <c r="Y907" s="13">
        <v>0</v>
      </c>
      <c r="Z907" s="13">
        <v>0.0014048133</v>
      </c>
    </row>
    <row r="908" s="2" customFormat="1" hidden="1" spans="1:26">
      <c r="A908" s="11" t="s">
        <v>935</v>
      </c>
      <c r="B908" s="11" t="s">
        <v>937</v>
      </c>
      <c r="C908" s="14" t="s">
        <v>462</v>
      </c>
      <c r="D908" s="14" t="s">
        <v>938</v>
      </c>
      <c r="E908" s="14" t="s">
        <v>939</v>
      </c>
      <c r="F908" s="3" t="s">
        <v>945</v>
      </c>
      <c r="G908" s="4">
        <v>2</v>
      </c>
      <c r="H908" s="12">
        <v>339.864</v>
      </c>
      <c r="I908" s="12">
        <v>42.949308</v>
      </c>
      <c r="J908" s="13">
        <v>0.1263720429</v>
      </c>
      <c r="K908" s="13">
        <v>0.1263720429</v>
      </c>
      <c r="L908" s="12">
        <v>24.99</v>
      </c>
      <c r="M908" s="13">
        <v>0.1080338429</v>
      </c>
      <c r="N908" s="13">
        <v>0.0682110844</v>
      </c>
      <c r="O908" s="13">
        <v>0.2761104441</v>
      </c>
      <c r="P908" s="13">
        <v>0</v>
      </c>
      <c r="Q908" s="13">
        <v>0</v>
      </c>
      <c r="R908" s="13">
        <v>0.3020883765</v>
      </c>
      <c r="S908" s="13">
        <v>0</v>
      </c>
      <c r="T908" s="13">
        <v>0.1080432172</v>
      </c>
      <c r="U908" s="13">
        <v>0.0111409916</v>
      </c>
      <c r="V908" s="13">
        <v>0</v>
      </c>
      <c r="W908" s="13">
        <v>0</v>
      </c>
      <c r="X908" s="13">
        <v>0</v>
      </c>
      <c r="Y908" s="13">
        <v>0</v>
      </c>
      <c r="Z908" s="13">
        <v>0</v>
      </c>
    </row>
    <row r="909" s="2" customFormat="1" hidden="1" spans="1:26">
      <c r="A909" s="11" t="s">
        <v>935</v>
      </c>
      <c r="B909" s="11" t="s">
        <v>937</v>
      </c>
      <c r="C909" s="14" t="s">
        <v>466</v>
      </c>
      <c r="D909" s="14" t="s">
        <v>938</v>
      </c>
      <c r="E909" s="14" t="s">
        <v>939</v>
      </c>
      <c r="F909" s="3" t="s">
        <v>936</v>
      </c>
      <c r="G909" s="4">
        <v>47</v>
      </c>
      <c r="H909" s="12">
        <v>8038.484</v>
      </c>
      <c r="I909" s="12">
        <v>139.686935</v>
      </c>
      <c r="J909" s="13">
        <v>0.0173772735</v>
      </c>
      <c r="K909" s="13">
        <v>0.0173772735</v>
      </c>
      <c r="L909" s="12">
        <v>25.1517021276</v>
      </c>
      <c r="M909" s="13">
        <v>0.1046849101</v>
      </c>
      <c r="N909" s="13">
        <v>0.0421121901</v>
      </c>
      <c r="O909" s="13">
        <v>0.3006606718</v>
      </c>
      <c r="P909" s="13">
        <v>0.0642653515</v>
      </c>
      <c r="Q909" s="13">
        <v>0.0723897292</v>
      </c>
      <c r="R909" s="13">
        <v>0.2868116287</v>
      </c>
      <c r="S909" s="13">
        <v>0</v>
      </c>
      <c r="T909" s="13">
        <v>0.0996929271</v>
      </c>
      <c r="U909" s="13">
        <v>0.0107956323</v>
      </c>
      <c r="V909" s="13">
        <v>0</v>
      </c>
      <c r="W909" s="13">
        <v>-0.0031398129</v>
      </c>
      <c r="X909" s="13">
        <v>0</v>
      </c>
      <c r="Y909" s="13">
        <v>0</v>
      </c>
      <c r="Z909" s="13">
        <v>0.0043494982</v>
      </c>
    </row>
    <row r="910" s="2" customFormat="1" hidden="1" spans="1:26">
      <c r="A910" s="11" t="s">
        <v>935</v>
      </c>
      <c r="B910" s="11" t="s">
        <v>937</v>
      </c>
      <c r="C910" s="14" t="s">
        <v>466</v>
      </c>
      <c r="D910" s="14" t="s">
        <v>938</v>
      </c>
      <c r="E910" s="14" t="s">
        <v>939</v>
      </c>
      <c r="F910" s="3" t="s">
        <v>942</v>
      </c>
      <c r="G910" s="4">
        <v>10</v>
      </c>
      <c r="H910" s="12">
        <v>1767.32</v>
      </c>
      <c r="I910" s="12">
        <v>-33.983772</v>
      </c>
      <c r="J910" s="13">
        <v>-0.0192289862</v>
      </c>
      <c r="K910" s="13">
        <v>-0.0192289862</v>
      </c>
      <c r="L910" s="12">
        <v>25.99</v>
      </c>
      <c r="M910" s="13">
        <v>0.1013083369</v>
      </c>
      <c r="N910" s="13">
        <v>0.0379820632</v>
      </c>
      <c r="O910" s="13">
        <v>0.2904963447</v>
      </c>
      <c r="P910" s="13">
        <v>0.1</v>
      </c>
      <c r="Q910" s="13">
        <v>0.0796600955</v>
      </c>
      <c r="R910" s="13">
        <v>0.3058150362</v>
      </c>
      <c r="S910" s="13">
        <v>0</v>
      </c>
      <c r="T910" s="13">
        <v>0.0870334744</v>
      </c>
      <c r="U910" s="13">
        <v>0.0104474232</v>
      </c>
      <c r="V910" s="13">
        <v>0</v>
      </c>
      <c r="W910" s="13">
        <v>0</v>
      </c>
      <c r="X910" s="13">
        <v>0</v>
      </c>
      <c r="Y910" s="13">
        <v>0</v>
      </c>
      <c r="Z910" s="13">
        <v>0.0064862118</v>
      </c>
    </row>
    <row r="911" s="2" customFormat="1" hidden="1" spans="1:26">
      <c r="A911" s="11" t="s">
        <v>935</v>
      </c>
      <c r="B911" s="11" t="s">
        <v>937</v>
      </c>
      <c r="C911" s="14" t="s">
        <v>466</v>
      </c>
      <c r="D911" s="14" t="s">
        <v>938</v>
      </c>
      <c r="E911" s="14" t="s">
        <v>939</v>
      </c>
      <c r="F911" s="3" t="s">
        <v>943</v>
      </c>
      <c r="G911" s="4">
        <v>8</v>
      </c>
      <c r="H911" s="12">
        <v>1343.136</v>
      </c>
      <c r="I911" s="12">
        <v>-44.710828</v>
      </c>
      <c r="J911" s="13">
        <v>-0.0332883847</v>
      </c>
      <c r="K911" s="13">
        <v>-0.0332883847</v>
      </c>
      <c r="L911" s="12">
        <v>24.69</v>
      </c>
      <c r="M911" s="13">
        <v>0.1066425142</v>
      </c>
      <c r="N911" s="13">
        <v>0.0436882698</v>
      </c>
      <c r="O911" s="13">
        <v>0.3057918185</v>
      </c>
      <c r="P911" s="13">
        <v>0</v>
      </c>
      <c r="Q911" s="13">
        <v>0.1686691764</v>
      </c>
      <c r="R911" s="13">
        <v>0.300387537</v>
      </c>
      <c r="S911" s="13">
        <v>0</v>
      </c>
      <c r="T911" s="13">
        <v>0.1030275415</v>
      </c>
      <c r="U911" s="13">
        <v>0.0109975103</v>
      </c>
      <c r="V911" s="13">
        <v>0</v>
      </c>
      <c r="W911" s="13">
        <v>-0.018791348</v>
      </c>
      <c r="X911" s="13">
        <v>0</v>
      </c>
      <c r="Y911" s="13">
        <v>0</v>
      </c>
      <c r="Z911" s="13">
        <v>0.0128753648</v>
      </c>
    </row>
    <row r="912" s="2" customFormat="1" spans="1:26">
      <c r="A912" s="11" t="s">
        <v>935</v>
      </c>
      <c r="B912" s="11" t="s">
        <v>937</v>
      </c>
      <c r="C912" s="14" t="s">
        <v>466</v>
      </c>
      <c r="D912" s="14" t="s">
        <v>938</v>
      </c>
      <c r="E912" s="14" t="s">
        <v>939</v>
      </c>
      <c r="F912" s="3" t="s">
        <v>944</v>
      </c>
      <c r="G912" s="4">
        <v>26</v>
      </c>
      <c r="H912" s="12">
        <v>4418.232</v>
      </c>
      <c r="I912" s="12">
        <v>76.3938</v>
      </c>
      <c r="J912" s="13">
        <v>0.0172905813</v>
      </c>
      <c r="K912" s="13">
        <v>0.0172905813</v>
      </c>
      <c r="L912" s="12">
        <v>24.99</v>
      </c>
      <c r="M912" s="13">
        <v>0.1053622919</v>
      </c>
      <c r="N912" s="13">
        <v>0.0431638008</v>
      </c>
      <c r="O912" s="13">
        <v>0.3029981223</v>
      </c>
      <c r="P912" s="13">
        <v>0.0769230769</v>
      </c>
      <c r="Q912" s="13">
        <v>0.0485653892</v>
      </c>
      <c r="R912" s="13">
        <v>0.292032032</v>
      </c>
      <c r="S912" s="13">
        <v>0</v>
      </c>
      <c r="T912" s="13">
        <v>0.1013944039</v>
      </c>
      <c r="U912" s="13">
        <v>0.0108654873</v>
      </c>
      <c r="V912" s="13">
        <v>0</v>
      </c>
      <c r="W912" s="13">
        <v>0</v>
      </c>
      <c r="X912" s="13">
        <v>0</v>
      </c>
      <c r="Y912" s="13">
        <v>0</v>
      </c>
      <c r="Z912" s="13">
        <v>0.0014048139</v>
      </c>
    </row>
    <row r="913" s="2" customFormat="1" hidden="1" spans="1:26">
      <c r="A913" s="11" t="s">
        <v>935</v>
      </c>
      <c r="B913" s="11" t="s">
        <v>937</v>
      </c>
      <c r="C913" s="14" t="s">
        <v>466</v>
      </c>
      <c r="D913" s="14" t="s">
        <v>938</v>
      </c>
      <c r="E913" s="14" t="s">
        <v>939</v>
      </c>
      <c r="F913" s="3" t="s">
        <v>945</v>
      </c>
      <c r="G913" s="4">
        <v>3</v>
      </c>
      <c r="H913" s="12">
        <v>509.796</v>
      </c>
      <c r="I913" s="12">
        <v>141.987735</v>
      </c>
      <c r="J913" s="13">
        <v>0.278518731</v>
      </c>
      <c r="K913" s="13">
        <v>0.278518731</v>
      </c>
      <c r="L913" s="12">
        <v>24.99</v>
      </c>
      <c r="M913" s="13">
        <v>0.1053622919</v>
      </c>
      <c r="N913" s="13">
        <v>0.0431638008</v>
      </c>
      <c r="O913" s="13">
        <v>0.3021208483</v>
      </c>
      <c r="P913" s="13">
        <v>0</v>
      </c>
      <c r="Q913" s="13">
        <v>0</v>
      </c>
      <c r="R913" s="13">
        <v>0.1399208212</v>
      </c>
      <c r="S913" s="13">
        <v>0</v>
      </c>
      <c r="T913" s="13">
        <v>0.1200480192</v>
      </c>
      <c r="U913" s="13">
        <v>0.0108654873</v>
      </c>
      <c r="V913" s="13">
        <v>0</v>
      </c>
      <c r="W913" s="13">
        <v>0</v>
      </c>
      <c r="X913" s="13">
        <v>0</v>
      </c>
      <c r="Y913" s="13">
        <v>0</v>
      </c>
      <c r="Z913" s="13">
        <v>0</v>
      </c>
    </row>
    <row r="914" s="2" customFormat="1" hidden="1" spans="1:26">
      <c r="A914" s="11" t="s">
        <v>935</v>
      </c>
      <c r="B914" s="11" t="s">
        <v>937</v>
      </c>
      <c r="C914" s="14" t="s">
        <v>470</v>
      </c>
      <c r="D914" s="14" t="s">
        <v>938</v>
      </c>
      <c r="E914" s="14" t="s">
        <v>939</v>
      </c>
      <c r="F914" s="3" t="s">
        <v>936</v>
      </c>
      <c r="G914" s="4">
        <v>39</v>
      </c>
      <c r="H914" s="12">
        <v>6001.748</v>
      </c>
      <c r="I914" s="12">
        <v>-868.736676</v>
      </c>
      <c r="J914" s="13">
        <v>-0.1447472762</v>
      </c>
      <c r="K914" s="13">
        <v>-0.1447472762</v>
      </c>
      <c r="L914" s="12">
        <v>22.631025641</v>
      </c>
      <c r="M914" s="13">
        <v>0.1230212369</v>
      </c>
      <c r="N914" s="13">
        <v>0.0382665191</v>
      </c>
      <c r="O914" s="13">
        <v>0.3261009959</v>
      </c>
      <c r="P914" s="13">
        <v>0.081542244</v>
      </c>
      <c r="Q914" s="13">
        <v>0.0853080519</v>
      </c>
      <c r="R914" s="13">
        <v>0.3947898015</v>
      </c>
      <c r="S914" s="13">
        <v>0</v>
      </c>
      <c r="T914" s="13">
        <v>0.0845220425</v>
      </c>
      <c r="U914" s="13">
        <v>0.0126865659</v>
      </c>
      <c r="V914" s="13">
        <v>-0.0058916169</v>
      </c>
      <c r="W914" s="13">
        <v>-0.004132094</v>
      </c>
      <c r="X914" s="13">
        <v>0.0025719172</v>
      </c>
      <c r="Y914" s="13">
        <v>0</v>
      </c>
      <c r="Z914" s="13">
        <v>0.0059616118</v>
      </c>
    </row>
    <row r="915" s="2" customFormat="1" hidden="1" spans="1:26">
      <c r="A915" s="11" t="s">
        <v>935</v>
      </c>
      <c r="B915" s="11" t="s">
        <v>937</v>
      </c>
      <c r="C915" s="14" t="s">
        <v>470</v>
      </c>
      <c r="D915" s="14" t="s">
        <v>938</v>
      </c>
      <c r="E915" s="14" t="s">
        <v>939</v>
      </c>
      <c r="F915" s="3" t="s">
        <v>941</v>
      </c>
      <c r="G915" s="4">
        <v>0</v>
      </c>
      <c r="H915" s="12">
        <v>0</v>
      </c>
      <c r="I915" s="12">
        <v>-19.652</v>
      </c>
      <c r="J915" s="13"/>
      <c r="K915" s="13"/>
      <c r="L915" s="12"/>
      <c r="M915" s="13"/>
      <c r="N915" s="13"/>
      <c r="O915" s="13"/>
      <c r="P915" s="13"/>
      <c r="Q915" s="13"/>
      <c r="R915" s="13"/>
      <c r="S915" s="13"/>
      <c r="T915" s="13"/>
      <c r="U915" s="13"/>
      <c r="V915" s="13"/>
      <c r="W915" s="13"/>
      <c r="X915" s="13"/>
      <c r="Y915" s="13"/>
      <c r="Z915" s="13"/>
    </row>
    <row r="916" s="2" customFormat="1" hidden="1" spans="1:26">
      <c r="A916" s="11" t="s">
        <v>935</v>
      </c>
      <c r="B916" s="11" t="s">
        <v>937</v>
      </c>
      <c r="C916" s="14" t="s">
        <v>470</v>
      </c>
      <c r="D916" s="14" t="s">
        <v>938</v>
      </c>
      <c r="E916" s="14" t="s">
        <v>939</v>
      </c>
      <c r="F916" s="3" t="s">
        <v>942</v>
      </c>
      <c r="G916" s="4">
        <v>21</v>
      </c>
      <c r="H916" s="12">
        <v>3126.572</v>
      </c>
      <c r="I916" s="12">
        <v>-512.079977</v>
      </c>
      <c r="J916" s="13">
        <v>-0.1637832031</v>
      </c>
      <c r="K916" s="13">
        <v>-0.1637832031</v>
      </c>
      <c r="L916" s="12">
        <v>21.8947619047</v>
      </c>
      <c r="M916" s="13">
        <v>0.1271581201</v>
      </c>
      <c r="N916" s="13">
        <v>0.039673893</v>
      </c>
      <c r="O916" s="13">
        <v>0.3370669218</v>
      </c>
      <c r="P916" s="13">
        <v>0</v>
      </c>
      <c r="Q916" s="13">
        <v>0.0419635204</v>
      </c>
      <c r="R916" s="13">
        <v>0.5265494442</v>
      </c>
      <c r="S916" s="13">
        <v>0</v>
      </c>
      <c r="T916" s="13">
        <v>0.0717718958</v>
      </c>
      <c r="U916" s="13">
        <v>0.0131131821</v>
      </c>
      <c r="V916" s="13">
        <v>0</v>
      </c>
      <c r="W916" s="13">
        <v>0</v>
      </c>
      <c r="X916" s="13">
        <v>0</v>
      </c>
      <c r="Y916" s="13">
        <v>0</v>
      </c>
      <c r="Z916" s="13">
        <v>0.0064862254</v>
      </c>
    </row>
    <row r="917" s="2" customFormat="1" hidden="1" spans="1:26">
      <c r="A917" s="11" t="s">
        <v>935</v>
      </c>
      <c r="B917" s="11" t="s">
        <v>937</v>
      </c>
      <c r="C917" s="14" t="s">
        <v>470</v>
      </c>
      <c r="D917" s="14" t="s">
        <v>938</v>
      </c>
      <c r="E917" s="14" t="s">
        <v>939</v>
      </c>
      <c r="F917" s="3" t="s">
        <v>943</v>
      </c>
      <c r="G917" s="4">
        <v>6</v>
      </c>
      <c r="H917" s="12">
        <v>999.192</v>
      </c>
      <c r="I917" s="12">
        <v>-339.824793</v>
      </c>
      <c r="J917" s="13">
        <v>-0.3400995934</v>
      </c>
      <c r="K917" s="13">
        <v>-0.3400995934</v>
      </c>
      <c r="L917" s="12">
        <v>24.49</v>
      </c>
      <c r="M917" s="13">
        <v>0.1136830038</v>
      </c>
      <c r="N917" s="13">
        <v>0.0352360447</v>
      </c>
      <c r="O917" s="13">
        <v>0.3013474887</v>
      </c>
      <c r="P917" s="13">
        <v>0.3129168368</v>
      </c>
      <c r="Q917" s="13">
        <v>0.198064364</v>
      </c>
      <c r="R917" s="13">
        <v>0.2929150843</v>
      </c>
      <c r="S917" s="13">
        <v>0</v>
      </c>
      <c r="T917" s="13">
        <v>0.0861576153</v>
      </c>
      <c r="U917" s="13">
        <v>0.0117235606</v>
      </c>
      <c r="V917" s="13">
        <v>0</v>
      </c>
      <c r="W917" s="13">
        <v>-0.0248198414</v>
      </c>
      <c r="X917" s="13">
        <v>0</v>
      </c>
      <c r="Y917" s="13">
        <v>0</v>
      </c>
      <c r="Z917" s="13">
        <v>0.0128754363</v>
      </c>
    </row>
    <row r="918" s="2" customFormat="1" spans="1:26">
      <c r="A918" s="11" t="s">
        <v>935</v>
      </c>
      <c r="B918" s="11" t="s">
        <v>937</v>
      </c>
      <c r="C918" s="14" t="s">
        <v>470</v>
      </c>
      <c r="D918" s="14" t="s">
        <v>938</v>
      </c>
      <c r="E918" s="14" t="s">
        <v>939</v>
      </c>
      <c r="F918" s="3" t="s">
        <v>944</v>
      </c>
      <c r="G918" s="4">
        <v>12</v>
      </c>
      <c r="H918" s="12">
        <v>1875.984</v>
      </c>
      <c r="I918" s="12">
        <v>2.820094</v>
      </c>
      <c r="J918" s="13">
        <v>0.0015032612</v>
      </c>
      <c r="K918" s="13">
        <v>0.0015032612</v>
      </c>
      <c r="L918" s="12">
        <v>22.99</v>
      </c>
      <c r="M918" s="13">
        <v>0.1211003382</v>
      </c>
      <c r="N918" s="13">
        <v>0.0375350472</v>
      </c>
      <c r="O918" s="13">
        <v>0.3210091344</v>
      </c>
      <c r="P918" s="13">
        <v>0.0942076265</v>
      </c>
      <c r="Q918" s="13">
        <v>0.0974907749</v>
      </c>
      <c r="R918" s="13">
        <v>0.2189804091</v>
      </c>
      <c r="S918" s="13">
        <v>0</v>
      </c>
      <c r="T918" s="13">
        <v>0.1049006814</v>
      </c>
      <c r="U918" s="13">
        <v>0.0124884732</v>
      </c>
      <c r="V918" s="13">
        <v>-0.0188487748</v>
      </c>
      <c r="W918" s="13">
        <v>0</v>
      </c>
      <c r="X918" s="13">
        <v>0.0082282146</v>
      </c>
      <c r="Y918" s="13">
        <v>0</v>
      </c>
      <c r="Z918" s="13">
        <v>0.0014048136</v>
      </c>
    </row>
    <row r="919" s="2" customFormat="1" hidden="1" spans="1:26">
      <c r="A919" s="11" t="s">
        <v>935</v>
      </c>
      <c r="B919" s="11" t="s">
        <v>937</v>
      </c>
      <c r="C919" s="14" t="s">
        <v>474</v>
      </c>
      <c r="D919" s="14" t="s">
        <v>938</v>
      </c>
      <c r="E919" s="14" t="s">
        <v>939</v>
      </c>
      <c r="F919" s="3" t="s">
        <v>936</v>
      </c>
      <c r="G919" s="4">
        <v>113</v>
      </c>
      <c r="H919" s="12">
        <v>17293.08</v>
      </c>
      <c r="I919" s="12">
        <v>2459.309168</v>
      </c>
      <c r="J919" s="13">
        <v>0.1422134847</v>
      </c>
      <c r="K919" s="13">
        <v>0.1422134847</v>
      </c>
      <c r="L919" s="12">
        <v>22.5053097345</v>
      </c>
      <c r="M919" s="13">
        <v>0.1286489336</v>
      </c>
      <c r="N919" s="13">
        <v>0.0260440927</v>
      </c>
      <c r="O919" s="13">
        <v>0.3233297943</v>
      </c>
      <c r="P919" s="13">
        <v>0.0453737564</v>
      </c>
      <c r="Q919" s="13">
        <v>0.0405073364</v>
      </c>
      <c r="R919" s="13">
        <v>0.1665352194</v>
      </c>
      <c r="S919" s="13">
        <v>0</v>
      </c>
      <c r="T919" s="13">
        <v>0.1127796783</v>
      </c>
      <c r="U919" s="13">
        <v>0.0132669223</v>
      </c>
      <c r="V919" s="13">
        <v>-0.0057276552</v>
      </c>
      <c r="W919" s="13">
        <v>-0.0013586599</v>
      </c>
      <c r="X919" s="13">
        <v>0.0017852226</v>
      </c>
      <c r="Y919" s="13">
        <v>0</v>
      </c>
      <c r="Z919" s="13">
        <v>0.0066018741</v>
      </c>
    </row>
    <row r="920" s="2" customFormat="1" hidden="1" spans="1:26">
      <c r="A920" s="11" t="s">
        <v>935</v>
      </c>
      <c r="B920" s="11" t="s">
        <v>937</v>
      </c>
      <c r="C920" s="14" t="s">
        <v>474</v>
      </c>
      <c r="D920" s="14" t="s">
        <v>938</v>
      </c>
      <c r="E920" s="14" t="s">
        <v>939</v>
      </c>
      <c r="F920" s="3" t="s">
        <v>940</v>
      </c>
      <c r="G920" s="4">
        <v>3</v>
      </c>
      <c r="H920" s="12">
        <v>502.996</v>
      </c>
      <c r="I920" s="12">
        <v>153.69035</v>
      </c>
      <c r="J920" s="13">
        <v>0.3055498453</v>
      </c>
      <c r="K920" s="13">
        <v>0.3055498453</v>
      </c>
      <c r="L920" s="12">
        <v>24.6566666666</v>
      </c>
      <c r="M920" s="13">
        <v>0.1184724152</v>
      </c>
      <c r="N920" s="13">
        <v>0.0353569571</v>
      </c>
      <c r="O920" s="13">
        <v>0.2705150736</v>
      </c>
      <c r="P920" s="13">
        <v>0</v>
      </c>
      <c r="Q920" s="13">
        <v>0.0008192351</v>
      </c>
      <c r="R920" s="13">
        <v>0.1405994619</v>
      </c>
      <c r="S920" s="13">
        <v>0</v>
      </c>
      <c r="T920" s="13">
        <v>0.11612816</v>
      </c>
      <c r="U920" s="13">
        <v>0.0122174689</v>
      </c>
      <c r="V920" s="13">
        <v>0</v>
      </c>
      <c r="W920" s="13">
        <v>0</v>
      </c>
      <c r="X920" s="13">
        <v>0</v>
      </c>
      <c r="Y920" s="13">
        <v>0</v>
      </c>
      <c r="Z920" s="13">
        <v>0.0003413824</v>
      </c>
    </row>
    <row r="921" s="2" customFormat="1" hidden="1" spans="1:26">
      <c r="A921" s="11" t="s">
        <v>935</v>
      </c>
      <c r="B921" s="11" t="s">
        <v>937</v>
      </c>
      <c r="C921" s="14" t="s">
        <v>474</v>
      </c>
      <c r="D921" s="14" t="s">
        <v>938</v>
      </c>
      <c r="E921" s="14" t="s">
        <v>939</v>
      </c>
      <c r="F921" s="3" t="s">
        <v>941</v>
      </c>
      <c r="G921" s="4">
        <v>16</v>
      </c>
      <c r="H921" s="12">
        <v>2369.664</v>
      </c>
      <c r="I921" s="12">
        <v>-132.17953</v>
      </c>
      <c r="J921" s="13">
        <v>-0.0557798616</v>
      </c>
      <c r="K921" s="13">
        <v>-0.0557798616</v>
      </c>
      <c r="L921" s="12">
        <v>21.78</v>
      </c>
      <c r="M921" s="13">
        <v>0.1341200571</v>
      </c>
      <c r="N921" s="13">
        <v>0.0400268392</v>
      </c>
      <c r="O921" s="13">
        <v>0.332615932</v>
      </c>
      <c r="P921" s="13">
        <v>0.0557564279</v>
      </c>
      <c r="Q921" s="13">
        <v>0.0430049315</v>
      </c>
      <c r="R921" s="13">
        <v>0.3362176244</v>
      </c>
      <c r="S921" s="13">
        <v>0</v>
      </c>
      <c r="T921" s="13">
        <v>0.094869146</v>
      </c>
      <c r="U921" s="13">
        <v>0.0138311317</v>
      </c>
      <c r="V921" s="13">
        <v>0</v>
      </c>
      <c r="W921" s="13">
        <v>0</v>
      </c>
      <c r="X921" s="13">
        <v>0</v>
      </c>
      <c r="Y921" s="13">
        <v>0</v>
      </c>
      <c r="Z921" s="13">
        <v>0.0053377715</v>
      </c>
    </row>
    <row r="922" s="2" customFormat="1" hidden="1" spans="1:26">
      <c r="A922" s="11" t="s">
        <v>935</v>
      </c>
      <c r="B922" s="11" t="s">
        <v>937</v>
      </c>
      <c r="C922" s="14" t="s">
        <v>474</v>
      </c>
      <c r="D922" s="14" t="s">
        <v>938</v>
      </c>
      <c r="E922" s="14" t="s">
        <v>939</v>
      </c>
      <c r="F922" s="3" t="s">
        <v>942</v>
      </c>
      <c r="G922" s="4">
        <v>32</v>
      </c>
      <c r="H922" s="12">
        <v>4632.636</v>
      </c>
      <c r="I922" s="12">
        <v>628.605724</v>
      </c>
      <c r="J922" s="13">
        <v>0.135690722</v>
      </c>
      <c r="K922" s="13">
        <v>0.135690722</v>
      </c>
      <c r="L922" s="12">
        <v>21.2896875</v>
      </c>
      <c r="M922" s="13">
        <v>0.132921133</v>
      </c>
      <c r="N922" s="13">
        <v>0.0243020757</v>
      </c>
      <c r="O922" s="13">
        <v>0.3358139944</v>
      </c>
      <c r="P922" s="13">
        <v>0.0352136451</v>
      </c>
      <c r="Q922" s="13">
        <v>0.051082742</v>
      </c>
      <c r="R922" s="13">
        <v>0.1475156789</v>
      </c>
      <c r="S922" s="13">
        <v>0</v>
      </c>
      <c r="T922" s="13">
        <v>0.1164002524</v>
      </c>
      <c r="U922" s="13">
        <v>0.0137074928</v>
      </c>
      <c r="V922" s="13">
        <v>0.0008660296</v>
      </c>
      <c r="W922" s="13">
        <v>0</v>
      </c>
      <c r="X922" s="13">
        <v>0</v>
      </c>
      <c r="Y922" s="13">
        <v>0</v>
      </c>
      <c r="Z922" s="13">
        <v>0.0064862335</v>
      </c>
    </row>
    <row r="923" s="2" customFormat="1" hidden="1" spans="1:26">
      <c r="A923" s="11" t="s">
        <v>935</v>
      </c>
      <c r="B923" s="11" t="s">
        <v>937</v>
      </c>
      <c r="C923" s="14" t="s">
        <v>474</v>
      </c>
      <c r="D923" s="14" t="s">
        <v>938</v>
      </c>
      <c r="E923" s="14" t="s">
        <v>939</v>
      </c>
      <c r="F923" s="3" t="s">
        <v>943</v>
      </c>
      <c r="G923" s="4">
        <v>33</v>
      </c>
      <c r="H923" s="12">
        <v>5056.956</v>
      </c>
      <c r="I923" s="12">
        <v>870.599851</v>
      </c>
      <c r="J923" s="13">
        <v>0.172158874</v>
      </c>
      <c r="K923" s="13">
        <v>0.172158874</v>
      </c>
      <c r="L923" s="12">
        <v>22.5354545454</v>
      </c>
      <c r="M923" s="13">
        <v>0.1296239595</v>
      </c>
      <c r="N923" s="13">
        <v>0.0236992506</v>
      </c>
      <c r="O923" s="13">
        <v>0.3274839646</v>
      </c>
      <c r="P923" s="13">
        <v>0.032258932</v>
      </c>
      <c r="Q923" s="13">
        <v>0.0399906987</v>
      </c>
      <c r="R923" s="13">
        <v>0.1295323441</v>
      </c>
      <c r="S923" s="13">
        <v>0</v>
      </c>
      <c r="T923" s="13">
        <v>0.1169066924</v>
      </c>
      <c r="U923" s="13">
        <v>0.0133674718</v>
      </c>
      <c r="V923" s="13">
        <v>0</v>
      </c>
      <c r="W923" s="13">
        <v>0</v>
      </c>
      <c r="X923" s="13">
        <v>0.0021024102</v>
      </c>
      <c r="Y923" s="13">
        <v>0</v>
      </c>
      <c r="Z923" s="13">
        <v>0.0128754015</v>
      </c>
    </row>
    <row r="924" s="2" customFormat="1" spans="1:26">
      <c r="A924" s="11" t="s">
        <v>935</v>
      </c>
      <c r="B924" s="11" t="s">
        <v>937</v>
      </c>
      <c r="C924" s="14" t="s">
        <v>474</v>
      </c>
      <c r="D924" s="14" t="s">
        <v>938</v>
      </c>
      <c r="E924" s="14" t="s">
        <v>939</v>
      </c>
      <c r="F924" s="3" t="s">
        <v>944</v>
      </c>
      <c r="G924" s="4">
        <v>27</v>
      </c>
      <c r="H924" s="12">
        <v>4404.564</v>
      </c>
      <c r="I924" s="12">
        <v>835.728856</v>
      </c>
      <c r="J924" s="13">
        <v>0.1897415626</v>
      </c>
      <c r="K924" s="13">
        <v>0.1897415626</v>
      </c>
      <c r="L924" s="12">
        <v>23.99</v>
      </c>
      <c r="M924" s="13">
        <v>0.1217646874</v>
      </c>
      <c r="N924" s="13">
        <v>0.0222623337</v>
      </c>
      <c r="O924" s="13">
        <v>0.3076281784</v>
      </c>
      <c r="P924" s="13">
        <v>0.074074074</v>
      </c>
      <c r="Q924" s="13">
        <v>0.0361666546</v>
      </c>
      <c r="R924" s="13">
        <v>0.1458872458</v>
      </c>
      <c r="S924" s="13">
        <v>0</v>
      </c>
      <c r="T924" s="13">
        <v>0.1129482963</v>
      </c>
      <c r="U924" s="13">
        <v>0.0125569845</v>
      </c>
      <c r="V924" s="13">
        <v>-0.0233986383</v>
      </c>
      <c r="W924" s="13">
        <v>-0.0053343341</v>
      </c>
      <c r="X924" s="13">
        <v>0.0042981389</v>
      </c>
      <c r="Y924" s="13">
        <v>0</v>
      </c>
      <c r="Z924" s="13">
        <v>0.0014048157</v>
      </c>
    </row>
    <row r="925" s="2" customFormat="1" hidden="1" spans="1:26">
      <c r="A925" s="11" t="s">
        <v>935</v>
      </c>
      <c r="B925" s="11" t="s">
        <v>937</v>
      </c>
      <c r="C925" s="14" t="s">
        <v>474</v>
      </c>
      <c r="D925" s="14" t="s">
        <v>938</v>
      </c>
      <c r="E925" s="14" t="s">
        <v>939</v>
      </c>
      <c r="F925" s="3" t="s">
        <v>945</v>
      </c>
      <c r="G925" s="4">
        <v>2</v>
      </c>
      <c r="H925" s="12">
        <v>326.264</v>
      </c>
      <c r="I925" s="12">
        <v>102.863917</v>
      </c>
      <c r="J925" s="13">
        <v>0.3152781704</v>
      </c>
      <c r="K925" s="13">
        <v>0.3152781704</v>
      </c>
      <c r="L925" s="12">
        <v>23.99</v>
      </c>
      <c r="M925" s="13">
        <v>0.1217646874</v>
      </c>
      <c r="N925" s="13">
        <v>0.0222623335</v>
      </c>
      <c r="O925" s="13">
        <v>0.3076281784</v>
      </c>
      <c r="P925" s="13">
        <v>0</v>
      </c>
      <c r="Q925" s="13">
        <v>0</v>
      </c>
      <c r="R925" s="13">
        <v>0.096448229</v>
      </c>
      <c r="S925" s="13">
        <v>0</v>
      </c>
      <c r="T925" s="13">
        <v>0.1200500208</v>
      </c>
      <c r="U925" s="13">
        <v>0.0125569845</v>
      </c>
      <c r="V925" s="13">
        <v>0</v>
      </c>
      <c r="W925" s="13">
        <v>0</v>
      </c>
      <c r="X925" s="13">
        <v>0.0040113956</v>
      </c>
      <c r="Y925" s="13">
        <v>0</v>
      </c>
      <c r="Z925" s="13">
        <v>0</v>
      </c>
    </row>
    <row r="926" s="2" customFormat="1" hidden="1" spans="1:26">
      <c r="A926" s="11" t="s">
        <v>935</v>
      </c>
      <c r="B926" s="11" t="s">
        <v>937</v>
      </c>
      <c r="C926" s="14" t="s">
        <v>478</v>
      </c>
      <c r="D926" s="14" t="s">
        <v>938</v>
      </c>
      <c r="E926" s="14" t="s">
        <v>939</v>
      </c>
      <c r="F926" s="3" t="s">
        <v>936</v>
      </c>
      <c r="G926" s="4">
        <v>113</v>
      </c>
      <c r="H926" s="12">
        <v>19066.316</v>
      </c>
      <c r="I926" s="12">
        <v>4228.39474</v>
      </c>
      <c r="J926" s="13">
        <v>0.2217730336</v>
      </c>
      <c r="K926" s="13">
        <v>0.2217730336</v>
      </c>
      <c r="L926" s="12">
        <v>24.8130088495</v>
      </c>
      <c r="M926" s="13">
        <v>0.0985612506</v>
      </c>
      <c r="N926" s="13">
        <v>0.0597457447</v>
      </c>
      <c r="O926" s="13">
        <v>0.2776804916</v>
      </c>
      <c r="P926" s="13">
        <v>0.0438501071</v>
      </c>
      <c r="Q926" s="13">
        <v>0.0216051994</v>
      </c>
      <c r="R926" s="13">
        <v>0.1511148968</v>
      </c>
      <c r="S926" s="13">
        <v>0</v>
      </c>
      <c r="T926" s="13">
        <v>0.1082004515</v>
      </c>
      <c r="U926" s="13">
        <v>0.0101641299</v>
      </c>
      <c r="V926" s="13">
        <v>0</v>
      </c>
      <c r="W926" s="13">
        <v>0</v>
      </c>
      <c r="X926" s="13">
        <v>0.0016191905</v>
      </c>
      <c r="Y926" s="13">
        <v>0</v>
      </c>
      <c r="Z926" s="13">
        <v>0.0056855037</v>
      </c>
    </row>
    <row r="927" s="2" customFormat="1" hidden="1" spans="1:26">
      <c r="A927" s="11" t="s">
        <v>935</v>
      </c>
      <c r="B927" s="11" t="s">
        <v>937</v>
      </c>
      <c r="C927" s="14" t="s">
        <v>478</v>
      </c>
      <c r="D927" s="14" t="s">
        <v>938</v>
      </c>
      <c r="E927" s="14" t="s">
        <v>939</v>
      </c>
      <c r="F927" s="3" t="s">
        <v>942</v>
      </c>
      <c r="G927" s="4">
        <v>18</v>
      </c>
      <c r="H927" s="12">
        <v>3303.576</v>
      </c>
      <c r="I927" s="12">
        <v>743.543022</v>
      </c>
      <c r="J927" s="13">
        <v>0.2250721708</v>
      </c>
      <c r="K927" s="13">
        <v>0.2250721708</v>
      </c>
      <c r="L927" s="12">
        <v>26.99</v>
      </c>
      <c r="M927" s="13">
        <v>0.0906113814</v>
      </c>
      <c r="N927" s="13">
        <v>0.0289431543</v>
      </c>
      <c r="O927" s="13">
        <v>0.2532419414</v>
      </c>
      <c r="P927" s="13">
        <v>0</v>
      </c>
      <c r="Q927" s="13">
        <v>0.000323428</v>
      </c>
      <c r="R927" s="13">
        <v>0.2901394007</v>
      </c>
      <c r="S927" s="13">
        <v>0</v>
      </c>
      <c r="T927" s="13">
        <v>0.0958379646</v>
      </c>
      <c r="U927" s="13">
        <v>0.0093442996</v>
      </c>
      <c r="V927" s="13">
        <v>0</v>
      </c>
      <c r="W927" s="13">
        <v>0</v>
      </c>
      <c r="X927" s="13">
        <v>0</v>
      </c>
      <c r="Y927" s="13">
        <v>0</v>
      </c>
      <c r="Z927" s="13">
        <v>0.0064862588</v>
      </c>
    </row>
    <row r="928" s="2" customFormat="1" hidden="1" spans="1:26">
      <c r="A928" s="11" t="s">
        <v>935</v>
      </c>
      <c r="B928" s="11" t="s">
        <v>937</v>
      </c>
      <c r="C928" s="14" t="s">
        <v>478</v>
      </c>
      <c r="D928" s="14" t="s">
        <v>938</v>
      </c>
      <c r="E928" s="14" t="s">
        <v>939</v>
      </c>
      <c r="F928" s="3" t="s">
        <v>943</v>
      </c>
      <c r="G928" s="4">
        <v>34</v>
      </c>
      <c r="H928" s="12">
        <v>5811.688</v>
      </c>
      <c r="I928" s="12">
        <v>1139.98028</v>
      </c>
      <c r="J928" s="13">
        <v>0.1961530419</v>
      </c>
      <c r="K928" s="13">
        <v>0.1961530419</v>
      </c>
      <c r="L928" s="12">
        <v>25.1370588235</v>
      </c>
      <c r="M928" s="13">
        <v>0.0972906652</v>
      </c>
      <c r="N928" s="13">
        <v>0.0642616479</v>
      </c>
      <c r="O928" s="13">
        <v>0.2744951208</v>
      </c>
      <c r="P928" s="13">
        <v>0.0596494512</v>
      </c>
      <c r="Q928" s="13">
        <v>0.037921095</v>
      </c>
      <c r="R928" s="13">
        <v>0.1391096204</v>
      </c>
      <c r="S928" s="13">
        <v>0</v>
      </c>
      <c r="T928" s="13">
        <v>0.106381485</v>
      </c>
      <c r="U928" s="13">
        <v>0.0100331008</v>
      </c>
      <c r="V928" s="13">
        <v>0</v>
      </c>
      <c r="W928" s="13">
        <v>0</v>
      </c>
      <c r="X928" s="13">
        <v>0.0018293817</v>
      </c>
      <c r="Y928" s="13">
        <v>0</v>
      </c>
      <c r="Z928" s="13">
        <v>0.0128753895</v>
      </c>
    </row>
    <row r="929" s="2" customFormat="1" spans="1:26">
      <c r="A929" s="11" t="s">
        <v>935</v>
      </c>
      <c r="B929" s="11" t="s">
        <v>937</v>
      </c>
      <c r="C929" s="14" t="s">
        <v>478</v>
      </c>
      <c r="D929" s="14" t="s">
        <v>938</v>
      </c>
      <c r="E929" s="14" t="s">
        <v>939</v>
      </c>
      <c r="F929" s="3" t="s">
        <v>944</v>
      </c>
      <c r="G929" s="4">
        <v>53</v>
      </c>
      <c r="H929" s="12">
        <v>8645.996</v>
      </c>
      <c r="I929" s="12">
        <v>1860.897533</v>
      </c>
      <c r="J929" s="13">
        <v>0.2152322916</v>
      </c>
      <c r="K929" s="13">
        <v>0.2152322916</v>
      </c>
      <c r="L929" s="12">
        <v>23.99</v>
      </c>
      <c r="M929" s="13">
        <v>0.1019425256</v>
      </c>
      <c r="N929" s="13">
        <v>0.0673342569</v>
      </c>
      <c r="O929" s="13">
        <v>0.2876591661</v>
      </c>
      <c r="P929" s="13">
        <v>0.0566037735</v>
      </c>
      <c r="Q929" s="13">
        <v>0.0220307201</v>
      </c>
      <c r="R929" s="13">
        <v>0.1227318732</v>
      </c>
      <c r="S929" s="13">
        <v>0</v>
      </c>
      <c r="T929" s="13">
        <v>0.1123581366</v>
      </c>
      <c r="U929" s="13">
        <v>0.0105128239</v>
      </c>
      <c r="V929" s="13">
        <v>0</v>
      </c>
      <c r="W929" s="13">
        <v>0</v>
      </c>
      <c r="X929" s="13">
        <v>0.0021896179</v>
      </c>
      <c r="Y929" s="13">
        <v>0</v>
      </c>
      <c r="Z929" s="13">
        <v>0.0014048139</v>
      </c>
    </row>
    <row r="930" s="2" customFormat="1" hidden="1" spans="1:26">
      <c r="A930" s="11" t="s">
        <v>935</v>
      </c>
      <c r="B930" s="11" t="s">
        <v>937</v>
      </c>
      <c r="C930" s="14" t="s">
        <v>478</v>
      </c>
      <c r="D930" s="14" t="s">
        <v>938</v>
      </c>
      <c r="E930" s="14" t="s">
        <v>939</v>
      </c>
      <c r="F930" s="3" t="s">
        <v>945</v>
      </c>
      <c r="G930" s="4">
        <v>8</v>
      </c>
      <c r="H930" s="12">
        <v>1305.056</v>
      </c>
      <c r="I930" s="12">
        <v>483.973905</v>
      </c>
      <c r="J930" s="13">
        <v>0.3708453162</v>
      </c>
      <c r="K930" s="13">
        <v>0.3708453162</v>
      </c>
      <c r="L930" s="12">
        <v>23.99</v>
      </c>
      <c r="M930" s="13">
        <v>0.101942525</v>
      </c>
      <c r="N930" s="13">
        <v>0.0673342569</v>
      </c>
      <c r="O930" s="13">
        <v>0.2876198416</v>
      </c>
      <c r="P930" s="13">
        <v>0</v>
      </c>
      <c r="Q930" s="13">
        <v>0</v>
      </c>
      <c r="R930" s="13">
        <v>0.0406923664</v>
      </c>
      <c r="S930" s="13">
        <v>0</v>
      </c>
      <c r="T930" s="13">
        <v>0.1200500208</v>
      </c>
      <c r="U930" s="13">
        <v>0.0105128239</v>
      </c>
      <c r="V930" s="13">
        <v>0</v>
      </c>
      <c r="W930" s="13">
        <v>0</v>
      </c>
      <c r="X930" s="13">
        <v>0.0010028489</v>
      </c>
      <c r="Y930" s="13">
        <v>0</v>
      </c>
      <c r="Z930" s="13">
        <v>0</v>
      </c>
    </row>
    <row r="931" s="2" customFormat="1" hidden="1" spans="1:26">
      <c r="A931" s="11" t="s">
        <v>935</v>
      </c>
      <c r="B931" s="11" t="s">
        <v>937</v>
      </c>
      <c r="C931" s="14" t="s">
        <v>482</v>
      </c>
      <c r="D931" s="14" t="s">
        <v>938</v>
      </c>
      <c r="E931" s="14" t="s">
        <v>939</v>
      </c>
      <c r="F931" s="3" t="s">
        <v>936</v>
      </c>
      <c r="G931" s="4">
        <v>81</v>
      </c>
      <c r="H931" s="12">
        <v>14605.04</v>
      </c>
      <c r="I931" s="12">
        <v>2285.602078</v>
      </c>
      <c r="J931" s="13">
        <v>0.1564940649</v>
      </c>
      <c r="K931" s="13">
        <v>0.1564940649</v>
      </c>
      <c r="L931" s="12">
        <v>26.5160493827</v>
      </c>
      <c r="M931" s="13">
        <v>0.0942628887</v>
      </c>
      <c r="N931" s="13">
        <v>0.0332386678</v>
      </c>
      <c r="O931" s="13">
        <v>0.277865723</v>
      </c>
      <c r="P931" s="13">
        <v>0.0381646335</v>
      </c>
      <c r="Q931" s="13">
        <v>0.0213544197</v>
      </c>
      <c r="R931" s="13">
        <v>0.2853999899</v>
      </c>
      <c r="S931" s="13">
        <v>0</v>
      </c>
      <c r="T931" s="13">
        <v>0.1019973926</v>
      </c>
      <c r="U931" s="13">
        <v>0.0097208607</v>
      </c>
      <c r="V931" s="13">
        <v>-0.0225672781</v>
      </c>
      <c r="W931" s="13">
        <v>-0.0031310272</v>
      </c>
      <c r="X931" s="13">
        <v>0</v>
      </c>
      <c r="Y931" s="13">
        <v>0</v>
      </c>
      <c r="Z931" s="13">
        <v>0.007199664</v>
      </c>
    </row>
    <row r="932" s="2" customFormat="1" hidden="1" spans="1:26">
      <c r="A932" s="11" t="s">
        <v>935</v>
      </c>
      <c r="B932" s="11" t="s">
        <v>937</v>
      </c>
      <c r="C932" s="14" t="s">
        <v>482</v>
      </c>
      <c r="D932" s="14" t="s">
        <v>938</v>
      </c>
      <c r="E932" s="14" t="s">
        <v>939</v>
      </c>
      <c r="F932" s="3" t="s">
        <v>941</v>
      </c>
      <c r="G932" s="4">
        <v>0</v>
      </c>
      <c r="H932" s="12">
        <v>0</v>
      </c>
      <c r="I932" s="12">
        <v>-10.2</v>
      </c>
      <c r="J932" s="13"/>
      <c r="K932" s="13"/>
      <c r="L932" s="12"/>
      <c r="M932" s="13"/>
      <c r="N932" s="13"/>
      <c r="O932" s="13"/>
      <c r="P932" s="13"/>
      <c r="Q932" s="13"/>
      <c r="R932" s="13"/>
      <c r="S932" s="13"/>
      <c r="T932" s="13"/>
      <c r="U932" s="13"/>
      <c r="V932" s="13"/>
      <c r="W932" s="13"/>
      <c r="X932" s="13"/>
      <c r="Y932" s="13"/>
      <c r="Z932" s="13"/>
    </row>
    <row r="933" s="2" customFormat="1" hidden="1" spans="1:26">
      <c r="A933" s="11" t="s">
        <v>935</v>
      </c>
      <c r="B933" s="11" t="s">
        <v>937</v>
      </c>
      <c r="C933" s="14" t="s">
        <v>482</v>
      </c>
      <c r="D933" s="14" t="s">
        <v>938</v>
      </c>
      <c r="E933" s="14" t="s">
        <v>939</v>
      </c>
      <c r="F933" s="3" t="s">
        <v>942</v>
      </c>
      <c r="G933" s="4">
        <v>21</v>
      </c>
      <c r="H933" s="12">
        <v>3711.372</v>
      </c>
      <c r="I933" s="12">
        <v>-796.846571</v>
      </c>
      <c r="J933" s="13">
        <v>-0.2147040423</v>
      </c>
      <c r="K933" s="13">
        <v>-0.2147040423</v>
      </c>
      <c r="L933" s="12">
        <v>25.99</v>
      </c>
      <c r="M933" s="13">
        <v>0.0961708123</v>
      </c>
      <c r="N933" s="13">
        <v>0.0359372043</v>
      </c>
      <c r="O933" s="13">
        <v>0.2870334744</v>
      </c>
      <c r="P933" s="13">
        <v>0.0952380952</v>
      </c>
      <c r="Q933" s="13">
        <v>0.0235460942</v>
      </c>
      <c r="R933" s="13">
        <v>0.6011575739</v>
      </c>
      <c r="S933" s="13">
        <v>0</v>
      </c>
      <c r="T933" s="13">
        <v>0.0592169149</v>
      </c>
      <c r="U933" s="13">
        <v>0.0099176153</v>
      </c>
      <c r="V933" s="13">
        <v>0</v>
      </c>
      <c r="W933" s="13">
        <v>0</v>
      </c>
      <c r="X933" s="13">
        <v>0</v>
      </c>
      <c r="Y933" s="13">
        <v>0</v>
      </c>
      <c r="Z933" s="13">
        <v>0.0064862573</v>
      </c>
    </row>
    <row r="934" s="2" customFormat="1" hidden="1" spans="1:26">
      <c r="A934" s="11" t="s">
        <v>935</v>
      </c>
      <c r="B934" s="11" t="s">
        <v>937</v>
      </c>
      <c r="C934" s="14" t="s">
        <v>482</v>
      </c>
      <c r="D934" s="14" t="s">
        <v>938</v>
      </c>
      <c r="E934" s="14" t="s">
        <v>939</v>
      </c>
      <c r="F934" s="3" t="s">
        <v>943</v>
      </c>
      <c r="G934" s="4">
        <v>33</v>
      </c>
      <c r="H934" s="12">
        <v>5734.236</v>
      </c>
      <c r="I934" s="12">
        <v>1702.319854</v>
      </c>
      <c r="J934" s="13">
        <v>0.2968695139</v>
      </c>
      <c r="K934" s="13">
        <v>0.2968695139</v>
      </c>
      <c r="L934" s="12">
        <v>25.5536363636</v>
      </c>
      <c r="M934" s="13">
        <v>0.0978130617</v>
      </c>
      <c r="N934" s="13">
        <v>0.0337693909</v>
      </c>
      <c r="O934" s="13">
        <v>0.2919349674</v>
      </c>
      <c r="P934" s="13">
        <v>0</v>
      </c>
      <c r="Q934" s="13">
        <v>0.0231165504</v>
      </c>
      <c r="R934" s="13">
        <v>0.1586855577</v>
      </c>
      <c r="S934" s="13">
        <v>0</v>
      </c>
      <c r="T934" s="13">
        <v>0.1180404852</v>
      </c>
      <c r="U934" s="13">
        <v>0.0100869723</v>
      </c>
      <c r="V934" s="13">
        <v>-0.0392045252</v>
      </c>
      <c r="W934" s="13">
        <v>-0.003987347</v>
      </c>
      <c r="X934" s="13">
        <v>0</v>
      </c>
      <c r="Y934" s="13">
        <v>0</v>
      </c>
      <c r="Z934" s="13">
        <v>0.0128753724</v>
      </c>
    </row>
    <row r="935" s="2" customFormat="1" spans="1:26">
      <c r="A935" s="11" t="s">
        <v>935</v>
      </c>
      <c r="B935" s="11" t="s">
        <v>937</v>
      </c>
      <c r="C935" s="14" t="s">
        <v>482</v>
      </c>
      <c r="D935" s="14" t="s">
        <v>938</v>
      </c>
      <c r="E935" s="14" t="s">
        <v>939</v>
      </c>
      <c r="F935" s="3" t="s">
        <v>944</v>
      </c>
      <c r="G935" s="4">
        <v>27</v>
      </c>
      <c r="H935" s="12">
        <v>5159.432</v>
      </c>
      <c r="I935" s="12">
        <v>1390.328795</v>
      </c>
      <c r="J935" s="13">
        <v>0.2694732278</v>
      </c>
      <c r="K935" s="13">
        <v>0.2694732278</v>
      </c>
      <c r="L935" s="12">
        <v>28.1014814814</v>
      </c>
      <c r="M935" s="13">
        <v>0.0889447559</v>
      </c>
      <c r="N935" s="13">
        <v>0.0307076598</v>
      </c>
      <c r="O935" s="13">
        <v>0.2556343411</v>
      </c>
      <c r="P935" s="13">
        <v>0.0395260563</v>
      </c>
      <c r="Q935" s="13">
        <v>0.0178194194</v>
      </c>
      <c r="R935" s="13">
        <v>0.1971182959</v>
      </c>
      <c r="S935" s="13">
        <v>0</v>
      </c>
      <c r="T935" s="13">
        <v>0.1149405593</v>
      </c>
      <c r="U935" s="13">
        <v>0.0091724282</v>
      </c>
      <c r="V935" s="13">
        <v>-0.0203099876</v>
      </c>
      <c r="W935" s="13">
        <v>-0.0044315709</v>
      </c>
      <c r="X935" s="13">
        <v>0</v>
      </c>
      <c r="Y935" s="13">
        <v>0</v>
      </c>
      <c r="Z935" s="13">
        <v>0.0014048143</v>
      </c>
    </row>
    <row r="936" s="2" customFormat="1" hidden="1" spans="1:26">
      <c r="A936" s="11" t="s">
        <v>935</v>
      </c>
      <c r="B936" s="11" t="s">
        <v>937</v>
      </c>
      <c r="C936" s="14" t="s">
        <v>486</v>
      </c>
      <c r="D936" s="14" t="s">
        <v>938</v>
      </c>
      <c r="E936" s="14" t="s">
        <v>939</v>
      </c>
      <c r="F936" s="3" t="s">
        <v>936</v>
      </c>
      <c r="G936" s="4">
        <v>21</v>
      </c>
      <c r="H936" s="12">
        <v>3262.572</v>
      </c>
      <c r="I936" s="12">
        <v>149.879542</v>
      </c>
      <c r="J936" s="13">
        <v>0.0459390756</v>
      </c>
      <c r="K936" s="13">
        <v>0.0459390756</v>
      </c>
      <c r="L936" s="12">
        <v>22.8471428571</v>
      </c>
      <c r="M936" s="13">
        <v>0.1143215542</v>
      </c>
      <c r="N936" s="13">
        <v>0.0294841346</v>
      </c>
      <c r="O936" s="13">
        <v>0.3007774234</v>
      </c>
      <c r="P936" s="13">
        <v>0.0500010421</v>
      </c>
      <c r="Q936" s="13">
        <v>0.1082554723</v>
      </c>
      <c r="R936" s="13">
        <v>0.2518509329</v>
      </c>
      <c r="S936" s="13">
        <v>0</v>
      </c>
      <c r="T936" s="13">
        <v>0.1116321724</v>
      </c>
      <c r="U936" s="13">
        <v>0.0117894133</v>
      </c>
      <c r="V936" s="13">
        <v>-0.0296171241</v>
      </c>
      <c r="W936" s="13">
        <v>0</v>
      </c>
      <c r="X936" s="13">
        <v>0</v>
      </c>
      <c r="Y936" s="13">
        <v>0</v>
      </c>
      <c r="Z936" s="13">
        <v>0.0055659029</v>
      </c>
    </row>
    <row r="937" s="2" customFormat="1" hidden="1" spans="1:26">
      <c r="A937" s="11" t="s">
        <v>935</v>
      </c>
      <c r="B937" s="11" t="s">
        <v>937</v>
      </c>
      <c r="C937" s="14" t="s">
        <v>486</v>
      </c>
      <c r="D937" s="14" t="s">
        <v>938</v>
      </c>
      <c r="E937" s="14" t="s">
        <v>939</v>
      </c>
      <c r="F937" s="3" t="s">
        <v>941</v>
      </c>
      <c r="G937" s="4">
        <v>1</v>
      </c>
      <c r="H937" s="12">
        <v>176.732</v>
      </c>
      <c r="I937" s="12">
        <v>66.14001</v>
      </c>
      <c r="J937" s="13">
        <v>0.3742390172</v>
      </c>
      <c r="K937" s="13">
        <v>0.3742390172</v>
      </c>
      <c r="L937" s="12">
        <v>25.99</v>
      </c>
      <c r="M937" s="13">
        <v>0.1004971482</v>
      </c>
      <c r="N937" s="13">
        <v>0.0274445601</v>
      </c>
      <c r="O937" s="13">
        <v>0.2427856868</v>
      </c>
      <c r="P937" s="13">
        <v>0</v>
      </c>
      <c r="Q937" s="13">
        <v>0.001791164</v>
      </c>
      <c r="R937" s="13">
        <v>0.1174944888</v>
      </c>
      <c r="S937" s="13">
        <v>0</v>
      </c>
      <c r="T937" s="13">
        <v>0.1200461716</v>
      </c>
      <c r="U937" s="13">
        <v>0.0103637711</v>
      </c>
      <c r="V937" s="13">
        <v>0</v>
      </c>
      <c r="W937" s="13">
        <v>0</v>
      </c>
      <c r="X937" s="13">
        <v>0</v>
      </c>
      <c r="Y937" s="13">
        <v>0</v>
      </c>
      <c r="Z937" s="13">
        <v>0.0053379919</v>
      </c>
    </row>
    <row r="938" s="2" customFormat="1" hidden="1" spans="1:26">
      <c r="A938" s="11" t="s">
        <v>935</v>
      </c>
      <c r="B938" s="11" t="s">
        <v>937</v>
      </c>
      <c r="C938" s="14" t="s">
        <v>486</v>
      </c>
      <c r="D938" s="14" t="s">
        <v>938</v>
      </c>
      <c r="E938" s="14" t="s">
        <v>939</v>
      </c>
      <c r="F938" s="3" t="s">
        <v>942</v>
      </c>
      <c r="G938" s="4">
        <v>5</v>
      </c>
      <c r="H938" s="12">
        <v>761.26</v>
      </c>
      <c r="I938" s="12">
        <v>14.416162</v>
      </c>
      <c r="J938" s="13">
        <v>0.0189372382</v>
      </c>
      <c r="K938" s="13">
        <v>0.0189372382</v>
      </c>
      <c r="L938" s="12">
        <v>22.39</v>
      </c>
      <c r="M938" s="13">
        <v>0.1166556892</v>
      </c>
      <c r="N938" s="13">
        <v>0.0318572629</v>
      </c>
      <c r="O938" s="13">
        <v>0.3081732916</v>
      </c>
      <c r="P938" s="13">
        <v>0</v>
      </c>
      <c r="Q938" s="13">
        <v>0.1108933281</v>
      </c>
      <c r="R938" s="13">
        <v>0.2749131742</v>
      </c>
      <c r="S938" s="13">
        <v>0</v>
      </c>
      <c r="T938" s="13">
        <v>0.1200535953</v>
      </c>
      <c r="U938" s="13">
        <v>0.0120301211</v>
      </c>
      <c r="V938" s="13">
        <v>0</v>
      </c>
      <c r="W938" s="13">
        <v>0</v>
      </c>
      <c r="X938" s="13">
        <v>0</v>
      </c>
      <c r="Y938" s="13">
        <v>0</v>
      </c>
      <c r="Z938" s="13">
        <v>0.006486299</v>
      </c>
    </row>
    <row r="939" s="2" customFormat="1" hidden="1" spans="1:26">
      <c r="A939" s="11" t="s">
        <v>935</v>
      </c>
      <c r="B939" s="11" t="s">
        <v>937</v>
      </c>
      <c r="C939" s="14" t="s">
        <v>486</v>
      </c>
      <c r="D939" s="14" t="s">
        <v>938</v>
      </c>
      <c r="E939" s="14" t="s">
        <v>939</v>
      </c>
      <c r="F939" s="3" t="s">
        <v>943</v>
      </c>
      <c r="G939" s="4">
        <v>5</v>
      </c>
      <c r="H939" s="12">
        <v>815.66</v>
      </c>
      <c r="I939" s="12">
        <v>-83.716445</v>
      </c>
      <c r="J939" s="13">
        <v>-0.1026364477</v>
      </c>
      <c r="K939" s="13">
        <v>-0.1026364477</v>
      </c>
      <c r="L939" s="12">
        <v>23.99</v>
      </c>
      <c r="M939" s="13">
        <v>0.1088754015</v>
      </c>
      <c r="N939" s="13">
        <v>0.027418336</v>
      </c>
      <c r="O939" s="13">
        <v>0.2876198416</v>
      </c>
      <c r="P939" s="13">
        <v>0.2</v>
      </c>
      <c r="Q939" s="13">
        <v>0.1687782139</v>
      </c>
      <c r="R939" s="13">
        <v>0.1873837628</v>
      </c>
      <c r="S939" s="13">
        <v>0</v>
      </c>
      <c r="T939" s="13">
        <v>0.0984576907</v>
      </c>
      <c r="U939" s="13">
        <v>0.0112277787</v>
      </c>
      <c r="V939" s="13">
        <v>0</v>
      </c>
      <c r="W939" s="13">
        <v>0</v>
      </c>
      <c r="X939" s="13">
        <v>0</v>
      </c>
      <c r="Y939" s="13">
        <v>0</v>
      </c>
      <c r="Z939" s="13">
        <v>0.0128754223</v>
      </c>
    </row>
    <row r="940" s="2" customFormat="1" spans="1:26">
      <c r="A940" s="11" t="s">
        <v>935</v>
      </c>
      <c r="B940" s="11" t="s">
        <v>937</v>
      </c>
      <c r="C940" s="14" t="s">
        <v>486</v>
      </c>
      <c r="D940" s="14" t="s">
        <v>938</v>
      </c>
      <c r="E940" s="14" t="s">
        <v>939</v>
      </c>
      <c r="F940" s="3" t="s">
        <v>944</v>
      </c>
      <c r="G940" s="4">
        <v>8</v>
      </c>
      <c r="H940" s="12">
        <v>1264.256</v>
      </c>
      <c r="I940" s="12">
        <v>9.033348</v>
      </c>
      <c r="J940" s="13">
        <v>0.0071451889</v>
      </c>
      <c r="K940" s="13">
        <v>0.0071451889</v>
      </c>
      <c r="L940" s="12">
        <v>23.24</v>
      </c>
      <c r="M940" s="13">
        <v>0.1123890224</v>
      </c>
      <c r="N940" s="13">
        <v>0.0283031791</v>
      </c>
      <c r="O940" s="13">
        <v>0.2969018932</v>
      </c>
      <c r="P940" s="13">
        <v>0</v>
      </c>
      <c r="Q940" s="13">
        <v>0.1034524843</v>
      </c>
      <c r="R940" s="13">
        <v>0.3265607202</v>
      </c>
      <c r="S940" s="13">
        <v>0</v>
      </c>
      <c r="T940" s="13">
        <v>0.1122525817</v>
      </c>
      <c r="U940" s="13">
        <v>0.0115901209</v>
      </c>
      <c r="V940" s="13">
        <v>0</v>
      </c>
      <c r="W940" s="13">
        <v>0</v>
      </c>
      <c r="X940" s="13">
        <v>0</v>
      </c>
      <c r="Y940" s="13">
        <v>0</v>
      </c>
      <c r="Z940" s="13">
        <v>0.0014048088</v>
      </c>
    </row>
    <row r="941" s="2" customFormat="1" hidden="1" spans="1:26">
      <c r="A941" s="11" t="s">
        <v>935</v>
      </c>
      <c r="B941" s="11" t="s">
        <v>937</v>
      </c>
      <c r="C941" s="14" t="s">
        <v>486</v>
      </c>
      <c r="D941" s="14" t="s">
        <v>938</v>
      </c>
      <c r="E941" s="14" t="s">
        <v>939</v>
      </c>
      <c r="F941" s="3" t="s">
        <v>945</v>
      </c>
      <c r="G941" s="4">
        <v>2</v>
      </c>
      <c r="H941" s="12">
        <v>244.664</v>
      </c>
      <c r="I941" s="12">
        <v>144.006467</v>
      </c>
      <c r="J941" s="13">
        <v>0.5885887053</v>
      </c>
      <c r="K941" s="13">
        <v>0.5885887053</v>
      </c>
      <c r="L941" s="12">
        <v>17.99</v>
      </c>
      <c r="M941" s="13">
        <v>0.1451873753</v>
      </c>
      <c r="N941" s="13">
        <v>0.0365628617</v>
      </c>
      <c r="O941" s="13">
        <v>0.3835464146</v>
      </c>
      <c r="P941" s="13">
        <v>0</v>
      </c>
      <c r="Q941" s="13">
        <v>0</v>
      </c>
      <c r="R941" s="13">
        <v>0.1060171214</v>
      </c>
      <c r="S941" s="13">
        <v>0</v>
      </c>
      <c r="T941" s="13">
        <v>0.1200667037</v>
      </c>
      <c r="U941" s="13">
        <v>0.014972452</v>
      </c>
      <c r="V941" s="13">
        <v>-0.3949416342</v>
      </c>
      <c r="W941" s="13">
        <v>0</v>
      </c>
      <c r="X941" s="13">
        <v>0</v>
      </c>
      <c r="Y941" s="13">
        <v>0</v>
      </c>
      <c r="Z941" s="13">
        <v>0</v>
      </c>
    </row>
    <row r="942" s="2" customFormat="1" hidden="1" spans="1:26">
      <c r="A942" s="11" t="s">
        <v>935</v>
      </c>
      <c r="B942" s="11" t="s">
        <v>937</v>
      </c>
      <c r="C942" s="14" t="s">
        <v>946</v>
      </c>
      <c r="D942" s="14" t="s">
        <v>938</v>
      </c>
      <c r="E942" s="14" t="s">
        <v>939</v>
      </c>
      <c r="F942" s="3" t="s">
        <v>936</v>
      </c>
      <c r="G942" s="4">
        <v>0</v>
      </c>
      <c r="H942" s="12">
        <v>0</v>
      </c>
      <c r="I942" s="12">
        <v>-71.808</v>
      </c>
      <c r="J942" s="13"/>
      <c r="K942" s="13"/>
      <c r="L942" s="12"/>
      <c r="M942" s="13"/>
      <c r="N942" s="13"/>
      <c r="O942" s="13"/>
      <c r="P942" s="13"/>
      <c r="Q942" s="13"/>
      <c r="R942" s="13"/>
      <c r="S942" s="13"/>
      <c r="T942" s="13"/>
      <c r="U942" s="13"/>
      <c r="V942" s="13"/>
      <c r="W942" s="13"/>
      <c r="X942" s="13"/>
      <c r="Y942" s="13"/>
      <c r="Z942" s="13"/>
    </row>
    <row r="943" s="2" customFormat="1" hidden="1" spans="1:26">
      <c r="A943" s="11" t="s">
        <v>935</v>
      </c>
      <c r="B943" s="11" t="s">
        <v>937</v>
      </c>
      <c r="C943" s="14" t="s">
        <v>946</v>
      </c>
      <c r="D943" s="14" t="s">
        <v>938</v>
      </c>
      <c r="E943" s="14" t="s">
        <v>939</v>
      </c>
      <c r="F943" s="3" t="s">
        <v>947</v>
      </c>
      <c r="G943" s="4">
        <v>0</v>
      </c>
      <c r="H943" s="12">
        <v>0</v>
      </c>
      <c r="I943" s="12">
        <v>-71.808</v>
      </c>
      <c r="J943" s="13"/>
      <c r="K943" s="13"/>
      <c r="L943" s="12"/>
      <c r="M943" s="13"/>
      <c r="N943" s="13"/>
      <c r="O943" s="13"/>
      <c r="P943" s="13"/>
      <c r="Q943" s="13"/>
      <c r="R943" s="13"/>
      <c r="S943" s="13"/>
      <c r="T943" s="13"/>
      <c r="U943" s="13"/>
      <c r="V943" s="13"/>
      <c r="W943" s="13"/>
      <c r="X943" s="13"/>
      <c r="Y943" s="13"/>
      <c r="Z943" s="13"/>
    </row>
    <row r="944" s="2" customFormat="1" hidden="1" spans="1:26">
      <c r="A944" s="11" t="s">
        <v>935</v>
      </c>
      <c r="B944" s="11" t="s">
        <v>937</v>
      </c>
      <c r="C944" s="14" t="s">
        <v>948</v>
      </c>
      <c r="D944" s="14" t="s">
        <v>938</v>
      </c>
      <c r="E944" s="14" t="s">
        <v>939</v>
      </c>
      <c r="F944" s="3" t="s">
        <v>936</v>
      </c>
      <c r="G944" s="4">
        <v>0</v>
      </c>
      <c r="H944" s="12">
        <v>0</v>
      </c>
      <c r="I944" s="12">
        <v>-80.784</v>
      </c>
      <c r="J944" s="13"/>
      <c r="K944" s="13"/>
      <c r="L944" s="12"/>
      <c r="M944" s="13"/>
      <c r="N944" s="13"/>
      <c r="O944" s="13"/>
      <c r="P944" s="13"/>
      <c r="Q944" s="13"/>
      <c r="R944" s="13"/>
      <c r="S944" s="13"/>
      <c r="T944" s="13"/>
      <c r="U944" s="13"/>
      <c r="V944" s="13"/>
      <c r="W944" s="13"/>
      <c r="X944" s="13"/>
      <c r="Y944" s="13"/>
      <c r="Z944" s="13"/>
    </row>
    <row r="945" s="2" customFormat="1" hidden="1" spans="1:26">
      <c r="A945" s="11" t="s">
        <v>935</v>
      </c>
      <c r="B945" s="11" t="s">
        <v>937</v>
      </c>
      <c r="C945" s="14" t="s">
        <v>948</v>
      </c>
      <c r="D945" s="14" t="s">
        <v>938</v>
      </c>
      <c r="E945" s="14" t="s">
        <v>939</v>
      </c>
      <c r="F945" s="3" t="s">
        <v>947</v>
      </c>
      <c r="G945" s="4">
        <v>0</v>
      </c>
      <c r="H945" s="12">
        <v>0</v>
      </c>
      <c r="I945" s="12">
        <v>-80.784</v>
      </c>
      <c r="J945" s="13"/>
      <c r="K945" s="13"/>
      <c r="L945" s="12"/>
      <c r="M945" s="13"/>
      <c r="N945" s="13"/>
      <c r="O945" s="13"/>
      <c r="P945" s="13"/>
      <c r="Q945" s="13"/>
      <c r="R945" s="13"/>
      <c r="S945" s="13"/>
      <c r="T945" s="13"/>
      <c r="U945" s="13"/>
      <c r="V945" s="13"/>
      <c r="W945" s="13"/>
      <c r="X945" s="13"/>
      <c r="Y945" s="13"/>
      <c r="Z945" s="13"/>
    </row>
    <row r="946" s="2" customFormat="1" hidden="1" spans="1:26">
      <c r="A946" s="11" t="s">
        <v>935</v>
      </c>
      <c r="B946" s="11" t="s">
        <v>937</v>
      </c>
      <c r="C946" s="14" t="s">
        <v>949</v>
      </c>
      <c r="D946" s="14" t="s">
        <v>938</v>
      </c>
      <c r="E946" s="14" t="s">
        <v>939</v>
      </c>
      <c r="F946" s="3" t="s">
        <v>936</v>
      </c>
      <c r="G946" s="4">
        <v>0</v>
      </c>
      <c r="H946" s="12">
        <v>0</v>
      </c>
      <c r="I946" s="12">
        <v>-3.944</v>
      </c>
      <c r="J946" s="13"/>
      <c r="K946" s="13"/>
      <c r="L946" s="12"/>
      <c r="M946" s="13"/>
      <c r="N946" s="13"/>
      <c r="O946" s="13"/>
      <c r="P946" s="13"/>
      <c r="Q946" s="13"/>
      <c r="R946" s="13"/>
      <c r="S946" s="13"/>
      <c r="T946" s="13"/>
      <c r="U946" s="13"/>
      <c r="V946" s="13"/>
      <c r="W946" s="13"/>
      <c r="X946" s="13"/>
      <c r="Y946" s="13"/>
      <c r="Z946" s="13"/>
    </row>
    <row r="947" s="2" customFormat="1" hidden="1" spans="1:26">
      <c r="A947" s="11" t="s">
        <v>935</v>
      </c>
      <c r="B947" s="11" t="s">
        <v>937</v>
      </c>
      <c r="C947" s="14" t="s">
        <v>949</v>
      </c>
      <c r="D947" s="14" t="s">
        <v>938</v>
      </c>
      <c r="E947" s="14" t="s">
        <v>939</v>
      </c>
      <c r="F947" s="3" t="s">
        <v>947</v>
      </c>
      <c r="G947" s="4">
        <v>0</v>
      </c>
      <c r="H947" s="12">
        <v>0</v>
      </c>
      <c r="I947" s="12">
        <v>-3.944</v>
      </c>
      <c r="J947" s="13"/>
      <c r="K947" s="13"/>
      <c r="L947" s="12"/>
      <c r="M947" s="13"/>
      <c r="N947" s="13"/>
      <c r="O947" s="13"/>
      <c r="P947" s="13"/>
      <c r="Q947" s="13"/>
      <c r="R947" s="13"/>
      <c r="S947" s="13"/>
      <c r="T947" s="13"/>
      <c r="U947" s="13"/>
      <c r="V947" s="13"/>
      <c r="W947" s="13"/>
      <c r="X947" s="13"/>
      <c r="Y947" s="13"/>
      <c r="Z947" s="13"/>
    </row>
    <row r="948" s="2" customFormat="1" hidden="1" spans="1:26">
      <c r="A948" s="11" t="s">
        <v>935</v>
      </c>
      <c r="B948" s="11" t="s">
        <v>937</v>
      </c>
      <c r="C948" s="14" t="s">
        <v>950</v>
      </c>
      <c r="D948" s="14" t="s">
        <v>938</v>
      </c>
      <c r="E948" s="14" t="s">
        <v>939</v>
      </c>
      <c r="F948" s="3" t="s">
        <v>936</v>
      </c>
      <c r="G948" s="4">
        <v>0</v>
      </c>
      <c r="H948" s="12">
        <v>0</v>
      </c>
      <c r="I948" s="12">
        <v>-26.724</v>
      </c>
      <c r="J948" s="13"/>
      <c r="K948" s="13"/>
      <c r="L948" s="12"/>
      <c r="M948" s="13"/>
      <c r="N948" s="13"/>
      <c r="O948" s="13"/>
      <c r="P948" s="13"/>
      <c r="Q948" s="13"/>
      <c r="R948" s="13"/>
      <c r="S948" s="13"/>
      <c r="T948" s="13"/>
      <c r="U948" s="13"/>
      <c r="V948" s="13"/>
      <c r="W948" s="13"/>
      <c r="X948" s="13"/>
      <c r="Y948" s="13"/>
      <c r="Z948" s="13"/>
    </row>
    <row r="949" s="2" customFormat="1" hidden="1" spans="1:26">
      <c r="A949" s="11" t="s">
        <v>935</v>
      </c>
      <c r="B949" s="11" t="s">
        <v>937</v>
      </c>
      <c r="C949" s="14" t="s">
        <v>950</v>
      </c>
      <c r="D949" s="14" t="s">
        <v>938</v>
      </c>
      <c r="E949" s="14" t="s">
        <v>939</v>
      </c>
      <c r="F949" s="3" t="s">
        <v>947</v>
      </c>
      <c r="G949" s="4">
        <v>0</v>
      </c>
      <c r="H949" s="12">
        <v>0</v>
      </c>
      <c r="I949" s="12">
        <v>-26.724</v>
      </c>
      <c r="J949" s="13"/>
      <c r="K949" s="13"/>
      <c r="L949" s="12"/>
      <c r="M949" s="13"/>
      <c r="N949" s="13"/>
      <c r="O949" s="13"/>
      <c r="P949" s="13"/>
      <c r="Q949" s="13"/>
      <c r="R949" s="13"/>
      <c r="S949" s="13"/>
      <c r="T949" s="13"/>
      <c r="U949" s="13"/>
      <c r="V949" s="13"/>
      <c r="W949" s="13"/>
      <c r="X949" s="13"/>
      <c r="Y949" s="13"/>
      <c r="Z949" s="13"/>
    </row>
    <row r="950" s="2" customFormat="1" hidden="1" spans="1:26">
      <c r="A950" s="11" t="s">
        <v>935</v>
      </c>
      <c r="B950" s="11" t="s">
        <v>937</v>
      </c>
      <c r="C950" s="14" t="s">
        <v>951</v>
      </c>
      <c r="D950" s="14" t="s">
        <v>938</v>
      </c>
      <c r="E950" s="14" t="s">
        <v>939</v>
      </c>
      <c r="F950" s="3" t="s">
        <v>936</v>
      </c>
      <c r="G950" s="4">
        <v>0</v>
      </c>
      <c r="H950" s="12">
        <v>0</v>
      </c>
      <c r="I950" s="12">
        <v>-4.488</v>
      </c>
      <c r="J950" s="13"/>
      <c r="K950" s="13"/>
      <c r="L950" s="12"/>
      <c r="M950" s="13"/>
      <c r="N950" s="13"/>
      <c r="O950" s="13"/>
      <c r="P950" s="13"/>
      <c r="Q950" s="13"/>
      <c r="R950" s="13"/>
      <c r="S950" s="13"/>
      <c r="T950" s="13"/>
      <c r="U950" s="13"/>
      <c r="V950" s="13"/>
      <c r="W950" s="13"/>
      <c r="X950" s="13"/>
      <c r="Y950" s="13"/>
      <c r="Z950" s="13"/>
    </row>
    <row r="951" s="2" customFormat="1" hidden="1" spans="1:26">
      <c r="A951" s="11" t="s">
        <v>935</v>
      </c>
      <c r="B951" s="11" t="s">
        <v>937</v>
      </c>
      <c r="C951" s="14" t="s">
        <v>951</v>
      </c>
      <c r="D951" s="14" t="s">
        <v>938</v>
      </c>
      <c r="E951" s="14" t="s">
        <v>939</v>
      </c>
      <c r="F951" s="3" t="s">
        <v>947</v>
      </c>
      <c r="G951" s="4">
        <v>0</v>
      </c>
      <c r="H951" s="12">
        <v>0</v>
      </c>
      <c r="I951" s="12">
        <v>-4.488</v>
      </c>
      <c r="J951" s="13"/>
      <c r="K951" s="13"/>
      <c r="L951" s="12"/>
      <c r="M951" s="13"/>
      <c r="N951" s="13"/>
      <c r="O951" s="13"/>
      <c r="P951" s="13"/>
      <c r="Q951" s="13"/>
      <c r="R951" s="13"/>
      <c r="S951" s="13"/>
      <c r="T951" s="13"/>
      <c r="U951" s="13"/>
      <c r="V951" s="13"/>
      <c r="W951" s="13"/>
      <c r="X951" s="13"/>
      <c r="Y951" s="13"/>
      <c r="Z951" s="13"/>
    </row>
    <row r="952" s="2" customFormat="1" hidden="1" spans="1:26">
      <c r="A952" s="11" t="s">
        <v>935</v>
      </c>
      <c r="B952" s="11" t="s">
        <v>937</v>
      </c>
      <c r="C952" s="14" t="s">
        <v>952</v>
      </c>
      <c r="D952" s="14" t="s">
        <v>938</v>
      </c>
      <c r="E952" s="14" t="s">
        <v>939</v>
      </c>
      <c r="F952" s="3" t="s">
        <v>936</v>
      </c>
      <c r="G952" s="4">
        <v>0</v>
      </c>
      <c r="H952" s="12">
        <v>0</v>
      </c>
      <c r="I952" s="12">
        <v>-3.944</v>
      </c>
      <c r="J952" s="13"/>
      <c r="K952" s="13"/>
      <c r="L952" s="12"/>
      <c r="M952" s="13"/>
      <c r="N952" s="13"/>
      <c r="O952" s="13"/>
      <c r="P952" s="13"/>
      <c r="Q952" s="13"/>
      <c r="R952" s="13"/>
      <c r="S952" s="13"/>
      <c r="T952" s="13"/>
      <c r="U952" s="13"/>
      <c r="V952" s="13"/>
      <c r="W952" s="13"/>
      <c r="X952" s="13"/>
      <c r="Y952" s="13"/>
      <c r="Z952" s="13"/>
    </row>
    <row r="953" s="2" customFormat="1" hidden="1" spans="1:26">
      <c r="A953" s="11" t="s">
        <v>935</v>
      </c>
      <c r="B953" s="11" t="s">
        <v>937</v>
      </c>
      <c r="C953" s="14" t="s">
        <v>952</v>
      </c>
      <c r="D953" s="14" t="s">
        <v>938</v>
      </c>
      <c r="E953" s="14" t="s">
        <v>939</v>
      </c>
      <c r="F953" s="3" t="s">
        <v>953</v>
      </c>
      <c r="G953" s="4">
        <v>0</v>
      </c>
      <c r="H953" s="12">
        <v>0</v>
      </c>
      <c r="I953" s="12">
        <v>-3.944</v>
      </c>
      <c r="J953" s="13"/>
      <c r="K953" s="13"/>
      <c r="L953" s="12"/>
      <c r="M953" s="13"/>
      <c r="N953" s="13"/>
      <c r="O953" s="13"/>
      <c r="P953" s="13"/>
      <c r="Q953" s="13"/>
      <c r="R953" s="13"/>
      <c r="S953" s="13"/>
      <c r="T953" s="13"/>
      <c r="U953" s="13"/>
      <c r="V953" s="13"/>
      <c r="W953" s="13"/>
      <c r="X953" s="13"/>
      <c r="Y953" s="13"/>
      <c r="Z953" s="13"/>
    </row>
    <row r="954" s="2" customFormat="1" hidden="1" spans="1:26">
      <c r="A954" s="11" t="s">
        <v>935</v>
      </c>
      <c r="B954" s="11" t="s">
        <v>937</v>
      </c>
      <c r="C954" s="14" t="s">
        <v>954</v>
      </c>
      <c r="D954" s="14" t="s">
        <v>938</v>
      </c>
      <c r="E954" s="14" t="s">
        <v>939</v>
      </c>
      <c r="F954" s="3" t="s">
        <v>936</v>
      </c>
      <c r="G954" s="4">
        <v>0</v>
      </c>
      <c r="H954" s="12">
        <v>0</v>
      </c>
      <c r="I954" s="12">
        <v>-40.052</v>
      </c>
      <c r="J954" s="13"/>
      <c r="K954" s="13"/>
      <c r="L954" s="12"/>
      <c r="M954" s="13"/>
      <c r="N954" s="13"/>
      <c r="O954" s="13"/>
      <c r="P954" s="13"/>
      <c r="Q954" s="13"/>
      <c r="R954" s="13"/>
      <c r="S954" s="13"/>
      <c r="T954" s="13"/>
      <c r="U954" s="13"/>
      <c r="V954" s="13"/>
      <c r="W954" s="13"/>
      <c r="X954" s="13"/>
      <c r="Y954" s="13"/>
      <c r="Z954" s="13"/>
    </row>
    <row r="955" s="2" customFormat="1" hidden="1" spans="1:26">
      <c r="A955" s="11" t="s">
        <v>935</v>
      </c>
      <c r="B955" s="11" t="s">
        <v>937</v>
      </c>
      <c r="C955" s="14" t="s">
        <v>954</v>
      </c>
      <c r="D955" s="14" t="s">
        <v>938</v>
      </c>
      <c r="E955" s="14" t="s">
        <v>939</v>
      </c>
      <c r="F955" s="3" t="s">
        <v>947</v>
      </c>
      <c r="G955" s="4">
        <v>0</v>
      </c>
      <c r="H955" s="12">
        <v>0</v>
      </c>
      <c r="I955" s="12">
        <v>-40.052</v>
      </c>
      <c r="J955" s="13"/>
      <c r="K955" s="13"/>
      <c r="L955" s="12"/>
      <c r="M955" s="13"/>
      <c r="N955" s="13"/>
      <c r="O955" s="13"/>
      <c r="P955" s="13"/>
      <c r="Q955" s="13"/>
      <c r="R955" s="13"/>
      <c r="S955" s="13"/>
      <c r="T955" s="13"/>
      <c r="U955" s="13"/>
      <c r="V955" s="13"/>
      <c r="W955" s="13"/>
      <c r="X955" s="13"/>
      <c r="Y955" s="13"/>
      <c r="Z955" s="13"/>
    </row>
    <row r="956" s="2" customFormat="1" hidden="1" spans="1:26">
      <c r="A956" s="11" t="s">
        <v>935</v>
      </c>
      <c r="B956" s="11" t="s">
        <v>937</v>
      </c>
      <c r="C956" s="14" t="s">
        <v>955</v>
      </c>
      <c r="D956" s="14" t="s">
        <v>938</v>
      </c>
      <c r="E956" s="14" t="s">
        <v>939</v>
      </c>
      <c r="F956" s="3" t="s">
        <v>936</v>
      </c>
      <c r="G956" s="4">
        <v>6</v>
      </c>
      <c r="H956" s="12">
        <v>857.956</v>
      </c>
      <c r="I956" s="12">
        <v>-2832.967971</v>
      </c>
      <c r="J956" s="13">
        <v>-3.3019968051</v>
      </c>
      <c r="K956" s="13">
        <v>-3.3019968051</v>
      </c>
      <c r="L956" s="12">
        <v>21.0283333333</v>
      </c>
      <c r="M956" s="13">
        <v>0.101976261</v>
      </c>
      <c r="N956" s="13">
        <v>0.0178268745</v>
      </c>
      <c r="O956" s="13">
        <v>0.2660695886</v>
      </c>
      <c r="P956" s="13">
        <v>0.364428945</v>
      </c>
      <c r="Q956" s="13">
        <v>1.0913848903</v>
      </c>
      <c r="R956" s="13">
        <v>0.7962975129</v>
      </c>
      <c r="S956" s="13">
        <v>0</v>
      </c>
      <c r="T956" s="13">
        <v>0.0825077276</v>
      </c>
      <c r="U956" s="13">
        <v>0.0105163027</v>
      </c>
      <c r="V956" s="13">
        <v>-0.287358326</v>
      </c>
      <c r="W956" s="13">
        <v>0</v>
      </c>
      <c r="X956" s="13">
        <v>0</v>
      </c>
      <c r="Y956" s="13">
        <v>0</v>
      </c>
      <c r="Z956" s="13">
        <v>1.8583470282</v>
      </c>
    </row>
    <row r="957" s="2" customFormat="1" hidden="1" spans="1:26">
      <c r="A957" s="11" t="s">
        <v>935</v>
      </c>
      <c r="B957" s="11" t="s">
        <v>937</v>
      </c>
      <c r="C957" s="14" t="s">
        <v>955</v>
      </c>
      <c r="D957" s="14" t="s">
        <v>938</v>
      </c>
      <c r="E957" s="14" t="s">
        <v>939</v>
      </c>
      <c r="F957" s="3" t="s">
        <v>947</v>
      </c>
      <c r="G957" s="4">
        <v>0</v>
      </c>
      <c r="H957" s="12">
        <v>0</v>
      </c>
      <c r="I957" s="12">
        <v>-142.664</v>
      </c>
      <c r="J957" s="13"/>
      <c r="K957" s="13"/>
      <c r="L957" s="12"/>
      <c r="M957" s="13"/>
      <c r="N957" s="13"/>
      <c r="O957" s="13"/>
      <c r="P957" s="13"/>
      <c r="Q957" s="13"/>
      <c r="R957" s="13"/>
      <c r="S957" s="13"/>
      <c r="T957" s="13"/>
      <c r="U957" s="13"/>
      <c r="V957" s="13"/>
      <c r="W957" s="13"/>
      <c r="X957" s="13"/>
      <c r="Y957" s="13"/>
      <c r="Z957" s="13"/>
    </row>
    <row r="958" s="2" customFormat="1" hidden="1" spans="1:26">
      <c r="A958" s="11" t="s">
        <v>935</v>
      </c>
      <c r="B958" s="11" t="s">
        <v>937</v>
      </c>
      <c r="C958" s="14" t="s">
        <v>955</v>
      </c>
      <c r="D958" s="14" t="s">
        <v>938</v>
      </c>
      <c r="E958" s="14" t="s">
        <v>939</v>
      </c>
      <c r="F958" s="3" t="s">
        <v>953</v>
      </c>
      <c r="G958" s="4">
        <v>2</v>
      </c>
      <c r="H958" s="12">
        <v>312.664</v>
      </c>
      <c r="I958" s="12">
        <v>-591.288215</v>
      </c>
      <c r="J958" s="13">
        <v>-1.891129823</v>
      </c>
      <c r="K958" s="13">
        <v>-1.891129823</v>
      </c>
      <c r="L958" s="12">
        <v>22.99</v>
      </c>
      <c r="M958" s="13">
        <v>0.1119299247</v>
      </c>
      <c r="N958" s="13">
        <v>0.0268884169</v>
      </c>
      <c r="O958" s="13">
        <v>0.2744671596</v>
      </c>
      <c r="P958" s="13">
        <v>1</v>
      </c>
      <c r="Q958" s="13">
        <v>0.5558568847</v>
      </c>
      <c r="R958" s="13">
        <v>1.2650247614</v>
      </c>
      <c r="S958" s="13">
        <v>0</v>
      </c>
      <c r="T958" s="13">
        <v>0.0228360156</v>
      </c>
      <c r="U958" s="13">
        <v>0.0115427743</v>
      </c>
      <c r="V958" s="13">
        <v>-0.3805132666</v>
      </c>
      <c r="W958" s="13">
        <v>0</v>
      </c>
      <c r="X958" s="13">
        <v>0</v>
      </c>
      <c r="Y958" s="13">
        <v>0</v>
      </c>
      <c r="Z958" s="13">
        <v>0.0030971522</v>
      </c>
    </row>
    <row r="959" s="2" customFormat="1" hidden="1" spans="1:26">
      <c r="A959" s="11" t="s">
        <v>935</v>
      </c>
      <c r="B959" s="11" t="s">
        <v>937</v>
      </c>
      <c r="C959" s="14" t="s">
        <v>955</v>
      </c>
      <c r="D959" s="14" t="s">
        <v>938</v>
      </c>
      <c r="E959" s="14" t="s">
        <v>939</v>
      </c>
      <c r="F959" s="3" t="s">
        <v>956</v>
      </c>
      <c r="G959" s="4">
        <v>0</v>
      </c>
      <c r="H959" s="12">
        <v>0</v>
      </c>
      <c r="I959" s="12">
        <v>-628.456008</v>
      </c>
      <c r="J959" s="13"/>
      <c r="K959" s="13"/>
      <c r="L959" s="12"/>
      <c r="M959" s="13"/>
      <c r="N959" s="13"/>
      <c r="O959" s="13"/>
      <c r="P959" s="13"/>
      <c r="Q959" s="13"/>
      <c r="R959" s="13"/>
      <c r="S959" s="13"/>
      <c r="T959" s="13"/>
      <c r="U959" s="13"/>
      <c r="V959" s="13"/>
      <c r="W959" s="13"/>
      <c r="X959" s="13"/>
      <c r="Y959" s="13"/>
      <c r="Z959" s="13"/>
    </row>
    <row r="960" s="2" customFormat="1" hidden="1" spans="1:26">
      <c r="A960" s="11" t="s">
        <v>935</v>
      </c>
      <c r="B960" s="11" t="s">
        <v>937</v>
      </c>
      <c r="C960" s="14" t="s">
        <v>955</v>
      </c>
      <c r="D960" s="14" t="s">
        <v>938</v>
      </c>
      <c r="E960" s="14" t="s">
        <v>939</v>
      </c>
      <c r="F960" s="3" t="s">
        <v>957</v>
      </c>
      <c r="G960" s="4">
        <v>2</v>
      </c>
      <c r="H960" s="12">
        <v>353.464</v>
      </c>
      <c r="I960" s="12">
        <v>8.216966</v>
      </c>
      <c r="J960" s="13">
        <v>0.0232469671</v>
      </c>
      <c r="K960" s="13">
        <v>0.0232469671</v>
      </c>
      <c r="L960" s="12">
        <v>25.99</v>
      </c>
      <c r="M960" s="13">
        <v>0.0990099642</v>
      </c>
      <c r="N960" s="13">
        <v>0.0129907317</v>
      </c>
      <c r="O960" s="13">
        <v>0.2654867256</v>
      </c>
      <c r="P960" s="13">
        <v>0</v>
      </c>
      <c r="Q960" s="13">
        <v>0.4608050126</v>
      </c>
      <c r="R960" s="13">
        <v>0.007726685</v>
      </c>
      <c r="S960" s="13">
        <v>0</v>
      </c>
      <c r="T960" s="13">
        <v>0.1200461716</v>
      </c>
      <c r="U960" s="13">
        <v>0.0102104033</v>
      </c>
      <c r="V960" s="13">
        <v>0</v>
      </c>
      <c r="W960" s="13">
        <v>0</v>
      </c>
      <c r="X960" s="13">
        <v>0</v>
      </c>
      <c r="Y960" s="13">
        <v>0</v>
      </c>
      <c r="Z960" s="13">
        <v>0.0004773385</v>
      </c>
    </row>
    <row r="961" s="2" customFormat="1" hidden="1" spans="1:26">
      <c r="A961" s="11" t="s">
        <v>935</v>
      </c>
      <c r="B961" s="11" t="s">
        <v>937</v>
      </c>
      <c r="C961" s="14" t="s">
        <v>955</v>
      </c>
      <c r="D961" s="14" t="s">
        <v>938</v>
      </c>
      <c r="E961" s="14" t="s">
        <v>939</v>
      </c>
      <c r="F961" s="3" t="s">
        <v>940</v>
      </c>
      <c r="G961" s="4">
        <v>0</v>
      </c>
      <c r="H961" s="12">
        <v>0</v>
      </c>
      <c r="I961" s="12">
        <v>-16.605604</v>
      </c>
      <c r="J961" s="13"/>
      <c r="K961" s="13"/>
      <c r="L961" s="12"/>
      <c r="M961" s="13"/>
      <c r="N961" s="13"/>
      <c r="O961" s="13"/>
      <c r="P961" s="13"/>
      <c r="Q961" s="13"/>
      <c r="R961" s="13"/>
      <c r="S961" s="13"/>
      <c r="T961" s="13"/>
      <c r="U961" s="13"/>
      <c r="V961" s="13"/>
      <c r="W961" s="13"/>
      <c r="X961" s="13"/>
      <c r="Y961" s="13"/>
      <c r="Z961" s="13"/>
    </row>
    <row r="962" s="2" customFormat="1" hidden="1" spans="1:26">
      <c r="A962" s="11" t="s">
        <v>935</v>
      </c>
      <c r="B962" s="11" t="s">
        <v>937</v>
      </c>
      <c r="C962" s="14" t="s">
        <v>955</v>
      </c>
      <c r="D962" s="14" t="s">
        <v>938</v>
      </c>
      <c r="E962" s="14" t="s">
        <v>939</v>
      </c>
      <c r="F962" s="3" t="s">
        <v>941</v>
      </c>
      <c r="G962" s="4">
        <v>1</v>
      </c>
      <c r="H962" s="12">
        <v>15.096</v>
      </c>
      <c r="I962" s="12">
        <v>82.905084</v>
      </c>
      <c r="J962" s="13">
        <v>5.4918577106</v>
      </c>
      <c r="K962" s="13">
        <v>5.4918577106</v>
      </c>
      <c r="L962" s="12">
        <v>2.22</v>
      </c>
      <c r="M962" s="13">
        <v>0</v>
      </c>
      <c r="N962" s="13">
        <v>0</v>
      </c>
      <c r="O962" s="13">
        <v>0</v>
      </c>
      <c r="P962" s="13">
        <v>0</v>
      </c>
      <c r="Q962" s="13">
        <v>1.026115196</v>
      </c>
      <c r="R962" s="13">
        <v>0.0082223767</v>
      </c>
      <c r="S962" s="13">
        <v>0</v>
      </c>
      <c r="T962" s="13">
        <v>0</v>
      </c>
      <c r="U962" s="13">
        <v>0</v>
      </c>
      <c r="V962" s="13">
        <v>-5.5315315315</v>
      </c>
      <c r="W962" s="13">
        <v>0</v>
      </c>
      <c r="X962" s="13">
        <v>0</v>
      </c>
      <c r="Y962" s="13">
        <v>0</v>
      </c>
      <c r="Z962" s="13">
        <v>0.005336248</v>
      </c>
    </row>
    <row r="963" s="2" customFormat="1" hidden="1" spans="1:26">
      <c r="A963" s="11" t="s">
        <v>935</v>
      </c>
      <c r="B963" s="11" t="s">
        <v>937</v>
      </c>
      <c r="C963" s="14" t="s">
        <v>955</v>
      </c>
      <c r="D963" s="14" t="s">
        <v>938</v>
      </c>
      <c r="E963" s="14" t="s">
        <v>939</v>
      </c>
      <c r="F963" s="3" t="s">
        <v>942</v>
      </c>
      <c r="G963" s="4">
        <v>1</v>
      </c>
      <c r="H963" s="12">
        <v>176.732</v>
      </c>
      <c r="I963" s="12">
        <v>114.599833</v>
      </c>
      <c r="J963" s="13">
        <v>0.6484385001</v>
      </c>
      <c r="K963" s="13">
        <v>0.6484385001</v>
      </c>
      <c r="L963" s="12">
        <v>25.99</v>
      </c>
      <c r="M963" s="13">
        <v>0.0990099642</v>
      </c>
      <c r="N963" s="13">
        <v>0.0129907317</v>
      </c>
      <c r="O963" s="13">
        <v>0.2751058099</v>
      </c>
      <c r="P963" s="13">
        <v>0</v>
      </c>
      <c r="Q963" s="13">
        <v>0.0715315902</v>
      </c>
      <c r="R963" s="13">
        <v>0.0055071916</v>
      </c>
      <c r="S963" s="13">
        <v>0</v>
      </c>
      <c r="T963" s="13">
        <v>0.1200461716</v>
      </c>
      <c r="U963" s="13">
        <v>0.0102104033</v>
      </c>
      <c r="V963" s="13">
        <v>-0.2493266641</v>
      </c>
      <c r="W963" s="13">
        <v>0</v>
      </c>
      <c r="X963" s="13">
        <v>0</v>
      </c>
      <c r="Y963" s="13">
        <v>0</v>
      </c>
      <c r="Z963" s="13">
        <v>0.0064863012</v>
      </c>
    </row>
    <row r="964" s="2" customFormat="1" hidden="1" spans="1:26">
      <c r="A964" s="11" t="s">
        <v>935</v>
      </c>
      <c r="B964" s="11" t="s">
        <v>937</v>
      </c>
      <c r="C964" s="14" t="s">
        <v>955</v>
      </c>
      <c r="D964" s="14" t="s">
        <v>938</v>
      </c>
      <c r="E964" s="14" t="s">
        <v>939</v>
      </c>
      <c r="F964" s="3" t="s">
        <v>943</v>
      </c>
      <c r="G964" s="4">
        <v>0</v>
      </c>
      <c r="H964" s="12">
        <v>0</v>
      </c>
      <c r="I964" s="12">
        <v>-8.71488</v>
      </c>
      <c r="J964" s="13"/>
      <c r="K964" s="13"/>
      <c r="L964" s="12"/>
      <c r="M964" s="13"/>
      <c r="N964" s="13"/>
      <c r="O964" s="13"/>
      <c r="P964" s="13"/>
      <c r="Q964" s="13"/>
      <c r="R964" s="13"/>
      <c r="S964" s="13"/>
      <c r="T964" s="13"/>
      <c r="U964" s="13"/>
      <c r="V964" s="13"/>
      <c r="W964" s="13"/>
      <c r="X964" s="13"/>
      <c r="Y964" s="13"/>
      <c r="Z964" s="13"/>
    </row>
    <row r="965" s="2" customFormat="1" spans="1:26">
      <c r="A965" s="11" t="s">
        <v>935</v>
      </c>
      <c r="B965" s="11" t="s">
        <v>937</v>
      </c>
      <c r="C965" s="14" t="s">
        <v>955</v>
      </c>
      <c r="D965" s="14" t="s">
        <v>938</v>
      </c>
      <c r="E965" s="14" t="s">
        <v>939</v>
      </c>
      <c r="F965" s="3" t="s">
        <v>944</v>
      </c>
      <c r="G965" s="4">
        <v>0</v>
      </c>
      <c r="H965" s="12">
        <v>0</v>
      </c>
      <c r="I965" s="12">
        <v>-1650.961147</v>
      </c>
      <c r="J965" s="13"/>
      <c r="K965" s="13"/>
      <c r="L965" s="12"/>
      <c r="M965" s="13"/>
      <c r="N965" s="13"/>
      <c r="O965" s="13"/>
      <c r="P965" s="13"/>
      <c r="Q965" s="13"/>
      <c r="R965" s="13"/>
      <c r="S965" s="13"/>
      <c r="T965" s="13"/>
      <c r="U965" s="13"/>
      <c r="V965" s="13"/>
      <c r="W965" s="13"/>
      <c r="X965" s="13"/>
      <c r="Y965" s="13"/>
      <c r="Z965" s="13"/>
    </row>
    <row r="966" s="2" customFormat="1" hidden="1" spans="1:26">
      <c r="A966" s="11" t="s">
        <v>935</v>
      </c>
      <c r="B966" s="11" t="s">
        <v>937</v>
      </c>
      <c r="C966" s="14" t="s">
        <v>958</v>
      </c>
      <c r="D966" s="14" t="s">
        <v>938</v>
      </c>
      <c r="E966" s="14" t="s">
        <v>939</v>
      </c>
      <c r="F966" s="3" t="s">
        <v>936</v>
      </c>
      <c r="G966" s="4">
        <v>155</v>
      </c>
      <c r="H966" s="12">
        <v>22020.916</v>
      </c>
      <c r="I966" s="12">
        <v>1158.234796</v>
      </c>
      <c r="J966" s="13">
        <v>0.0525970307</v>
      </c>
      <c r="K966" s="13">
        <v>0.0525970307</v>
      </c>
      <c r="L966" s="12">
        <v>20.8927096774</v>
      </c>
      <c r="M966" s="13">
        <v>0.1768089665</v>
      </c>
      <c r="N966" s="13">
        <v>0.0264488643</v>
      </c>
      <c r="O966" s="13">
        <v>0.3079635742</v>
      </c>
      <c r="P966" s="13">
        <v>0.0607219063</v>
      </c>
      <c r="Q966" s="13">
        <v>0.0391955952</v>
      </c>
      <c r="R966" s="13">
        <v>0.2161479919</v>
      </c>
      <c r="S966" s="13">
        <v>0</v>
      </c>
      <c r="T966" s="13">
        <v>0.1098145054</v>
      </c>
      <c r="U966" s="13">
        <v>0.018233424</v>
      </c>
      <c r="V966" s="13">
        <v>-0.0111488186</v>
      </c>
      <c r="W966" s="13">
        <v>0.0022750158</v>
      </c>
      <c r="X966" s="13">
        <v>0</v>
      </c>
      <c r="Y966" s="13">
        <v>0</v>
      </c>
      <c r="Z966" s="13">
        <v>0.0009419436</v>
      </c>
    </row>
    <row r="967" s="2" customFormat="1" hidden="1" spans="1:26">
      <c r="A967" s="11" t="s">
        <v>935</v>
      </c>
      <c r="B967" s="11" t="s">
        <v>937</v>
      </c>
      <c r="C967" s="14" t="s">
        <v>958</v>
      </c>
      <c r="D967" s="14" t="s">
        <v>938</v>
      </c>
      <c r="E967" s="14" t="s">
        <v>939</v>
      </c>
      <c r="F967" s="3" t="s">
        <v>953</v>
      </c>
      <c r="G967" s="4">
        <v>8</v>
      </c>
      <c r="H967" s="12">
        <v>1269.288</v>
      </c>
      <c r="I967" s="12">
        <v>-247.278791</v>
      </c>
      <c r="J967" s="13">
        <v>-0.1948169296</v>
      </c>
      <c r="K967" s="13">
        <v>-0.1948169296</v>
      </c>
      <c r="L967" s="12">
        <v>23.3325</v>
      </c>
      <c r="M967" s="13">
        <v>0.1635980864</v>
      </c>
      <c r="N967" s="13">
        <v>0.0286595004</v>
      </c>
      <c r="O967" s="13">
        <v>0.3012964748</v>
      </c>
      <c r="P967" s="13">
        <v>0.1178077788</v>
      </c>
      <c r="Q967" s="13">
        <v>0.0145292746</v>
      </c>
      <c r="R967" s="13">
        <v>0.4636999466</v>
      </c>
      <c r="S967" s="13">
        <v>0</v>
      </c>
      <c r="T967" s="13">
        <v>0.0820743597</v>
      </c>
      <c r="U967" s="13">
        <v>0.0168710521</v>
      </c>
      <c r="V967" s="13">
        <v>0</v>
      </c>
      <c r="W967" s="13">
        <v>0</v>
      </c>
      <c r="X967" s="13">
        <v>0</v>
      </c>
      <c r="Y967" s="13">
        <v>0</v>
      </c>
      <c r="Z967" s="13">
        <v>0.0062804556</v>
      </c>
    </row>
    <row r="968" s="2" customFormat="1" hidden="1" spans="1:26">
      <c r="A968" s="11" t="s">
        <v>935</v>
      </c>
      <c r="B968" s="11" t="s">
        <v>937</v>
      </c>
      <c r="C968" s="14" t="s">
        <v>958</v>
      </c>
      <c r="D968" s="14" t="s">
        <v>938</v>
      </c>
      <c r="E968" s="14" t="s">
        <v>939</v>
      </c>
      <c r="F968" s="3" t="s">
        <v>956</v>
      </c>
      <c r="G968" s="4">
        <v>39</v>
      </c>
      <c r="H968" s="12">
        <v>5644.34</v>
      </c>
      <c r="I968" s="12">
        <v>-265.129542</v>
      </c>
      <c r="J968" s="13">
        <v>-0.0469726384</v>
      </c>
      <c r="K968" s="13">
        <v>-0.0469726384</v>
      </c>
      <c r="L968" s="12">
        <v>21.2833333333</v>
      </c>
      <c r="M968" s="13">
        <v>0.1793493666</v>
      </c>
      <c r="N968" s="13">
        <v>0.0265702934</v>
      </c>
      <c r="O968" s="13">
        <v>0.3096921872</v>
      </c>
      <c r="P968" s="13">
        <v>0.0544665983</v>
      </c>
      <c r="Q968" s="13">
        <v>0.0962264549</v>
      </c>
      <c r="R968" s="13">
        <v>0.2272530134</v>
      </c>
      <c r="S968" s="13">
        <v>0</v>
      </c>
      <c r="T968" s="13">
        <v>0.1145232214</v>
      </c>
      <c r="U968" s="13">
        <v>0.0184954028</v>
      </c>
      <c r="V968" s="13">
        <v>0</v>
      </c>
      <c r="W968" s="13">
        <v>0.019435765</v>
      </c>
      <c r="X968" s="13">
        <v>0</v>
      </c>
      <c r="Y968" s="13">
        <v>0</v>
      </c>
      <c r="Z968" s="13">
        <v>0.0009603349</v>
      </c>
    </row>
    <row r="969" s="2" customFormat="1" hidden="1" spans="1:26">
      <c r="A969" s="11" t="s">
        <v>935</v>
      </c>
      <c r="B969" s="11" t="s">
        <v>937</v>
      </c>
      <c r="C969" s="14" t="s">
        <v>958</v>
      </c>
      <c r="D969" s="14" t="s">
        <v>938</v>
      </c>
      <c r="E969" s="14" t="s">
        <v>939</v>
      </c>
      <c r="F969" s="3" t="s">
        <v>957</v>
      </c>
      <c r="G969" s="4">
        <v>35</v>
      </c>
      <c r="H969" s="12">
        <v>5007.18</v>
      </c>
      <c r="I969" s="12">
        <v>745.47561</v>
      </c>
      <c r="J969" s="13">
        <v>0.1488813284</v>
      </c>
      <c r="K969" s="13">
        <v>0.1488813284</v>
      </c>
      <c r="L969" s="12">
        <v>21.0385714285</v>
      </c>
      <c r="M969" s="13">
        <v>0.18143591</v>
      </c>
      <c r="N969" s="13">
        <v>0.0268794111</v>
      </c>
      <c r="O969" s="13">
        <v>0.3139947036</v>
      </c>
      <c r="P969" s="13">
        <v>0.0567393223</v>
      </c>
      <c r="Q969" s="13">
        <v>0.0259454447</v>
      </c>
      <c r="R969" s="13">
        <v>0.1276764985</v>
      </c>
      <c r="S969" s="13">
        <v>0</v>
      </c>
      <c r="T969" s="13">
        <v>0.114687309</v>
      </c>
      <c r="U969" s="13">
        <v>0.0187105776</v>
      </c>
      <c r="V969" s="13">
        <v>-0.0096828953</v>
      </c>
      <c r="W969" s="13">
        <v>-0.0059518663</v>
      </c>
      <c r="X969" s="13">
        <v>0</v>
      </c>
      <c r="Y969" s="13">
        <v>0</v>
      </c>
      <c r="Z969" s="13">
        <v>0.0006842562</v>
      </c>
    </row>
    <row r="970" s="2" customFormat="1" hidden="1" spans="1:26">
      <c r="A970" s="11" t="s">
        <v>935</v>
      </c>
      <c r="B970" s="11" t="s">
        <v>937</v>
      </c>
      <c r="C970" s="14" t="s">
        <v>958</v>
      </c>
      <c r="D970" s="14" t="s">
        <v>938</v>
      </c>
      <c r="E970" s="14" t="s">
        <v>939</v>
      </c>
      <c r="F970" s="3" t="s">
        <v>940</v>
      </c>
      <c r="G970" s="4">
        <v>18</v>
      </c>
      <c r="H970" s="12">
        <v>2691.576</v>
      </c>
      <c r="I970" s="12">
        <v>139.560955</v>
      </c>
      <c r="J970" s="13">
        <v>0.0518510177</v>
      </c>
      <c r="K970" s="13">
        <v>0.0518510177</v>
      </c>
      <c r="L970" s="12">
        <v>21.99</v>
      </c>
      <c r="M970" s="13">
        <v>0.1735858277</v>
      </c>
      <c r="N970" s="13">
        <v>0.0257164352</v>
      </c>
      <c r="O970" s="13">
        <v>0.2969531605</v>
      </c>
      <c r="P970" s="13">
        <v>0.1111111111</v>
      </c>
      <c r="Q970" s="13">
        <v>0.018828344</v>
      </c>
      <c r="R970" s="13">
        <v>0.2405459124</v>
      </c>
      <c r="S970" s="13">
        <v>0</v>
      </c>
      <c r="T970" s="13">
        <v>0.1037845485</v>
      </c>
      <c r="U970" s="13">
        <v>0.0179010379</v>
      </c>
      <c r="V970" s="13">
        <v>-0.0295841544</v>
      </c>
      <c r="W970" s="13">
        <v>-0.0110723479</v>
      </c>
      <c r="X970" s="13">
        <v>0</v>
      </c>
      <c r="Y970" s="13">
        <v>0</v>
      </c>
      <c r="Z970" s="13">
        <v>0.0003791068</v>
      </c>
    </row>
    <row r="971" s="2" customFormat="1" hidden="1" spans="1:26">
      <c r="A971" s="11" t="s">
        <v>935</v>
      </c>
      <c r="B971" s="11" t="s">
        <v>937</v>
      </c>
      <c r="C971" s="14" t="s">
        <v>958</v>
      </c>
      <c r="D971" s="14" t="s">
        <v>938</v>
      </c>
      <c r="E971" s="14" t="s">
        <v>939</v>
      </c>
      <c r="F971" s="3" t="s">
        <v>941</v>
      </c>
      <c r="G971" s="4">
        <v>21</v>
      </c>
      <c r="H971" s="12">
        <v>2435.964</v>
      </c>
      <c r="I971" s="12">
        <v>478.677951</v>
      </c>
      <c r="J971" s="13">
        <v>0.1965045259</v>
      </c>
      <c r="K971" s="13">
        <v>0.1965045259</v>
      </c>
      <c r="L971" s="12">
        <v>17.0585714285</v>
      </c>
      <c r="M971" s="13">
        <v>0.1704894555</v>
      </c>
      <c r="N971" s="13">
        <v>0.0252577131</v>
      </c>
      <c r="O971" s="13">
        <v>0.2942243809</v>
      </c>
      <c r="P971" s="13">
        <v>0</v>
      </c>
      <c r="Q971" s="13">
        <v>0.0182684148</v>
      </c>
      <c r="R971" s="13">
        <v>0.1596467825</v>
      </c>
      <c r="S971" s="13">
        <v>0</v>
      </c>
      <c r="T971" s="13">
        <v>0.1096223096</v>
      </c>
      <c r="U971" s="13">
        <v>0.0175817245</v>
      </c>
      <c r="V971" s="13">
        <v>0.0075370571</v>
      </c>
      <c r="W971" s="13">
        <v>0</v>
      </c>
      <c r="X971" s="13">
        <v>0</v>
      </c>
      <c r="Y971" s="13">
        <v>0</v>
      </c>
      <c r="Z971" s="13">
        <v>0.0008676355</v>
      </c>
    </row>
    <row r="972" s="2" customFormat="1" hidden="1" spans="1:26">
      <c r="A972" s="11" t="s">
        <v>935</v>
      </c>
      <c r="B972" s="11" t="s">
        <v>937</v>
      </c>
      <c r="C972" s="14" t="s">
        <v>958</v>
      </c>
      <c r="D972" s="14" t="s">
        <v>938</v>
      </c>
      <c r="E972" s="14" t="s">
        <v>939</v>
      </c>
      <c r="F972" s="3" t="s">
        <v>942</v>
      </c>
      <c r="G972" s="4">
        <v>0</v>
      </c>
      <c r="H972" s="12">
        <v>0</v>
      </c>
      <c r="I972" s="12">
        <v>88.422447</v>
      </c>
      <c r="J972" s="13"/>
      <c r="K972" s="13"/>
      <c r="L972" s="12"/>
      <c r="M972" s="13"/>
      <c r="N972" s="13"/>
      <c r="O972" s="13"/>
      <c r="P972" s="13"/>
      <c r="Q972" s="13"/>
      <c r="R972" s="13"/>
      <c r="S972" s="13"/>
      <c r="T972" s="13"/>
      <c r="U972" s="13"/>
      <c r="V972" s="13"/>
      <c r="W972" s="13"/>
      <c r="X972" s="13"/>
      <c r="Y972" s="13"/>
      <c r="Z972" s="13"/>
    </row>
    <row r="973" s="2" customFormat="1" hidden="1" spans="1:26">
      <c r="A973" s="11" t="s">
        <v>935</v>
      </c>
      <c r="B973" s="11" t="s">
        <v>937</v>
      </c>
      <c r="C973" s="14" t="s">
        <v>958</v>
      </c>
      <c r="D973" s="14" t="s">
        <v>938</v>
      </c>
      <c r="E973" s="14" t="s">
        <v>939</v>
      </c>
      <c r="F973" s="3" t="s">
        <v>943</v>
      </c>
      <c r="G973" s="4">
        <v>3</v>
      </c>
      <c r="H973" s="12">
        <v>468.996</v>
      </c>
      <c r="I973" s="12">
        <v>126.406487</v>
      </c>
      <c r="J973" s="13">
        <v>0.2695257251</v>
      </c>
      <c r="K973" s="13">
        <v>0.2695257251</v>
      </c>
      <c r="L973" s="12">
        <v>22.99</v>
      </c>
      <c r="M973" s="13">
        <v>0.166035335</v>
      </c>
      <c r="N973" s="13">
        <v>0.024597843</v>
      </c>
      <c r="O973" s="13">
        <v>0.2940408873</v>
      </c>
      <c r="P973" s="13">
        <v>0</v>
      </c>
      <c r="Q973" s="13">
        <v>0.0082115817</v>
      </c>
      <c r="R973" s="13">
        <v>0.298593941</v>
      </c>
      <c r="S973" s="13">
        <v>0</v>
      </c>
      <c r="T973" s="13">
        <v>0.1078729882</v>
      </c>
      <c r="U973" s="13">
        <v>0.0171223933</v>
      </c>
      <c r="V973" s="13">
        <v>-0.1860809047</v>
      </c>
      <c r="W973" s="13">
        <v>0</v>
      </c>
      <c r="X973" s="13">
        <v>0</v>
      </c>
      <c r="Y973" s="13">
        <v>0</v>
      </c>
      <c r="Z973" s="13">
        <v>8.02096e-5</v>
      </c>
    </row>
    <row r="974" s="2" customFormat="1" spans="1:26">
      <c r="A974" s="11" t="s">
        <v>935</v>
      </c>
      <c r="B974" s="11" t="s">
        <v>937</v>
      </c>
      <c r="C974" s="14" t="s">
        <v>958</v>
      </c>
      <c r="D974" s="14" t="s">
        <v>938</v>
      </c>
      <c r="E974" s="14" t="s">
        <v>939</v>
      </c>
      <c r="F974" s="3" t="s">
        <v>944</v>
      </c>
      <c r="G974" s="4">
        <v>30</v>
      </c>
      <c r="H974" s="12">
        <v>4362.88</v>
      </c>
      <c r="I974" s="12">
        <v>111.833902</v>
      </c>
      <c r="J974" s="13">
        <v>0.0256330456</v>
      </c>
      <c r="K974" s="13">
        <v>0.0256330456</v>
      </c>
      <c r="L974" s="12">
        <v>21.3866666666</v>
      </c>
      <c r="M974" s="13">
        <v>0.1784828097</v>
      </c>
      <c r="N974" s="13">
        <v>0.0264419145</v>
      </c>
      <c r="O974" s="13">
        <v>0.316100374</v>
      </c>
      <c r="P974" s="13">
        <v>0.0680798004</v>
      </c>
      <c r="Q974" s="13">
        <v>0.0146576309</v>
      </c>
      <c r="R974" s="13">
        <v>0.231000332</v>
      </c>
      <c r="S974" s="13">
        <v>0</v>
      </c>
      <c r="T974" s="13">
        <v>0.1099127182</v>
      </c>
      <c r="U974" s="13">
        <v>0.0184060391</v>
      </c>
      <c r="V974" s="13">
        <v>0.0111128428</v>
      </c>
      <c r="W974" s="13">
        <v>0</v>
      </c>
      <c r="X974" s="13">
        <v>0</v>
      </c>
      <c r="Y974" s="13">
        <v>0</v>
      </c>
      <c r="Z974" s="13">
        <v>0.0001724922</v>
      </c>
    </row>
    <row r="975" s="2" customFormat="1" hidden="1" spans="1:26">
      <c r="A975" s="11" t="s">
        <v>935</v>
      </c>
      <c r="B975" s="11" t="s">
        <v>937</v>
      </c>
      <c r="C975" s="14" t="s">
        <v>958</v>
      </c>
      <c r="D975" s="14" t="s">
        <v>938</v>
      </c>
      <c r="E975" s="14" t="s">
        <v>939</v>
      </c>
      <c r="F975" s="3" t="s">
        <v>945</v>
      </c>
      <c r="G975" s="4">
        <v>1</v>
      </c>
      <c r="H975" s="12">
        <v>140.692</v>
      </c>
      <c r="I975" s="12">
        <v>-19.734223</v>
      </c>
      <c r="J975" s="13">
        <v>-0.1402654237</v>
      </c>
      <c r="K975" s="13">
        <v>-0.1402654237</v>
      </c>
      <c r="L975" s="12">
        <v>20.69</v>
      </c>
      <c r="M975" s="13">
        <v>0.1844926221</v>
      </c>
      <c r="N975" s="13">
        <v>0.0273322576</v>
      </c>
      <c r="O975" s="13">
        <v>0.3267278878</v>
      </c>
      <c r="P975" s="13">
        <v>0</v>
      </c>
      <c r="Q975" s="13">
        <v>0.0007632203</v>
      </c>
      <c r="R975" s="13">
        <v>0.4620589656</v>
      </c>
      <c r="S975" s="13">
        <v>0</v>
      </c>
      <c r="T975" s="13">
        <v>0.1198646689</v>
      </c>
      <c r="U975" s="13">
        <v>0.019025801</v>
      </c>
      <c r="V975" s="13">
        <v>0</v>
      </c>
      <c r="W975" s="13">
        <v>0</v>
      </c>
      <c r="X975" s="13">
        <v>0</v>
      </c>
      <c r="Y975" s="13">
        <v>0</v>
      </c>
      <c r="Z975" s="13">
        <v>0</v>
      </c>
    </row>
    <row r="976" s="2" customFormat="1" hidden="1" spans="1:26">
      <c r="A976" s="11" t="s">
        <v>935</v>
      </c>
      <c r="B976" s="11" t="s">
        <v>937</v>
      </c>
      <c r="C976" s="14" t="s">
        <v>959</v>
      </c>
      <c r="D976" s="14" t="s">
        <v>938</v>
      </c>
      <c r="E976" s="14" t="s">
        <v>939</v>
      </c>
      <c r="F976" s="3" t="s">
        <v>936</v>
      </c>
      <c r="G976" s="4">
        <v>220</v>
      </c>
      <c r="H976" s="12">
        <v>35483.624</v>
      </c>
      <c r="I976" s="12">
        <v>5174.631074</v>
      </c>
      <c r="J976" s="13">
        <v>0.145831527</v>
      </c>
      <c r="K976" s="13">
        <v>0.145831527</v>
      </c>
      <c r="L976" s="12">
        <v>23.719</v>
      </c>
      <c r="M976" s="13">
        <v>0.173474796</v>
      </c>
      <c r="N976" s="13">
        <v>0.0339796222</v>
      </c>
      <c r="O976" s="13">
        <v>0.3024675269</v>
      </c>
      <c r="P976" s="13">
        <v>0.0285425186</v>
      </c>
      <c r="Q976" s="13">
        <v>0.0341616717</v>
      </c>
      <c r="R976" s="13">
        <v>0.1767949321</v>
      </c>
      <c r="S976" s="13">
        <v>0</v>
      </c>
      <c r="T976" s="13">
        <v>0.1132712938</v>
      </c>
      <c r="U976" s="13">
        <v>0.0178895914</v>
      </c>
      <c r="V976" s="13">
        <v>-0.0267806016</v>
      </c>
      <c r="W976" s="13">
        <v>-0.0009589785</v>
      </c>
      <c r="X976" s="13">
        <v>0</v>
      </c>
      <c r="Y976" s="13">
        <v>0</v>
      </c>
      <c r="Z976" s="13">
        <v>0.0013260998</v>
      </c>
    </row>
    <row r="977" s="2" customFormat="1" hidden="1" spans="1:26">
      <c r="A977" s="11" t="s">
        <v>935</v>
      </c>
      <c r="B977" s="11" t="s">
        <v>937</v>
      </c>
      <c r="C977" s="14" t="s">
        <v>959</v>
      </c>
      <c r="D977" s="14" t="s">
        <v>938</v>
      </c>
      <c r="E977" s="14" t="s">
        <v>939</v>
      </c>
      <c r="F977" s="3" t="s">
        <v>960</v>
      </c>
      <c r="G977" s="4">
        <v>8</v>
      </c>
      <c r="H977" s="12">
        <v>1332.256</v>
      </c>
      <c r="I977" s="12">
        <v>-162.14513</v>
      </c>
      <c r="J977" s="13">
        <v>-0.1217071869</v>
      </c>
      <c r="K977" s="13">
        <v>-0.1217071869</v>
      </c>
      <c r="L977" s="12">
        <v>24.49</v>
      </c>
      <c r="M977" s="13">
        <v>0.1780411992</v>
      </c>
      <c r="N977" s="13">
        <v>0.0349486164</v>
      </c>
      <c r="O977" s="13">
        <v>0.2923642302</v>
      </c>
      <c r="P977" s="13">
        <v>0</v>
      </c>
      <c r="Q977" s="13">
        <v>0.0190281402</v>
      </c>
      <c r="R977" s="13">
        <v>0.4628846294</v>
      </c>
      <c r="S977" s="13">
        <v>0</v>
      </c>
      <c r="T977" s="13">
        <v>0.1156084115</v>
      </c>
      <c r="U977" s="13">
        <v>0.0183605012</v>
      </c>
      <c r="V977" s="13">
        <v>0</v>
      </c>
      <c r="W977" s="13">
        <v>0</v>
      </c>
      <c r="X977" s="13">
        <v>0</v>
      </c>
      <c r="Y977" s="13">
        <v>0</v>
      </c>
      <c r="Z977" s="13">
        <v>0.0004714581</v>
      </c>
    </row>
    <row r="978" s="2" customFormat="1" hidden="1" spans="1:26">
      <c r="A978" s="11" t="s">
        <v>935</v>
      </c>
      <c r="B978" s="11" t="s">
        <v>937</v>
      </c>
      <c r="C978" s="14" t="s">
        <v>959</v>
      </c>
      <c r="D978" s="14" t="s">
        <v>938</v>
      </c>
      <c r="E978" s="14" t="s">
        <v>939</v>
      </c>
      <c r="F978" s="3" t="s">
        <v>961</v>
      </c>
      <c r="G978" s="4">
        <v>48</v>
      </c>
      <c r="H978" s="12">
        <v>7911.936</v>
      </c>
      <c r="I978" s="12">
        <v>1452.02733</v>
      </c>
      <c r="J978" s="13">
        <v>0.1835236445</v>
      </c>
      <c r="K978" s="13">
        <v>0.1835236445</v>
      </c>
      <c r="L978" s="12">
        <v>24.24</v>
      </c>
      <c r="M978" s="13">
        <v>0.1798774327</v>
      </c>
      <c r="N978" s="13">
        <v>0.0349247536</v>
      </c>
      <c r="O978" s="13">
        <v>0.3018770627</v>
      </c>
      <c r="P978" s="13">
        <v>0.042955858</v>
      </c>
      <c r="Q978" s="13">
        <v>0.023617512</v>
      </c>
      <c r="R978" s="13">
        <v>0.183019507</v>
      </c>
      <c r="S978" s="13">
        <v>0</v>
      </c>
      <c r="T978" s="13">
        <v>0.1096414328</v>
      </c>
      <c r="U978" s="13">
        <v>0.0185498628</v>
      </c>
      <c r="V978" s="13">
        <v>-0.0788331958</v>
      </c>
      <c r="W978" s="13">
        <v>0</v>
      </c>
      <c r="X978" s="13">
        <v>0</v>
      </c>
      <c r="Y978" s="13">
        <v>0</v>
      </c>
      <c r="Z978" s="13">
        <v>0.000846129</v>
      </c>
    </row>
    <row r="979" s="2" customFormat="1" hidden="1" spans="1:26">
      <c r="A979" s="11" t="s">
        <v>935</v>
      </c>
      <c r="B979" s="11" t="s">
        <v>937</v>
      </c>
      <c r="C979" s="14" t="s">
        <v>959</v>
      </c>
      <c r="D979" s="14" t="s">
        <v>938</v>
      </c>
      <c r="E979" s="14" t="s">
        <v>939</v>
      </c>
      <c r="F979" s="3" t="s">
        <v>947</v>
      </c>
      <c r="G979" s="4">
        <v>34</v>
      </c>
      <c r="H979" s="12">
        <v>5614.556</v>
      </c>
      <c r="I979" s="12">
        <v>569.251124</v>
      </c>
      <c r="J979" s="13">
        <v>0.1013884488</v>
      </c>
      <c r="K979" s="13">
        <v>0.1013884488</v>
      </c>
      <c r="L979" s="12">
        <v>24.2844117647</v>
      </c>
      <c r="M979" s="13">
        <v>0.171202272</v>
      </c>
      <c r="N979" s="13">
        <v>0.0348608826</v>
      </c>
      <c r="O979" s="13">
        <v>0.3077500696</v>
      </c>
      <c r="P979" s="13">
        <v>0</v>
      </c>
      <c r="Q979" s="13">
        <v>0.0643684316</v>
      </c>
      <c r="R979" s="13">
        <v>0.1573858216</v>
      </c>
      <c r="S979" s="13">
        <v>0</v>
      </c>
      <c r="T979" s="13">
        <v>0.120047961</v>
      </c>
      <c r="U979" s="13">
        <v>0.0176552375</v>
      </c>
      <c r="V979" s="13">
        <v>0.0241500841</v>
      </c>
      <c r="W979" s="13">
        <v>0</v>
      </c>
      <c r="X979" s="13">
        <v>0</v>
      </c>
      <c r="Y979" s="13">
        <v>0</v>
      </c>
      <c r="Z979" s="13">
        <v>0.0011907906</v>
      </c>
    </row>
    <row r="980" s="2" customFormat="1" hidden="1" spans="1:26">
      <c r="A980" s="11" t="s">
        <v>935</v>
      </c>
      <c r="B980" s="11" t="s">
        <v>937</v>
      </c>
      <c r="C980" s="14" t="s">
        <v>959</v>
      </c>
      <c r="D980" s="14" t="s">
        <v>938</v>
      </c>
      <c r="E980" s="14" t="s">
        <v>939</v>
      </c>
      <c r="F980" s="3" t="s">
        <v>953</v>
      </c>
      <c r="G980" s="4">
        <v>17</v>
      </c>
      <c r="H980" s="12">
        <v>2647.444</v>
      </c>
      <c r="I980" s="12">
        <v>341.702142</v>
      </c>
      <c r="J980" s="13">
        <v>0.1290686949</v>
      </c>
      <c r="K980" s="13">
        <v>0.1290686949</v>
      </c>
      <c r="L980" s="12">
        <v>22.9017647058</v>
      </c>
      <c r="M980" s="13">
        <v>0.181538258</v>
      </c>
      <c r="N980" s="13">
        <v>0.0369655369</v>
      </c>
      <c r="O980" s="13">
        <v>0.336218632</v>
      </c>
      <c r="P980" s="13">
        <v>0.0641871933</v>
      </c>
      <c r="Q980" s="13">
        <v>0.0495848875</v>
      </c>
      <c r="R980" s="13">
        <v>0.1347191408</v>
      </c>
      <c r="S980" s="13">
        <v>0</v>
      </c>
      <c r="T980" s="13">
        <v>0.1138879613</v>
      </c>
      <c r="U980" s="13">
        <v>0.0187211363</v>
      </c>
      <c r="V980" s="13">
        <v>-0.0679885957</v>
      </c>
      <c r="W980" s="13">
        <v>0</v>
      </c>
      <c r="X980" s="13">
        <v>0</v>
      </c>
      <c r="Y980" s="13">
        <v>0</v>
      </c>
      <c r="Z980" s="13">
        <v>0.0030971544</v>
      </c>
    </row>
    <row r="981" s="2" customFormat="1" hidden="1" spans="1:26">
      <c r="A981" s="11" t="s">
        <v>935</v>
      </c>
      <c r="B981" s="11" t="s">
        <v>937</v>
      </c>
      <c r="C981" s="14" t="s">
        <v>959</v>
      </c>
      <c r="D981" s="14" t="s">
        <v>938</v>
      </c>
      <c r="E981" s="14" t="s">
        <v>939</v>
      </c>
      <c r="F981" s="3" t="s">
        <v>956</v>
      </c>
      <c r="G981" s="4">
        <v>18</v>
      </c>
      <c r="H981" s="12">
        <v>3013.964</v>
      </c>
      <c r="I981" s="12">
        <v>730.501374</v>
      </c>
      <c r="J981" s="13">
        <v>0.2423722957</v>
      </c>
      <c r="K981" s="13">
        <v>0.2423722957</v>
      </c>
      <c r="L981" s="12">
        <v>24.6238888888</v>
      </c>
      <c r="M981" s="13">
        <v>0.159461882</v>
      </c>
      <c r="N981" s="13">
        <v>0.0324702581</v>
      </c>
      <c r="O981" s="13">
        <v>0.2898043904</v>
      </c>
      <c r="P981" s="13">
        <v>0.0586377275</v>
      </c>
      <c r="Q981" s="13">
        <v>0.0497009058</v>
      </c>
      <c r="R981" s="13">
        <v>0.0870494455</v>
      </c>
      <c r="S981" s="13">
        <v>0</v>
      </c>
      <c r="T981" s="13">
        <v>0.1140265776</v>
      </c>
      <c r="U981" s="13">
        <v>0.0164445096</v>
      </c>
      <c r="V981" s="13">
        <v>-0.0392256841</v>
      </c>
      <c r="W981" s="13">
        <v>-0.0112901258</v>
      </c>
      <c r="X981" s="13">
        <v>0</v>
      </c>
      <c r="Y981" s="13">
        <v>0</v>
      </c>
      <c r="Z981" s="13">
        <v>0.0005478174</v>
      </c>
    </row>
    <row r="982" s="2" customFormat="1" hidden="1" spans="1:26">
      <c r="A982" s="11" t="s">
        <v>935</v>
      </c>
      <c r="B982" s="11" t="s">
        <v>937</v>
      </c>
      <c r="C982" s="14" t="s">
        <v>959</v>
      </c>
      <c r="D982" s="14" t="s">
        <v>938</v>
      </c>
      <c r="E982" s="14" t="s">
        <v>939</v>
      </c>
      <c r="F982" s="3" t="s">
        <v>957</v>
      </c>
      <c r="G982" s="4">
        <v>32</v>
      </c>
      <c r="H982" s="12">
        <v>5288.224</v>
      </c>
      <c r="I982" s="12">
        <v>897.249687</v>
      </c>
      <c r="J982" s="13">
        <v>0.1696693799</v>
      </c>
      <c r="K982" s="13">
        <v>0.1696693799</v>
      </c>
      <c r="L982" s="12">
        <v>24.3025</v>
      </c>
      <c r="M982" s="13">
        <v>0.171074847</v>
      </c>
      <c r="N982" s="13">
        <v>0.0325289821</v>
      </c>
      <c r="O982" s="13">
        <v>0.2966772965</v>
      </c>
      <c r="P982" s="13">
        <v>0</v>
      </c>
      <c r="Q982" s="13">
        <v>0.028605434</v>
      </c>
      <c r="R982" s="13">
        <v>0.1553066789</v>
      </c>
      <c r="S982" s="13">
        <v>0</v>
      </c>
      <c r="T982" s="13">
        <v>0.1200493776</v>
      </c>
      <c r="U982" s="13">
        <v>0.0176420968</v>
      </c>
      <c r="V982" s="13">
        <v>0.0079685731</v>
      </c>
      <c r="W982" s="13">
        <v>0</v>
      </c>
      <c r="X982" s="13">
        <v>0</v>
      </c>
      <c r="Y982" s="13">
        <v>0</v>
      </c>
      <c r="Z982" s="13">
        <v>0.0004773336</v>
      </c>
    </row>
    <row r="983" s="2" customFormat="1" hidden="1" spans="1:26">
      <c r="A983" s="11" t="s">
        <v>935</v>
      </c>
      <c r="B983" s="11" t="s">
        <v>937</v>
      </c>
      <c r="C983" s="14" t="s">
        <v>959</v>
      </c>
      <c r="D983" s="14" t="s">
        <v>938</v>
      </c>
      <c r="E983" s="14" t="s">
        <v>939</v>
      </c>
      <c r="F983" s="3" t="s">
        <v>940</v>
      </c>
      <c r="G983" s="4">
        <v>38</v>
      </c>
      <c r="H983" s="12">
        <v>6199.016</v>
      </c>
      <c r="I983" s="12">
        <v>679.178045</v>
      </c>
      <c r="J983" s="13">
        <v>0.1095622345</v>
      </c>
      <c r="K983" s="13">
        <v>0.1095622345</v>
      </c>
      <c r="L983" s="12">
        <v>23.99</v>
      </c>
      <c r="M983" s="13">
        <v>0.1733033126</v>
      </c>
      <c r="N983" s="13">
        <v>0.0331809822</v>
      </c>
      <c r="O983" s="13">
        <v>0.3005418924</v>
      </c>
      <c r="P983" s="13">
        <v>0.0263157894</v>
      </c>
      <c r="Q983" s="13">
        <v>0.0203410594</v>
      </c>
      <c r="R983" s="13">
        <v>0.2195199105</v>
      </c>
      <c r="S983" s="13">
        <v>0</v>
      </c>
      <c r="T983" s="13">
        <v>0.1099580965</v>
      </c>
      <c r="U983" s="13">
        <v>0.0178719074</v>
      </c>
      <c r="V983" s="13">
        <v>-0.0109365744</v>
      </c>
      <c r="W983" s="13">
        <v>0</v>
      </c>
      <c r="X983" s="13">
        <v>0</v>
      </c>
      <c r="Y983" s="13">
        <v>0</v>
      </c>
      <c r="Z983" s="13">
        <v>0.000341389</v>
      </c>
    </row>
    <row r="984" s="2" customFormat="1" hidden="1" spans="1:26">
      <c r="A984" s="11" t="s">
        <v>935</v>
      </c>
      <c r="B984" s="11" t="s">
        <v>937</v>
      </c>
      <c r="C984" s="14" t="s">
        <v>959</v>
      </c>
      <c r="D984" s="14" t="s">
        <v>938</v>
      </c>
      <c r="E984" s="14" t="s">
        <v>939</v>
      </c>
      <c r="F984" s="3" t="s">
        <v>941</v>
      </c>
      <c r="G984" s="4">
        <v>25</v>
      </c>
      <c r="H984" s="12">
        <v>3476.228</v>
      </c>
      <c r="I984" s="12">
        <v>522.323641</v>
      </c>
      <c r="J984" s="13">
        <v>0.1502558638</v>
      </c>
      <c r="K984" s="13">
        <v>0.1502558638</v>
      </c>
      <c r="L984" s="12">
        <v>20.4484</v>
      </c>
      <c r="M984" s="13">
        <v>0.1707878873</v>
      </c>
      <c r="N984" s="13">
        <v>0.0326993741</v>
      </c>
      <c r="O984" s="13">
        <v>0.296668688</v>
      </c>
      <c r="P984" s="13">
        <v>0.0469278769</v>
      </c>
      <c r="Q984" s="13">
        <v>0.019928257</v>
      </c>
      <c r="R984" s="13">
        <v>0.150687676</v>
      </c>
      <c r="S984" s="13">
        <v>0</v>
      </c>
      <c r="T984" s="13">
        <v>0.104164629</v>
      </c>
      <c r="U984" s="13">
        <v>0.0176125041</v>
      </c>
      <c r="V984" s="13">
        <v>0.004929481</v>
      </c>
      <c r="W984" s="13">
        <v>0</v>
      </c>
      <c r="X984" s="13">
        <v>0</v>
      </c>
      <c r="Y984" s="13">
        <v>0</v>
      </c>
      <c r="Z984" s="13">
        <v>0.0053377623</v>
      </c>
    </row>
    <row r="985" s="2" customFormat="1" hidden="1" spans="1:26">
      <c r="A985" s="11" t="s">
        <v>935</v>
      </c>
      <c r="B985" s="11" t="s">
        <v>937</v>
      </c>
      <c r="C985" s="14" t="s">
        <v>959</v>
      </c>
      <c r="D985" s="14" t="s">
        <v>938</v>
      </c>
      <c r="E985" s="14" t="s">
        <v>939</v>
      </c>
      <c r="F985" s="3" t="s">
        <v>942</v>
      </c>
      <c r="G985" s="4">
        <v>0</v>
      </c>
      <c r="H985" s="12">
        <v>0</v>
      </c>
      <c r="I985" s="12">
        <v>85.708557</v>
      </c>
      <c r="J985" s="13"/>
      <c r="K985" s="13"/>
      <c r="L985" s="12"/>
      <c r="M985" s="13"/>
      <c r="N985" s="13"/>
      <c r="O985" s="13"/>
      <c r="P985" s="13"/>
      <c r="Q985" s="13"/>
      <c r="R985" s="13"/>
      <c r="S985" s="13"/>
      <c r="T985" s="13"/>
      <c r="U985" s="13"/>
      <c r="V985" s="13"/>
      <c r="W985" s="13"/>
      <c r="X985" s="13"/>
      <c r="Y985" s="13"/>
      <c r="Z985" s="13"/>
    </row>
    <row r="986" s="2" customFormat="1" hidden="1" spans="1:26">
      <c r="A986" s="11" t="s">
        <v>935</v>
      </c>
      <c r="B986" s="11" t="s">
        <v>937</v>
      </c>
      <c r="C986" s="14" t="s">
        <v>959</v>
      </c>
      <c r="D986" s="14" t="s">
        <v>938</v>
      </c>
      <c r="E986" s="14" t="s">
        <v>939</v>
      </c>
      <c r="F986" s="3" t="s">
        <v>943</v>
      </c>
      <c r="G986" s="4">
        <v>0</v>
      </c>
      <c r="H986" s="12">
        <v>0</v>
      </c>
      <c r="I986" s="12">
        <v>59.41977</v>
      </c>
      <c r="J986" s="13"/>
      <c r="K986" s="13"/>
      <c r="L986" s="12"/>
      <c r="M986" s="13"/>
      <c r="N986" s="13"/>
      <c r="O986" s="13"/>
      <c r="P986" s="13"/>
      <c r="Q986" s="13"/>
      <c r="R986" s="13"/>
      <c r="S986" s="13"/>
      <c r="T986" s="13"/>
      <c r="U986" s="13"/>
      <c r="V986" s="13"/>
      <c r="W986" s="13"/>
      <c r="X986" s="13"/>
      <c r="Y986" s="13"/>
      <c r="Z986" s="13"/>
    </row>
    <row r="987" s="2" customFormat="1" spans="1:26">
      <c r="A987" s="11" t="s">
        <v>935</v>
      </c>
      <c r="B987" s="11" t="s">
        <v>937</v>
      </c>
      <c r="C987" s="14" t="s">
        <v>959</v>
      </c>
      <c r="D987" s="14" t="s">
        <v>938</v>
      </c>
      <c r="E987" s="14" t="s">
        <v>939</v>
      </c>
      <c r="F987" s="3" t="s">
        <v>944</v>
      </c>
      <c r="G987" s="4">
        <v>0</v>
      </c>
      <c r="H987" s="12">
        <v>0</v>
      </c>
      <c r="I987" s="12">
        <v>-0.585466</v>
      </c>
      <c r="J987" s="13"/>
      <c r="K987" s="13"/>
      <c r="L987" s="12"/>
      <c r="M987" s="13"/>
      <c r="N987" s="13"/>
      <c r="O987" s="13"/>
      <c r="P987" s="13"/>
      <c r="Q987" s="13"/>
      <c r="R987" s="13"/>
      <c r="S987" s="13"/>
      <c r="T987" s="13"/>
      <c r="U987" s="13"/>
      <c r="V987" s="13"/>
      <c r="W987" s="13"/>
      <c r="X987" s="13"/>
      <c r="Y987" s="13"/>
      <c r="Z987" s="13"/>
    </row>
    <row r="988" s="2" customFormat="1" hidden="1" spans="1:26">
      <c r="A988" s="11" t="s">
        <v>935</v>
      </c>
      <c r="B988" s="11" t="s">
        <v>937</v>
      </c>
      <c r="C988" s="14" t="s">
        <v>962</v>
      </c>
      <c r="D988" s="14" t="s">
        <v>938</v>
      </c>
      <c r="E988" s="14" t="s">
        <v>939</v>
      </c>
      <c r="F988" s="3" t="s">
        <v>936</v>
      </c>
      <c r="G988" s="4">
        <v>401</v>
      </c>
      <c r="H988" s="12">
        <v>61132.408</v>
      </c>
      <c r="I988" s="12">
        <v>11018.197872</v>
      </c>
      <c r="J988" s="13">
        <v>0.1802349724</v>
      </c>
      <c r="K988" s="13">
        <v>0.1802349724</v>
      </c>
      <c r="L988" s="12">
        <v>22.4191022443</v>
      </c>
      <c r="M988" s="13">
        <v>0.1473668173</v>
      </c>
      <c r="N988" s="13">
        <v>0.0252156418</v>
      </c>
      <c r="O988" s="13">
        <v>0.3115151623</v>
      </c>
      <c r="P988" s="13">
        <v>0.036357933</v>
      </c>
      <c r="Q988" s="13">
        <v>0.0305515915</v>
      </c>
      <c r="R988" s="13">
        <v>0.1541429158</v>
      </c>
      <c r="S988" s="13">
        <v>0</v>
      </c>
      <c r="T988" s="13">
        <v>0.1144408379</v>
      </c>
      <c r="U988" s="13">
        <v>0.0151972068</v>
      </c>
      <c r="V988" s="13">
        <v>-0.0184551604</v>
      </c>
      <c r="W988" s="13">
        <v>-0.0025675115</v>
      </c>
      <c r="X988" s="13">
        <v>0.0007575032</v>
      </c>
      <c r="Y988" s="13">
        <v>0</v>
      </c>
      <c r="Z988" s="13">
        <v>0.0052420894</v>
      </c>
    </row>
    <row r="989" s="2" customFormat="1" hidden="1" spans="1:26">
      <c r="A989" s="11" t="s">
        <v>935</v>
      </c>
      <c r="B989" s="11" t="s">
        <v>937</v>
      </c>
      <c r="C989" s="14" t="s">
        <v>962</v>
      </c>
      <c r="D989" s="14" t="s">
        <v>938</v>
      </c>
      <c r="E989" s="14" t="s">
        <v>939</v>
      </c>
      <c r="F989" s="3" t="s">
        <v>947</v>
      </c>
      <c r="G989" s="4">
        <v>0</v>
      </c>
      <c r="H989" s="12">
        <v>0</v>
      </c>
      <c r="I989" s="12">
        <v>-58.14</v>
      </c>
      <c r="J989" s="13"/>
      <c r="K989" s="13"/>
      <c r="L989" s="12"/>
      <c r="M989" s="13"/>
      <c r="N989" s="13"/>
      <c r="O989" s="13"/>
      <c r="P989" s="13"/>
      <c r="Q989" s="13"/>
      <c r="R989" s="13"/>
      <c r="S989" s="13"/>
      <c r="T989" s="13"/>
      <c r="U989" s="13"/>
      <c r="V989" s="13"/>
      <c r="W989" s="13"/>
      <c r="X989" s="13"/>
      <c r="Y989" s="13"/>
      <c r="Z989" s="13"/>
    </row>
    <row r="990" s="2" customFormat="1" hidden="1" spans="1:26">
      <c r="A990" s="11" t="s">
        <v>935</v>
      </c>
      <c r="B990" s="11" t="s">
        <v>937</v>
      </c>
      <c r="C990" s="14" t="s">
        <v>962</v>
      </c>
      <c r="D990" s="14" t="s">
        <v>938</v>
      </c>
      <c r="E990" s="14" t="s">
        <v>939</v>
      </c>
      <c r="F990" s="3" t="s">
        <v>953</v>
      </c>
      <c r="G990" s="4">
        <v>41</v>
      </c>
      <c r="H990" s="12">
        <v>6321.212</v>
      </c>
      <c r="I990" s="12">
        <v>609.585807</v>
      </c>
      <c r="J990" s="13">
        <v>0.0964349569</v>
      </c>
      <c r="K990" s="13">
        <v>0.0964349569</v>
      </c>
      <c r="L990" s="12">
        <v>22.6729268292</v>
      </c>
      <c r="M990" s="13">
        <v>0.1468154078</v>
      </c>
      <c r="N990" s="13">
        <v>0.0333063463</v>
      </c>
      <c r="O990" s="13">
        <v>0.3266171107</v>
      </c>
      <c r="P990" s="13">
        <v>0</v>
      </c>
      <c r="Q990" s="13">
        <v>0.0317752532</v>
      </c>
      <c r="R990" s="13">
        <v>0.276526529</v>
      </c>
      <c r="S990" s="13">
        <v>0</v>
      </c>
      <c r="T990" s="13">
        <v>0.1117051603</v>
      </c>
      <c r="U990" s="13">
        <v>0.0151403427</v>
      </c>
      <c r="V990" s="13">
        <v>-0.0414182596</v>
      </c>
      <c r="W990" s="13">
        <v>0</v>
      </c>
      <c r="X990" s="13">
        <v>0</v>
      </c>
      <c r="Y990" s="13">
        <v>0</v>
      </c>
      <c r="Z990" s="13">
        <v>0.0030971524</v>
      </c>
    </row>
    <row r="991" s="2" customFormat="1" hidden="1" spans="1:26">
      <c r="A991" s="11" t="s">
        <v>935</v>
      </c>
      <c r="B991" s="11" t="s">
        <v>937</v>
      </c>
      <c r="C991" s="14" t="s">
        <v>962</v>
      </c>
      <c r="D991" s="14" t="s">
        <v>938</v>
      </c>
      <c r="E991" s="14" t="s">
        <v>939</v>
      </c>
      <c r="F991" s="3" t="s">
        <v>956</v>
      </c>
      <c r="G991" s="4">
        <v>40</v>
      </c>
      <c r="H991" s="12">
        <v>6062.948</v>
      </c>
      <c r="I991" s="12">
        <v>336.228179</v>
      </c>
      <c r="J991" s="13">
        <v>0.0554562201</v>
      </c>
      <c r="K991" s="13">
        <v>0.0554562201</v>
      </c>
      <c r="L991" s="12">
        <v>22.29025</v>
      </c>
      <c r="M991" s="13">
        <v>0.1493359204</v>
      </c>
      <c r="N991" s="13">
        <v>0.017178079</v>
      </c>
      <c r="O991" s="13">
        <v>0.3180987202</v>
      </c>
      <c r="P991" s="13">
        <v>0.1311672143</v>
      </c>
      <c r="Q991" s="13">
        <v>0.0815567966</v>
      </c>
      <c r="R991" s="13">
        <v>0.1462987611</v>
      </c>
      <c r="S991" s="13">
        <v>0</v>
      </c>
      <c r="T991" s="13">
        <v>0.1076591783</v>
      </c>
      <c r="U991" s="13">
        <v>0.0154002706</v>
      </c>
      <c r="V991" s="13">
        <v>-0.0185361312</v>
      </c>
      <c r="W991" s="13">
        <v>-0.0041628499</v>
      </c>
      <c r="X991" s="13">
        <v>0</v>
      </c>
      <c r="Y991" s="13">
        <v>0</v>
      </c>
      <c r="Z991" s="13">
        <v>0.0005478203</v>
      </c>
    </row>
    <row r="992" s="2" customFormat="1" hidden="1" spans="1:26">
      <c r="A992" s="11" t="s">
        <v>935</v>
      </c>
      <c r="B992" s="11" t="s">
        <v>937</v>
      </c>
      <c r="C992" s="14" t="s">
        <v>962</v>
      </c>
      <c r="D992" s="14" t="s">
        <v>938</v>
      </c>
      <c r="E992" s="14" t="s">
        <v>939</v>
      </c>
      <c r="F992" s="3" t="s">
        <v>957</v>
      </c>
      <c r="G992" s="4">
        <v>19</v>
      </c>
      <c r="H992" s="12">
        <v>3330.708</v>
      </c>
      <c r="I992" s="12">
        <v>1042.310044</v>
      </c>
      <c r="J992" s="13">
        <v>0.3129394843</v>
      </c>
      <c r="K992" s="13">
        <v>0.3129394843</v>
      </c>
      <c r="L992" s="12">
        <v>25.7794736842</v>
      </c>
      <c r="M992" s="13">
        <v>0.1291234662</v>
      </c>
      <c r="N992" s="13">
        <v>0.0148530447</v>
      </c>
      <c r="O992" s="13">
        <v>0.2645515608</v>
      </c>
      <c r="P992" s="13">
        <v>0</v>
      </c>
      <c r="Q992" s="13">
        <v>0.0227822135</v>
      </c>
      <c r="R992" s="13">
        <v>0.1586627735</v>
      </c>
      <c r="S992" s="13">
        <v>0</v>
      </c>
      <c r="T992" s="13">
        <v>0.1200465486</v>
      </c>
      <c r="U992" s="13">
        <v>0.0133158607</v>
      </c>
      <c r="V992" s="13">
        <v>-0.0291745778</v>
      </c>
      <c r="W992" s="13">
        <v>-0.0075777111</v>
      </c>
      <c r="X992" s="13">
        <v>0</v>
      </c>
      <c r="Y992" s="13">
        <v>0</v>
      </c>
      <c r="Z992" s="13">
        <v>0.0004773363</v>
      </c>
    </row>
    <row r="993" s="2" customFormat="1" hidden="1" spans="1:26">
      <c r="A993" s="11" t="s">
        <v>935</v>
      </c>
      <c r="B993" s="11" t="s">
        <v>937</v>
      </c>
      <c r="C993" s="14" t="s">
        <v>962</v>
      </c>
      <c r="D993" s="14" t="s">
        <v>938</v>
      </c>
      <c r="E993" s="14" t="s">
        <v>939</v>
      </c>
      <c r="F993" s="3" t="s">
        <v>940</v>
      </c>
      <c r="G993" s="4">
        <v>14</v>
      </c>
      <c r="H993" s="12">
        <v>2460.648</v>
      </c>
      <c r="I993" s="12">
        <v>606.098688</v>
      </c>
      <c r="J993" s="13">
        <v>0.246316697</v>
      </c>
      <c r="K993" s="13">
        <v>0.246316697</v>
      </c>
      <c r="L993" s="12">
        <v>25.8471428571</v>
      </c>
      <c r="M993" s="13">
        <v>0.1287854142</v>
      </c>
      <c r="N993" s="13">
        <v>0.0148141587</v>
      </c>
      <c r="O993" s="13">
        <v>0.2638589509</v>
      </c>
      <c r="P993" s="13">
        <v>0</v>
      </c>
      <c r="Q993" s="13">
        <v>0.0191522907</v>
      </c>
      <c r="R993" s="13">
        <v>0.2681839689</v>
      </c>
      <c r="S993" s="13">
        <v>0</v>
      </c>
      <c r="T993" s="13">
        <v>0.1044602885</v>
      </c>
      <c r="U993" s="13">
        <v>0.0132809991</v>
      </c>
      <c r="V993" s="13">
        <v>-0.0591941634</v>
      </c>
      <c r="W993" s="13">
        <v>0</v>
      </c>
      <c r="X993" s="13">
        <v>0</v>
      </c>
      <c r="Y993" s="13">
        <v>0</v>
      </c>
      <c r="Z993" s="13">
        <v>0.000341395</v>
      </c>
    </row>
    <row r="994" s="2" customFormat="1" hidden="1" spans="1:26">
      <c r="A994" s="11" t="s">
        <v>935</v>
      </c>
      <c r="B994" s="11" t="s">
        <v>937</v>
      </c>
      <c r="C994" s="14" t="s">
        <v>962</v>
      </c>
      <c r="D994" s="14" t="s">
        <v>938</v>
      </c>
      <c r="E994" s="14" t="s">
        <v>939</v>
      </c>
      <c r="F994" s="3" t="s">
        <v>941</v>
      </c>
      <c r="G994" s="4">
        <v>53</v>
      </c>
      <c r="H994" s="12">
        <v>7889.36</v>
      </c>
      <c r="I994" s="12">
        <v>1367.654018</v>
      </c>
      <c r="J994" s="13">
        <v>0.1733542414</v>
      </c>
      <c r="K994" s="13">
        <v>0.1733542414</v>
      </c>
      <c r="L994" s="12">
        <v>21.8905660377</v>
      </c>
      <c r="M994" s="13">
        <v>0.1463243277</v>
      </c>
      <c r="N994" s="13">
        <v>0.0168316561</v>
      </c>
      <c r="O994" s="13">
        <v>0.3060420617</v>
      </c>
      <c r="P994" s="13">
        <v>0.0603085674</v>
      </c>
      <c r="Q994" s="13">
        <v>0.0098548726</v>
      </c>
      <c r="R994" s="13">
        <v>0.1596094574</v>
      </c>
      <c r="S994" s="13">
        <v>0</v>
      </c>
      <c r="T994" s="13">
        <v>0.1093776935</v>
      </c>
      <c r="U994" s="13">
        <v>0.0150897</v>
      </c>
      <c r="V994" s="13">
        <v>0.0010687812</v>
      </c>
      <c r="W994" s="13">
        <v>-0.0031991369</v>
      </c>
      <c r="X994" s="13">
        <v>0</v>
      </c>
      <c r="Y994" s="13">
        <v>0</v>
      </c>
      <c r="Z994" s="13">
        <v>0.0053377774</v>
      </c>
    </row>
    <row r="995" s="2" customFormat="1" hidden="1" spans="1:26">
      <c r="A995" s="11" t="s">
        <v>935</v>
      </c>
      <c r="B995" s="11" t="s">
        <v>937</v>
      </c>
      <c r="C995" s="14" t="s">
        <v>962</v>
      </c>
      <c r="D995" s="14" t="s">
        <v>938</v>
      </c>
      <c r="E995" s="14" t="s">
        <v>939</v>
      </c>
      <c r="F995" s="3" t="s">
        <v>942</v>
      </c>
      <c r="G995" s="4">
        <v>72</v>
      </c>
      <c r="H995" s="12">
        <v>10560.876</v>
      </c>
      <c r="I995" s="12">
        <v>1767.910774</v>
      </c>
      <c r="J995" s="13">
        <v>0.1674019062</v>
      </c>
      <c r="K995" s="13">
        <v>0.1674019062</v>
      </c>
      <c r="L995" s="12">
        <v>21.5704166666</v>
      </c>
      <c r="M995" s="13">
        <v>0.1521761317</v>
      </c>
      <c r="N995" s="13">
        <v>0.0272730061</v>
      </c>
      <c r="O995" s="13">
        <v>0.3232114457</v>
      </c>
      <c r="P995" s="13">
        <v>0.0592117547</v>
      </c>
      <c r="Q995" s="13">
        <v>0.0318038422</v>
      </c>
      <c r="R995" s="13">
        <v>0.1021436689</v>
      </c>
      <c r="S995" s="13">
        <v>0</v>
      </c>
      <c r="T995" s="13">
        <v>0.1142189341</v>
      </c>
      <c r="U995" s="13">
        <v>0.0156931674</v>
      </c>
      <c r="V995" s="13">
        <v>0.0003798927</v>
      </c>
      <c r="W995" s="13">
        <v>0</v>
      </c>
      <c r="X995" s="13">
        <v>0</v>
      </c>
      <c r="Y995" s="13">
        <v>0</v>
      </c>
      <c r="Z995" s="13">
        <v>0.0064862498</v>
      </c>
    </row>
    <row r="996" s="2" customFormat="1" hidden="1" spans="1:26">
      <c r="A996" s="11" t="s">
        <v>935</v>
      </c>
      <c r="B996" s="11" t="s">
        <v>937</v>
      </c>
      <c r="C996" s="14" t="s">
        <v>962</v>
      </c>
      <c r="D996" s="14" t="s">
        <v>938</v>
      </c>
      <c r="E996" s="14" t="s">
        <v>939</v>
      </c>
      <c r="F996" s="3" t="s">
        <v>943</v>
      </c>
      <c r="G996" s="4">
        <v>87</v>
      </c>
      <c r="H996" s="12">
        <v>13104.212</v>
      </c>
      <c r="I996" s="12">
        <v>2925.681694</v>
      </c>
      <c r="J996" s="13">
        <v>0.2232626955</v>
      </c>
      <c r="K996" s="13">
        <v>0.2232626955</v>
      </c>
      <c r="L996" s="12">
        <v>22.1504597701</v>
      </c>
      <c r="M996" s="13">
        <v>0.1502783704</v>
      </c>
      <c r="N996" s="13">
        <v>0.0295097247</v>
      </c>
      <c r="O996" s="13">
        <v>0.3191807336</v>
      </c>
      <c r="P996" s="13">
        <v>0.0248976435</v>
      </c>
      <c r="Q996" s="13">
        <v>0.0277012918</v>
      </c>
      <c r="R996" s="13">
        <v>0.1229087006</v>
      </c>
      <c r="S996" s="13">
        <v>0</v>
      </c>
      <c r="T996" s="13">
        <v>0.1176904036</v>
      </c>
      <c r="U996" s="13">
        <v>0.0154974608</v>
      </c>
      <c r="V996" s="13">
        <v>-0.0399586941</v>
      </c>
      <c r="W996" s="13">
        <v>-0.0061995894</v>
      </c>
      <c r="X996" s="13">
        <v>0.0023558837</v>
      </c>
      <c r="Y996" s="13">
        <v>0</v>
      </c>
      <c r="Z996" s="13">
        <v>0.0128753749</v>
      </c>
    </row>
    <row r="997" s="2" customFormat="1" spans="1:26">
      <c r="A997" s="11" t="s">
        <v>935</v>
      </c>
      <c r="B997" s="11" t="s">
        <v>937</v>
      </c>
      <c r="C997" s="14" t="s">
        <v>962</v>
      </c>
      <c r="D997" s="14" t="s">
        <v>938</v>
      </c>
      <c r="E997" s="14" t="s">
        <v>939</v>
      </c>
      <c r="F997" s="3" t="s">
        <v>944</v>
      </c>
      <c r="G997" s="4">
        <v>74</v>
      </c>
      <c r="H997" s="12">
        <v>11246.112</v>
      </c>
      <c r="I997" s="12">
        <v>2403.878723</v>
      </c>
      <c r="J997" s="13">
        <v>0.2137519813</v>
      </c>
      <c r="K997" s="13">
        <v>0.2137519813</v>
      </c>
      <c r="L997" s="12">
        <v>22.3491891891</v>
      </c>
      <c r="M997" s="13">
        <v>0.1489420923</v>
      </c>
      <c r="N997" s="13">
        <v>0.0292473236</v>
      </c>
      <c r="O997" s="13">
        <v>0.3077927731</v>
      </c>
      <c r="P997" s="13">
        <v>0</v>
      </c>
      <c r="Q997" s="13">
        <v>0.0242504263</v>
      </c>
      <c r="R997" s="13">
        <v>0.137940809</v>
      </c>
      <c r="S997" s="13">
        <v>0</v>
      </c>
      <c r="T997" s="13">
        <v>0.120053935</v>
      </c>
      <c r="U997" s="13">
        <v>0.015359657</v>
      </c>
      <c r="V997" s="13">
        <v>0</v>
      </c>
      <c r="W997" s="13">
        <v>0</v>
      </c>
      <c r="X997" s="13">
        <v>0.0012561874</v>
      </c>
      <c r="Y997" s="13">
        <v>0</v>
      </c>
      <c r="Z997" s="13">
        <v>0.0014048143</v>
      </c>
    </row>
    <row r="998" s="2" customFormat="1" hidden="1" spans="1:26">
      <c r="A998" s="11" t="s">
        <v>935</v>
      </c>
      <c r="B998" s="11" t="s">
        <v>937</v>
      </c>
      <c r="C998" s="14" t="s">
        <v>962</v>
      </c>
      <c r="D998" s="14" t="s">
        <v>938</v>
      </c>
      <c r="E998" s="14" t="s">
        <v>939</v>
      </c>
      <c r="F998" s="3" t="s">
        <v>945</v>
      </c>
      <c r="G998" s="4">
        <v>1</v>
      </c>
      <c r="H998" s="12">
        <v>156.332</v>
      </c>
      <c r="I998" s="12">
        <v>16.989945</v>
      </c>
      <c r="J998" s="13">
        <v>0.1086786134</v>
      </c>
      <c r="K998" s="13">
        <v>0.1086786134</v>
      </c>
      <c r="L998" s="12">
        <v>22.99</v>
      </c>
      <c r="M998" s="13">
        <v>0.1447905611</v>
      </c>
      <c r="N998" s="13">
        <v>0.0284320996</v>
      </c>
      <c r="O998" s="13">
        <v>0.3075250108</v>
      </c>
      <c r="P998" s="13">
        <v>0</v>
      </c>
      <c r="Q998" s="13">
        <v>0</v>
      </c>
      <c r="R998" s="13">
        <v>0.2672182278</v>
      </c>
      <c r="S998" s="13">
        <v>0</v>
      </c>
      <c r="T998" s="13">
        <v>0.1200521966</v>
      </c>
      <c r="U998" s="13">
        <v>0.0149315303</v>
      </c>
      <c r="V998" s="13">
        <v>0</v>
      </c>
      <c r="W998" s="13">
        <v>0</v>
      </c>
      <c r="X998" s="13">
        <v>0.0083717601</v>
      </c>
      <c r="Y998" s="13">
        <v>0</v>
      </c>
      <c r="Z998" s="13">
        <v>0</v>
      </c>
    </row>
    <row r="999" s="2" customFormat="1" hidden="1" spans="1:26">
      <c r="A999" s="11" t="s">
        <v>935</v>
      </c>
      <c r="B999" s="11" t="s">
        <v>937</v>
      </c>
      <c r="C999" s="14" t="s">
        <v>963</v>
      </c>
      <c r="D999" s="14" t="s">
        <v>938</v>
      </c>
      <c r="E999" s="14" t="s">
        <v>939</v>
      </c>
      <c r="F999" s="3" t="s">
        <v>936</v>
      </c>
      <c r="G999" s="4">
        <v>344</v>
      </c>
      <c r="H999" s="12">
        <v>51668.236</v>
      </c>
      <c r="I999" s="12">
        <v>2478.464104</v>
      </c>
      <c r="J999" s="13">
        <v>0.0479688159</v>
      </c>
      <c r="K999" s="13">
        <v>0.0479688159</v>
      </c>
      <c r="L999" s="12">
        <v>22.087994186</v>
      </c>
      <c r="M999" s="13">
        <v>0.148987373</v>
      </c>
      <c r="N999" s="13">
        <v>0.0257553595</v>
      </c>
      <c r="O999" s="13">
        <v>0.3120591924</v>
      </c>
      <c r="P999" s="13">
        <v>0.0306675072</v>
      </c>
      <c r="Q999" s="13">
        <v>0.037893286</v>
      </c>
      <c r="R999" s="13">
        <v>0.2807065032</v>
      </c>
      <c r="S999" s="13">
        <v>0</v>
      </c>
      <c r="T999" s="13">
        <v>0.1043763909</v>
      </c>
      <c r="U999" s="13">
        <v>0.0153643264</v>
      </c>
      <c r="V999" s="13">
        <v>-0.0078017759</v>
      </c>
      <c r="W999" s="13">
        <v>-0.0009821246</v>
      </c>
      <c r="X999" s="13">
        <v>0</v>
      </c>
      <c r="Y999" s="13">
        <v>0</v>
      </c>
      <c r="Z999" s="13">
        <v>0.0050051457</v>
      </c>
    </row>
    <row r="1000" s="2" customFormat="1" hidden="1" spans="1:26">
      <c r="A1000" s="11" t="s">
        <v>935</v>
      </c>
      <c r="B1000" s="11" t="s">
        <v>937</v>
      </c>
      <c r="C1000" s="14" t="s">
        <v>963</v>
      </c>
      <c r="D1000" s="14" t="s">
        <v>938</v>
      </c>
      <c r="E1000" s="14" t="s">
        <v>939</v>
      </c>
      <c r="F1000" s="3" t="s">
        <v>947</v>
      </c>
      <c r="G1000" s="4">
        <v>0</v>
      </c>
      <c r="H1000" s="12">
        <v>0</v>
      </c>
      <c r="I1000" s="12">
        <v>-157.556</v>
      </c>
      <c r="J1000" s="13"/>
      <c r="K1000" s="13"/>
      <c r="L1000" s="12"/>
      <c r="M1000" s="13"/>
      <c r="N1000" s="13"/>
      <c r="O1000" s="13"/>
      <c r="P1000" s="13"/>
      <c r="Q1000" s="13"/>
      <c r="R1000" s="13"/>
      <c r="S1000" s="13"/>
      <c r="T1000" s="13"/>
      <c r="U1000" s="13"/>
      <c r="V1000" s="13"/>
      <c r="W1000" s="13"/>
      <c r="X1000" s="13"/>
      <c r="Y1000" s="13"/>
      <c r="Z1000" s="13"/>
    </row>
    <row r="1001" s="2" customFormat="1" hidden="1" spans="1:26">
      <c r="A1001" s="11" t="s">
        <v>935</v>
      </c>
      <c r="B1001" s="11" t="s">
        <v>937</v>
      </c>
      <c r="C1001" s="14" t="s">
        <v>963</v>
      </c>
      <c r="D1001" s="14" t="s">
        <v>938</v>
      </c>
      <c r="E1001" s="14" t="s">
        <v>939</v>
      </c>
      <c r="F1001" s="3" t="s">
        <v>953</v>
      </c>
      <c r="G1001" s="4">
        <v>67</v>
      </c>
      <c r="H1001" s="12">
        <v>10369.32</v>
      </c>
      <c r="I1001" s="12">
        <v>1052.443526</v>
      </c>
      <c r="J1001" s="13">
        <v>0.1014959058</v>
      </c>
      <c r="K1001" s="13">
        <v>0.1014959058</v>
      </c>
      <c r="L1001" s="12">
        <v>22.7597014925</v>
      </c>
      <c r="M1001" s="13">
        <v>0.1475936667</v>
      </c>
      <c r="N1001" s="13">
        <v>0.033179361</v>
      </c>
      <c r="O1001" s="13">
        <v>0.2787330316</v>
      </c>
      <c r="P1001" s="13">
        <v>0.0760377729</v>
      </c>
      <c r="Q1001" s="13">
        <v>0.018204036</v>
      </c>
      <c r="R1001" s="13">
        <v>0.2337956772</v>
      </c>
      <c r="S1001" s="13">
        <v>0</v>
      </c>
      <c r="T1001" s="13">
        <v>0.1127483769</v>
      </c>
      <c r="U1001" s="13">
        <v>0.0152206002</v>
      </c>
      <c r="V1001" s="13">
        <v>-0.0201055806</v>
      </c>
      <c r="W1001" s="13">
        <v>0</v>
      </c>
      <c r="X1001" s="13">
        <v>0</v>
      </c>
      <c r="Y1001" s="13">
        <v>0</v>
      </c>
      <c r="Z1001" s="13">
        <v>0.0030971518</v>
      </c>
    </row>
    <row r="1002" s="2" customFormat="1" hidden="1" spans="1:26">
      <c r="A1002" s="11" t="s">
        <v>935</v>
      </c>
      <c r="B1002" s="11" t="s">
        <v>937</v>
      </c>
      <c r="C1002" s="14" t="s">
        <v>963</v>
      </c>
      <c r="D1002" s="14" t="s">
        <v>938</v>
      </c>
      <c r="E1002" s="14" t="s">
        <v>939</v>
      </c>
      <c r="F1002" s="3" t="s">
        <v>956</v>
      </c>
      <c r="G1002" s="4">
        <v>24</v>
      </c>
      <c r="H1002" s="12">
        <v>3912.176</v>
      </c>
      <c r="I1002" s="12">
        <v>911.030486</v>
      </c>
      <c r="J1002" s="13">
        <v>0.2328705267</v>
      </c>
      <c r="K1002" s="13">
        <v>0.2328705267</v>
      </c>
      <c r="L1002" s="12">
        <v>23.9716666666</v>
      </c>
      <c r="M1002" s="13">
        <v>0.1401315917</v>
      </c>
      <c r="N1002" s="13">
        <v>0.0155198349</v>
      </c>
      <c r="O1002" s="13">
        <v>0.2656956128</v>
      </c>
      <c r="P1002" s="13">
        <v>0.0833970659</v>
      </c>
      <c r="Q1002" s="13">
        <v>0.0479329894</v>
      </c>
      <c r="R1002" s="13">
        <v>0.1003650628</v>
      </c>
      <c r="S1002" s="13">
        <v>0</v>
      </c>
      <c r="T1002" s="13">
        <v>0.1120593756</v>
      </c>
      <c r="U1002" s="13">
        <v>0.0144510732</v>
      </c>
      <c r="V1002" s="13">
        <v>0</v>
      </c>
      <c r="W1002" s="13">
        <v>-0.0129709522</v>
      </c>
      <c r="X1002" s="13">
        <v>0</v>
      </c>
      <c r="Y1002" s="13">
        <v>0</v>
      </c>
      <c r="Z1002" s="13">
        <v>0.0005478186</v>
      </c>
    </row>
    <row r="1003" s="2" customFormat="1" hidden="1" spans="1:26">
      <c r="A1003" s="11" t="s">
        <v>935</v>
      </c>
      <c r="B1003" s="11" t="s">
        <v>937</v>
      </c>
      <c r="C1003" s="14" t="s">
        <v>963</v>
      </c>
      <c r="D1003" s="14" t="s">
        <v>938</v>
      </c>
      <c r="E1003" s="14" t="s">
        <v>939</v>
      </c>
      <c r="F1003" s="3" t="s">
        <v>957</v>
      </c>
      <c r="G1003" s="4">
        <v>2</v>
      </c>
      <c r="H1003" s="12">
        <v>353.464</v>
      </c>
      <c r="I1003" s="12">
        <v>-63.746404</v>
      </c>
      <c r="J1003" s="13">
        <v>-0.1803476563</v>
      </c>
      <c r="K1003" s="13">
        <v>-0.1803476563</v>
      </c>
      <c r="L1003" s="12">
        <v>25.99</v>
      </c>
      <c r="M1003" s="13">
        <v>0.1292492417</v>
      </c>
      <c r="N1003" s="13">
        <v>0.0143145949</v>
      </c>
      <c r="O1003" s="13">
        <v>0.234705656</v>
      </c>
      <c r="P1003" s="13">
        <v>0.5</v>
      </c>
      <c r="Q1003" s="13">
        <v>0.032757698</v>
      </c>
      <c r="R1003" s="13">
        <v>0.4488578893</v>
      </c>
      <c r="S1003" s="13">
        <v>0</v>
      </c>
      <c r="T1003" s="13">
        <v>0.0719507502</v>
      </c>
      <c r="U1003" s="13">
        <v>0.0133288312</v>
      </c>
      <c r="V1003" s="13">
        <v>-0.2652943439</v>
      </c>
      <c r="W1003" s="13">
        <v>0</v>
      </c>
      <c r="X1003" s="13">
        <v>0</v>
      </c>
      <c r="Y1003" s="13">
        <v>0</v>
      </c>
      <c r="Z1003" s="13">
        <v>0.0004773385</v>
      </c>
    </row>
    <row r="1004" s="2" customFormat="1" hidden="1" spans="1:26">
      <c r="A1004" s="11" t="s">
        <v>935</v>
      </c>
      <c r="B1004" s="11" t="s">
        <v>937</v>
      </c>
      <c r="C1004" s="14" t="s">
        <v>963</v>
      </c>
      <c r="D1004" s="14" t="s">
        <v>938</v>
      </c>
      <c r="E1004" s="14" t="s">
        <v>939</v>
      </c>
      <c r="F1004" s="3" t="s">
        <v>940</v>
      </c>
      <c r="G1004" s="4">
        <v>7</v>
      </c>
      <c r="H1004" s="12">
        <v>1223.524</v>
      </c>
      <c r="I1004" s="12">
        <v>393.16055</v>
      </c>
      <c r="J1004" s="13">
        <v>0.3213345631</v>
      </c>
      <c r="K1004" s="13">
        <v>0.3213345631</v>
      </c>
      <c r="L1004" s="12">
        <v>25.7042857142</v>
      </c>
      <c r="M1004" s="13">
        <v>0.1306859031</v>
      </c>
      <c r="N1004" s="13">
        <v>0.0144737079</v>
      </c>
      <c r="O1004" s="13">
        <v>0.2373145111</v>
      </c>
      <c r="P1004" s="13">
        <v>0</v>
      </c>
      <c r="Q1004" s="13">
        <v>0.003414121</v>
      </c>
      <c r="R1004" s="13">
        <v>0.2035406055</v>
      </c>
      <c r="S1004" s="13">
        <v>0</v>
      </c>
      <c r="T1004" s="13">
        <v>0.1150447396</v>
      </c>
      <c r="U1004" s="13">
        <v>0.0134769869</v>
      </c>
      <c r="V1004" s="13">
        <v>-0.0396265214</v>
      </c>
      <c r="W1004" s="13">
        <v>0</v>
      </c>
      <c r="X1004" s="13">
        <v>0</v>
      </c>
      <c r="Y1004" s="13">
        <v>0</v>
      </c>
      <c r="Z1004" s="13">
        <v>0.0003413827</v>
      </c>
    </row>
    <row r="1005" s="2" customFormat="1" hidden="1" spans="1:26">
      <c r="A1005" s="11" t="s">
        <v>935</v>
      </c>
      <c r="B1005" s="11" t="s">
        <v>937</v>
      </c>
      <c r="C1005" s="14" t="s">
        <v>963</v>
      </c>
      <c r="D1005" s="14" t="s">
        <v>938</v>
      </c>
      <c r="E1005" s="14" t="s">
        <v>939</v>
      </c>
      <c r="F1005" s="3" t="s">
        <v>941</v>
      </c>
      <c r="G1005" s="4">
        <v>68</v>
      </c>
      <c r="H1005" s="12">
        <v>9264.456</v>
      </c>
      <c r="I1005" s="12">
        <v>164.116185</v>
      </c>
      <c r="J1005" s="13">
        <v>0.0177146056</v>
      </c>
      <c r="K1005" s="13">
        <v>0.0177146056</v>
      </c>
      <c r="L1005" s="12">
        <v>20.0355882352</v>
      </c>
      <c r="M1005" s="13">
        <v>0.1504018257</v>
      </c>
      <c r="N1005" s="13">
        <v>0.0166572831</v>
      </c>
      <c r="O1005" s="13">
        <v>0.3243933588</v>
      </c>
      <c r="P1005" s="13">
        <v>0.0158174424</v>
      </c>
      <c r="Q1005" s="13">
        <v>0.007796729</v>
      </c>
      <c r="R1005" s="13">
        <v>0.3349638858</v>
      </c>
      <c r="S1005" s="13">
        <v>0</v>
      </c>
      <c r="T1005" s="13">
        <v>0.1128726824</v>
      </c>
      <c r="U1005" s="13">
        <v>0.0155101919</v>
      </c>
      <c r="V1005" s="13">
        <v>-0.0014657741</v>
      </c>
      <c r="W1005" s="13">
        <v>0</v>
      </c>
      <c r="X1005" s="13">
        <v>0</v>
      </c>
      <c r="Y1005" s="13">
        <v>0</v>
      </c>
      <c r="Z1005" s="13">
        <v>0.0053377687</v>
      </c>
    </row>
    <row r="1006" s="2" customFormat="1" hidden="1" spans="1:26">
      <c r="A1006" s="11" t="s">
        <v>935</v>
      </c>
      <c r="B1006" s="11" t="s">
        <v>937</v>
      </c>
      <c r="C1006" s="14" t="s">
        <v>963</v>
      </c>
      <c r="D1006" s="14" t="s">
        <v>938</v>
      </c>
      <c r="E1006" s="14" t="s">
        <v>939</v>
      </c>
      <c r="F1006" s="3" t="s">
        <v>942</v>
      </c>
      <c r="G1006" s="4">
        <v>72</v>
      </c>
      <c r="H1006" s="12">
        <v>10873.744</v>
      </c>
      <c r="I1006" s="12">
        <v>-1858.514816</v>
      </c>
      <c r="J1006" s="13">
        <v>-0.1709176541</v>
      </c>
      <c r="K1006" s="13">
        <v>-0.1709176541</v>
      </c>
      <c r="L1006" s="12">
        <v>22.2094444444</v>
      </c>
      <c r="M1006" s="13">
        <v>0.1512504197</v>
      </c>
      <c r="N1006" s="13">
        <v>0.02667341</v>
      </c>
      <c r="O1006" s="13">
        <v>0.3322910673</v>
      </c>
      <c r="P1006" s="13">
        <v>0</v>
      </c>
      <c r="Q1006" s="13">
        <v>0.0453671334</v>
      </c>
      <c r="R1006" s="13">
        <v>0.5214191259</v>
      </c>
      <c r="S1006" s="13">
        <v>0</v>
      </c>
      <c r="T1006" s="13">
        <v>0.0753996047</v>
      </c>
      <c r="U1006" s="13">
        <v>0.0155977032</v>
      </c>
      <c r="V1006" s="13">
        <v>-0.003567051</v>
      </c>
      <c r="W1006" s="13">
        <v>0</v>
      </c>
      <c r="X1006" s="13">
        <v>0</v>
      </c>
      <c r="Y1006" s="13">
        <v>0</v>
      </c>
      <c r="Z1006" s="13">
        <v>0.0064862406</v>
      </c>
    </row>
    <row r="1007" s="2" customFormat="1" hidden="1" spans="1:26">
      <c r="A1007" s="11" t="s">
        <v>935</v>
      </c>
      <c r="B1007" s="11" t="s">
        <v>937</v>
      </c>
      <c r="C1007" s="14" t="s">
        <v>963</v>
      </c>
      <c r="D1007" s="14" t="s">
        <v>938</v>
      </c>
      <c r="E1007" s="14" t="s">
        <v>939</v>
      </c>
      <c r="F1007" s="3" t="s">
        <v>943</v>
      </c>
      <c r="G1007" s="4">
        <v>47</v>
      </c>
      <c r="H1007" s="12">
        <v>7147.412</v>
      </c>
      <c r="I1007" s="12">
        <v>1044.616531</v>
      </c>
      <c r="J1007" s="13">
        <v>0.1461531154</v>
      </c>
      <c r="K1007" s="13">
        <v>0.1461531154</v>
      </c>
      <c r="L1007" s="12">
        <v>22.3636170212</v>
      </c>
      <c r="M1007" s="13">
        <v>0.1502077142</v>
      </c>
      <c r="N1007" s="13">
        <v>0.0290120253</v>
      </c>
      <c r="O1007" s="13">
        <v>0.3300002854</v>
      </c>
      <c r="P1007" s="13">
        <v>0</v>
      </c>
      <c r="Q1007" s="13">
        <v>0.0754269811</v>
      </c>
      <c r="R1007" s="13">
        <v>0.1259155241</v>
      </c>
      <c r="S1007" s="13">
        <v>0</v>
      </c>
      <c r="T1007" s="13">
        <v>0.1149187985</v>
      </c>
      <c r="U1007" s="13">
        <v>0.0154901742</v>
      </c>
      <c r="V1007" s="13">
        <v>0</v>
      </c>
      <c r="W1007" s="13">
        <v>0</v>
      </c>
      <c r="X1007" s="13">
        <v>0</v>
      </c>
      <c r="Y1007" s="13">
        <v>0</v>
      </c>
      <c r="Z1007" s="13">
        <v>0.0128753814</v>
      </c>
    </row>
    <row r="1008" s="2" customFormat="1" spans="1:26">
      <c r="A1008" s="11" t="s">
        <v>935</v>
      </c>
      <c r="B1008" s="11" t="s">
        <v>937</v>
      </c>
      <c r="C1008" s="14" t="s">
        <v>963</v>
      </c>
      <c r="D1008" s="14" t="s">
        <v>938</v>
      </c>
      <c r="E1008" s="14" t="s">
        <v>939</v>
      </c>
      <c r="F1008" s="3" t="s">
        <v>944</v>
      </c>
      <c r="G1008" s="4">
        <v>56</v>
      </c>
      <c r="H1008" s="12">
        <v>8367.808</v>
      </c>
      <c r="I1008" s="12">
        <v>955.485391</v>
      </c>
      <c r="J1008" s="13">
        <v>0.1141858645</v>
      </c>
      <c r="K1008" s="13">
        <v>0.1141858645</v>
      </c>
      <c r="L1008" s="12">
        <v>21.9742857142</v>
      </c>
      <c r="M1008" s="13">
        <v>0.1528690323</v>
      </c>
      <c r="N1008" s="13">
        <v>0.0295260483</v>
      </c>
      <c r="O1008" s="13">
        <v>0.3337911194</v>
      </c>
      <c r="P1008" s="13">
        <v>0.017512352</v>
      </c>
      <c r="Q1008" s="13">
        <v>0.0551144092</v>
      </c>
      <c r="R1008" s="13">
        <v>0.1706619276</v>
      </c>
      <c r="S1008" s="13">
        <v>0</v>
      </c>
      <c r="T1008" s="13">
        <v>0.1091698088</v>
      </c>
      <c r="U1008" s="13">
        <v>0.0157646227</v>
      </c>
      <c r="V1008" s="13">
        <v>0</v>
      </c>
      <c r="W1008" s="13">
        <v>0</v>
      </c>
      <c r="X1008" s="13">
        <v>0</v>
      </c>
      <c r="Y1008" s="13">
        <v>0</v>
      </c>
      <c r="Z1008" s="13">
        <v>0.0014048144</v>
      </c>
    </row>
    <row r="1009" s="2" customFormat="1" hidden="1" spans="1:26">
      <c r="A1009" s="11" t="s">
        <v>935</v>
      </c>
      <c r="B1009" s="11" t="s">
        <v>937</v>
      </c>
      <c r="C1009" s="14" t="s">
        <v>963</v>
      </c>
      <c r="D1009" s="14" t="s">
        <v>938</v>
      </c>
      <c r="E1009" s="14" t="s">
        <v>939</v>
      </c>
      <c r="F1009" s="3" t="s">
        <v>945</v>
      </c>
      <c r="G1009" s="4">
        <v>1</v>
      </c>
      <c r="H1009" s="12">
        <v>156.332</v>
      </c>
      <c r="I1009" s="12">
        <v>37.428655</v>
      </c>
      <c r="J1009" s="13">
        <v>0.2394177455</v>
      </c>
      <c r="K1009" s="13">
        <v>0.2394177455</v>
      </c>
      <c r="L1009" s="12">
        <v>22.99</v>
      </c>
      <c r="M1009" s="13">
        <v>0.1461151715</v>
      </c>
      <c r="N1009" s="13">
        <v>0.0282215669</v>
      </c>
      <c r="O1009" s="13">
        <v>0.3210091344</v>
      </c>
      <c r="P1009" s="13">
        <v>0</v>
      </c>
      <c r="Q1009" s="13">
        <v>0</v>
      </c>
      <c r="R1009" s="13">
        <v>0.1301160542</v>
      </c>
      <c r="S1009" s="13">
        <v>0</v>
      </c>
      <c r="T1009" s="13">
        <v>0.1200521966</v>
      </c>
      <c r="U1009" s="13">
        <v>0.0150681306</v>
      </c>
      <c r="V1009" s="13">
        <v>0</v>
      </c>
      <c r="W1009" s="13">
        <v>0</v>
      </c>
      <c r="X1009" s="13">
        <v>0</v>
      </c>
      <c r="Y1009" s="13">
        <v>0</v>
      </c>
      <c r="Z1009" s="13">
        <v>0</v>
      </c>
    </row>
    <row r="1010" s="2" customFormat="1" hidden="1" spans="1:26">
      <c r="A1010" s="11" t="s">
        <v>935</v>
      </c>
      <c r="B1010" s="11" t="s">
        <v>937</v>
      </c>
      <c r="C1010" s="14" t="s">
        <v>964</v>
      </c>
      <c r="D1010" s="14" t="s">
        <v>938</v>
      </c>
      <c r="E1010" s="14" t="s">
        <v>939</v>
      </c>
      <c r="F1010" s="3" t="s">
        <v>936</v>
      </c>
      <c r="G1010" s="4">
        <v>438</v>
      </c>
      <c r="H1010" s="12">
        <v>68468.316</v>
      </c>
      <c r="I1010" s="12">
        <v>12029.54707</v>
      </c>
      <c r="J1010" s="13">
        <v>0.1756950918</v>
      </c>
      <c r="K1010" s="13">
        <v>0.1756950918</v>
      </c>
      <c r="L1010" s="12">
        <v>22.9882876712</v>
      </c>
      <c r="M1010" s="13">
        <v>0.1252893964</v>
      </c>
      <c r="N1010" s="13">
        <v>0.0222941884</v>
      </c>
      <c r="O1010" s="13">
        <v>0.2967661713</v>
      </c>
      <c r="P1010" s="13">
        <v>0.020358789</v>
      </c>
      <c r="Q1010" s="13">
        <v>0.0189382485</v>
      </c>
      <c r="R1010" s="13">
        <v>0.218083854</v>
      </c>
      <c r="S1010" s="13">
        <v>0</v>
      </c>
      <c r="T1010" s="13">
        <v>0.1120622274</v>
      </c>
      <c r="U1010" s="13">
        <v>0.0129204721</v>
      </c>
      <c r="V1010" s="13">
        <v>-0.0070698102</v>
      </c>
      <c r="W1010" s="13">
        <v>-0.0010932791</v>
      </c>
      <c r="X1010" s="13">
        <v>0.0009017893</v>
      </c>
      <c r="Y1010" s="13">
        <v>0</v>
      </c>
      <c r="Z1010" s="13">
        <v>0.0048528603</v>
      </c>
    </row>
    <row r="1011" s="2" customFormat="1" hidden="1" spans="1:26">
      <c r="A1011" s="11" t="s">
        <v>935</v>
      </c>
      <c r="B1011" s="11" t="s">
        <v>937</v>
      </c>
      <c r="C1011" s="14" t="s">
        <v>964</v>
      </c>
      <c r="D1011" s="14" t="s">
        <v>938</v>
      </c>
      <c r="E1011" s="14" t="s">
        <v>939</v>
      </c>
      <c r="F1011" s="3" t="s">
        <v>947</v>
      </c>
      <c r="G1011" s="4">
        <v>0</v>
      </c>
      <c r="H1011" s="12">
        <v>0</v>
      </c>
      <c r="I1011" s="12">
        <v>-62.968</v>
      </c>
      <c r="J1011" s="13"/>
      <c r="K1011" s="13"/>
      <c r="L1011" s="12"/>
      <c r="M1011" s="13"/>
      <c r="N1011" s="13"/>
      <c r="O1011" s="13"/>
      <c r="P1011" s="13"/>
      <c r="Q1011" s="13"/>
      <c r="R1011" s="13"/>
      <c r="S1011" s="13"/>
      <c r="T1011" s="13"/>
      <c r="U1011" s="13"/>
      <c r="V1011" s="13"/>
      <c r="W1011" s="13"/>
      <c r="X1011" s="13"/>
      <c r="Y1011" s="13"/>
      <c r="Z1011" s="13"/>
    </row>
    <row r="1012" s="2" customFormat="1" hidden="1" spans="1:26">
      <c r="A1012" s="11" t="s">
        <v>935</v>
      </c>
      <c r="B1012" s="11" t="s">
        <v>937</v>
      </c>
      <c r="C1012" s="14" t="s">
        <v>964</v>
      </c>
      <c r="D1012" s="14" t="s">
        <v>938</v>
      </c>
      <c r="E1012" s="14" t="s">
        <v>939</v>
      </c>
      <c r="F1012" s="3" t="s">
        <v>953</v>
      </c>
      <c r="G1012" s="4">
        <v>30</v>
      </c>
      <c r="H1012" s="12">
        <v>4554.028</v>
      </c>
      <c r="I1012" s="12">
        <v>246.68344</v>
      </c>
      <c r="J1012" s="13">
        <v>0.0541681869</v>
      </c>
      <c r="K1012" s="13">
        <v>0.0541681869</v>
      </c>
      <c r="L1012" s="12">
        <v>22.3236666666</v>
      </c>
      <c r="M1012" s="13">
        <v>0.1299093066</v>
      </c>
      <c r="N1012" s="13">
        <v>0.0349931642</v>
      </c>
      <c r="O1012" s="13">
        <v>0.3264995296</v>
      </c>
      <c r="P1012" s="13">
        <v>0</v>
      </c>
      <c r="Q1012" s="13">
        <v>0.0429255287</v>
      </c>
      <c r="R1012" s="13">
        <v>0.3367256428</v>
      </c>
      <c r="S1012" s="13">
        <v>0</v>
      </c>
      <c r="T1012" s="13">
        <v>0.1116901345</v>
      </c>
      <c r="U1012" s="13">
        <v>0.0133969005</v>
      </c>
      <c r="V1012" s="13">
        <v>-0.0479087963</v>
      </c>
      <c r="W1012" s="13">
        <v>-0.005496749</v>
      </c>
      <c r="X1012" s="13">
        <v>0</v>
      </c>
      <c r="Y1012" s="13">
        <v>0</v>
      </c>
      <c r="Z1012" s="13">
        <v>0.0030971511</v>
      </c>
    </row>
    <row r="1013" s="2" customFormat="1" hidden="1" spans="1:26">
      <c r="A1013" s="11" t="s">
        <v>935</v>
      </c>
      <c r="B1013" s="11" t="s">
        <v>937</v>
      </c>
      <c r="C1013" s="14" t="s">
        <v>964</v>
      </c>
      <c r="D1013" s="14" t="s">
        <v>938</v>
      </c>
      <c r="E1013" s="14" t="s">
        <v>939</v>
      </c>
      <c r="F1013" s="3" t="s">
        <v>956</v>
      </c>
      <c r="G1013" s="4">
        <v>63</v>
      </c>
      <c r="H1013" s="12">
        <v>9866.324</v>
      </c>
      <c r="I1013" s="12">
        <v>1750.731129</v>
      </c>
      <c r="J1013" s="13">
        <v>0.1774451283</v>
      </c>
      <c r="K1013" s="13">
        <v>0.1774451283</v>
      </c>
      <c r="L1013" s="12">
        <v>23.0306349206</v>
      </c>
      <c r="M1013" s="13">
        <v>0.1259214984</v>
      </c>
      <c r="N1013" s="13">
        <v>0.017095446</v>
      </c>
      <c r="O1013" s="13">
        <v>0.3243505889</v>
      </c>
      <c r="P1013" s="13">
        <v>0.0151557966</v>
      </c>
      <c r="Q1013" s="13">
        <v>0.0487438993</v>
      </c>
      <c r="R1013" s="13">
        <v>0.1587063808</v>
      </c>
      <c r="S1013" s="13">
        <v>0</v>
      </c>
      <c r="T1013" s="13">
        <v>0.1174832693</v>
      </c>
      <c r="U1013" s="13">
        <v>0.0129856576</v>
      </c>
      <c r="V1013" s="13">
        <v>0</v>
      </c>
      <c r="W1013" s="13">
        <v>0</v>
      </c>
      <c r="X1013" s="13">
        <v>0</v>
      </c>
      <c r="Y1013" s="13">
        <v>0</v>
      </c>
      <c r="Z1013" s="13">
        <v>0.0021123341</v>
      </c>
    </row>
    <row r="1014" s="2" customFormat="1" hidden="1" spans="1:26">
      <c r="A1014" s="11" t="s">
        <v>935</v>
      </c>
      <c r="B1014" s="11" t="s">
        <v>937</v>
      </c>
      <c r="C1014" s="14" t="s">
        <v>964</v>
      </c>
      <c r="D1014" s="14" t="s">
        <v>938</v>
      </c>
      <c r="E1014" s="14" t="s">
        <v>939</v>
      </c>
      <c r="F1014" s="3" t="s">
        <v>957</v>
      </c>
      <c r="G1014" s="4">
        <v>15</v>
      </c>
      <c r="H1014" s="12">
        <v>2650.98</v>
      </c>
      <c r="I1014" s="12">
        <v>1129.120294</v>
      </c>
      <c r="J1014" s="13">
        <v>0.4259256176</v>
      </c>
      <c r="K1014" s="13">
        <v>0.4259256176</v>
      </c>
      <c r="L1014" s="12">
        <v>25.99</v>
      </c>
      <c r="M1014" s="13">
        <v>0.1115833804</v>
      </c>
      <c r="N1014" s="13">
        <v>0.0151488638</v>
      </c>
      <c r="O1014" s="13">
        <v>0.2641785302</v>
      </c>
      <c r="P1014" s="13">
        <v>0</v>
      </c>
      <c r="Q1014" s="13">
        <v>0.0154212423</v>
      </c>
      <c r="R1014" s="13">
        <v>0.0540009053</v>
      </c>
      <c r="S1014" s="13">
        <v>0</v>
      </c>
      <c r="T1014" s="13">
        <v>0.1200461716</v>
      </c>
      <c r="U1014" s="13">
        <v>0.0115070389</v>
      </c>
      <c r="V1014" s="13">
        <v>-0.0182890855</v>
      </c>
      <c r="W1014" s="13">
        <v>0</v>
      </c>
      <c r="X1014" s="13">
        <v>0</v>
      </c>
      <c r="Y1014" s="13">
        <v>0</v>
      </c>
      <c r="Z1014" s="13">
        <v>0.0004773351</v>
      </c>
    </row>
    <row r="1015" s="2" customFormat="1" hidden="1" spans="1:26">
      <c r="A1015" s="11" t="s">
        <v>935</v>
      </c>
      <c r="B1015" s="11" t="s">
        <v>937</v>
      </c>
      <c r="C1015" s="14" t="s">
        <v>964</v>
      </c>
      <c r="D1015" s="14" t="s">
        <v>938</v>
      </c>
      <c r="E1015" s="14" t="s">
        <v>939</v>
      </c>
      <c r="F1015" s="3" t="s">
        <v>940</v>
      </c>
      <c r="G1015" s="4">
        <v>13</v>
      </c>
      <c r="H1015" s="12">
        <v>2243.116</v>
      </c>
      <c r="I1015" s="12">
        <v>507.198827</v>
      </c>
      <c r="J1015" s="13">
        <v>0.2261135077</v>
      </c>
      <c r="K1015" s="13">
        <v>0.2261135077</v>
      </c>
      <c r="L1015" s="12">
        <v>25.3746153846</v>
      </c>
      <c r="M1015" s="13">
        <v>0.1142894981</v>
      </c>
      <c r="N1015" s="13">
        <v>0.0155162537</v>
      </c>
      <c r="O1015" s="13">
        <v>0.2687725467</v>
      </c>
      <c r="P1015" s="13">
        <v>0</v>
      </c>
      <c r="Q1015" s="13">
        <v>0.0044567276</v>
      </c>
      <c r="R1015" s="13">
        <v>0.2434664439</v>
      </c>
      <c r="S1015" s="13">
        <v>0</v>
      </c>
      <c r="T1015" s="13">
        <v>0.1152575256</v>
      </c>
      <c r="U1015" s="13">
        <v>0.0117861073</v>
      </c>
      <c r="V1015" s="13">
        <v>0</v>
      </c>
      <c r="W1015" s="13">
        <v>0</v>
      </c>
      <c r="X1015" s="13">
        <v>0</v>
      </c>
      <c r="Y1015" s="13">
        <v>0</v>
      </c>
      <c r="Z1015" s="13">
        <v>0.0003413889</v>
      </c>
    </row>
    <row r="1016" s="2" customFormat="1" hidden="1" spans="1:26">
      <c r="A1016" s="11" t="s">
        <v>935</v>
      </c>
      <c r="B1016" s="11" t="s">
        <v>937</v>
      </c>
      <c r="C1016" s="14" t="s">
        <v>964</v>
      </c>
      <c r="D1016" s="14" t="s">
        <v>938</v>
      </c>
      <c r="E1016" s="14" t="s">
        <v>939</v>
      </c>
      <c r="F1016" s="3" t="s">
        <v>941</v>
      </c>
      <c r="G1016" s="4">
        <v>188</v>
      </c>
      <c r="H1016" s="12">
        <v>28392.924</v>
      </c>
      <c r="I1016" s="12">
        <v>5607.563712</v>
      </c>
      <c r="J1016" s="13">
        <v>0.1974986342</v>
      </c>
      <c r="K1016" s="13">
        <v>0.1974986342</v>
      </c>
      <c r="L1016" s="12">
        <v>22.2097340425</v>
      </c>
      <c r="M1016" s="13">
        <v>0.1298811703</v>
      </c>
      <c r="N1016" s="13">
        <v>0.0176330216</v>
      </c>
      <c r="O1016" s="13">
        <v>0.2990494392</v>
      </c>
      <c r="P1016" s="13">
        <v>0.0049982876</v>
      </c>
      <c r="Q1016" s="13">
        <v>0.0041889048</v>
      </c>
      <c r="R1016" s="13">
        <v>0.213673659</v>
      </c>
      <c r="S1016" s="13">
        <v>0</v>
      </c>
      <c r="T1016" s="13">
        <v>0.1125369123</v>
      </c>
      <c r="U1016" s="13">
        <v>0.0133939989</v>
      </c>
      <c r="V1016" s="13">
        <v>0.001808197</v>
      </c>
      <c r="W1016" s="13">
        <v>0</v>
      </c>
      <c r="X1016" s="13">
        <v>0</v>
      </c>
      <c r="Y1016" s="13">
        <v>0</v>
      </c>
      <c r="Z1016" s="13">
        <v>0.0053377747</v>
      </c>
    </row>
    <row r="1017" s="2" customFormat="1" hidden="1" spans="1:26">
      <c r="A1017" s="11" t="s">
        <v>935</v>
      </c>
      <c r="B1017" s="11" t="s">
        <v>937</v>
      </c>
      <c r="C1017" s="14" t="s">
        <v>964</v>
      </c>
      <c r="D1017" s="14" t="s">
        <v>938</v>
      </c>
      <c r="E1017" s="14" t="s">
        <v>939</v>
      </c>
      <c r="F1017" s="3" t="s">
        <v>942</v>
      </c>
      <c r="G1017" s="4">
        <v>102</v>
      </c>
      <c r="H1017" s="12">
        <v>16141.772</v>
      </c>
      <c r="I1017" s="12">
        <v>1921.352745</v>
      </c>
      <c r="J1017" s="13">
        <v>0.1190298527</v>
      </c>
      <c r="K1017" s="13">
        <v>0.1190298527</v>
      </c>
      <c r="L1017" s="12">
        <v>23.2724509803</v>
      </c>
      <c r="M1017" s="13">
        <v>0.1221696973</v>
      </c>
      <c r="N1017" s="13">
        <v>0.0299002736</v>
      </c>
      <c r="O1017" s="13">
        <v>0.2847766651</v>
      </c>
      <c r="P1017" s="13">
        <v>0.0263755429</v>
      </c>
      <c r="Q1017" s="13">
        <v>0.0165901076</v>
      </c>
      <c r="R1017" s="13">
        <v>0.2735249224</v>
      </c>
      <c r="S1017" s="13">
        <v>0</v>
      </c>
      <c r="T1017" s="13">
        <v>0.1080087118</v>
      </c>
      <c r="U1017" s="13">
        <v>0.012598753</v>
      </c>
      <c r="V1017" s="13">
        <v>0.000539222</v>
      </c>
      <c r="W1017" s="13">
        <v>0</v>
      </c>
      <c r="X1017" s="13">
        <v>0</v>
      </c>
      <c r="Y1017" s="13">
        <v>0</v>
      </c>
      <c r="Z1017" s="13">
        <v>0.0064862509</v>
      </c>
    </row>
    <row r="1018" s="2" customFormat="1" hidden="1" spans="1:26">
      <c r="A1018" s="11" t="s">
        <v>935</v>
      </c>
      <c r="B1018" s="11" t="s">
        <v>937</v>
      </c>
      <c r="C1018" s="14" t="s">
        <v>964</v>
      </c>
      <c r="D1018" s="14" t="s">
        <v>938</v>
      </c>
      <c r="E1018" s="14" t="s">
        <v>939</v>
      </c>
      <c r="F1018" s="3" t="s">
        <v>943</v>
      </c>
      <c r="G1018" s="4">
        <v>17</v>
      </c>
      <c r="H1018" s="12">
        <v>2879.052</v>
      </c>
      <c r="I1018" s="12">
        <v>244.690255</v>
      </c>
      <c r="J1018" s="13">
        <v>0.0849898699</v>
      </c>
      <c r="K1018" s="13">
        <v>0.0849898699</v>
      </c>
      <c r="L1018" s="12">
        <v>24.9052941176</v>
      </c>
      <c r="M1018" s="13">
        <v>0.1164431965</v>
      </c>
      <c r="N1018" s="13">
        <v>0.0306511785</v>
      </c>
      <c r="O1018" s="13">
        <v>0.271428234</v>
      </c>
      <c r="P1018" s="13">
        <v>0.23505515</v>
      </c>
      <c r="Q1018" s="13">
        <v>0.0406071196</v>
      </c>
      <c r="R1018" s="13">
        <v>0.1658898696</v>
      </c>
      <c r="S1018" s="13">
        <v>0</v>
      </c>
      <c r="T1018" s="13">
        <v>0.0974515222</v>
      </c>
      <c r="U1018" s="13">
        <v>0.0120082075</v>
      </c>
      <c r="V1018" s="13">
        <v>-0.0611729138</v>
      </c>
      <c r="W1018" s="13">
        <v>-0.0173052206</v>
      </c>
      <c r="X1018" s="13">
        <v>0.0110784344</v>
      </c>
      <c r="Y1018" s="13">
        <v>0</v>
      </c>
      <c r="Z1018" s="13">
        <v>0.0128753516</v>
      </c>
    </row>
    <row r="1019" s="2" customFormat="1" spans="1:26">
      <c r="A1019" s="11" t="s">
        <v>935</v>
      </c>
      <c r="B1019" s="11" t="s">
        <v>937</v>
      </c>
      <c r="C1019" s="14" t="s">
        <v>964</v>
      </c>
      <c r="D1019" s="14" t="s">
        <v>938</v>
      </c>
      <c r="E1019" s="14" t="s">
        <v>939</v>
      </c>
      <c r="F1019" s="3" t="s">
        <v>944</v>
      </c>
      <c r="G1019" s="4">
        <v>8</v>
      </c>
      <c r="H1019" s="12">
        <v>1400.256</v>
      </c>
      <c r="I1019" s="12">
        <v>549.274514</v>
      </c>
      <c r="J1019" s="13">
        <v>0.3922672097</v>
      </c>
      <c r="K1019" s="13">
        <v>0.3922672097</v>
      </c>
      <c r="L1019" s="12">
        <v>25.74</v>
      </c>
      <c r="M1019" s="13">
        <v>0.1126671351</v>
      </c>
      <c r="N1019" s="13">
        <v>0.0296572112</v>
      </c>
      <c r="O1019" s="13">
        <v>0.2626262626</v>
      </c>
      <c r="P1019" s="13">
        <v>0</v>
      </c>
      <c r="Q1019" s="13">
        <v>0.0469524586</v>
      </c>
      <c r="R1019" s="13">
        <v>0.0738011549</v>
      </c>
      <c r="S1019" s="13">
        <v>0</v>
      </c>
      <c r="T1019" s="13">
        <v>0.12004662</v>
      </c>
      <c r="U1019" s="13">
        <v>0.0116188011</v>
      </c>
      <c r="V1019" s="13">
        <v>-0.0723581973</v>
      </c>
      <c r="W1019" s="13">
        <v>0</v>
      </c>
      <c r="X1019" s="13">
        <v>0.0213165371</v>
      </c>
      <c r="Y1019" s="13">
        <v>0</v>
      </c>
      <c r="Z1019" s="13">
        <v>0.0014048066</v>
      </c>
    </row>
    <row r="1020" s="2" customFormat="1" hidden="1" spans="1:26">
      <c r="A1020" s="11" t="s">
        <v>935</v>
      </c>
      <c r="B1020" s="11" t="s">
        <v>937</v>
      </c>
      <c r="C1020" s="14" t="s">
        <v>964</v>
      </c>
      <c r="D1020" s="14" t="s">
        <v>938</v>
      </c>
      <c r="E1020" s="14" t="s">
        <v>939</v>
      </c>
      <c r="F1020" s="3" t="s">
        <v>945</v>
      </c>
      <c r="G1020" s="4">
        <v>2</v>
      </c>
      <c r="H1020" s="12">
        <v>339.864</v>
      </c>
      <c r="I1020" s="12">
        <v>135.900154</v>
      </c>
      <c r="J1020" s="13">
        <v>0.3998662818</v>
      </c>
      <c r="K1020" s="13">
        <v>0.3998662818</v>
      </c>
      <c r="L1020" s="12">
        <v>24.99</v>
      </c>
      <c r="M1020" s="13">
        <v>0.1160485017</v>
      </c>
      <c r="N1020" s="13">
        <v>0.0305472836</v>
      </c>
      <c r="O1020" s="13">
        <v>0.2705082032</v>
      </c>
      <c r="P1020" s="13">
        <v>0</v>
      </c>
      <c r="Q1020" s="13">
        <v>0</v>
      </c>
      <c r="R1020" s="13">
        <v>0.0510142056</v>
      </c>
      <c r="S1020" s="13">
        <v>0</v>
      </c>
      <c r="T1020" s="13">
        <v>0.1200480192</v>
      </c>
      <c r="U1020" s="13">
        <v>0.0119675046</v>
      </c>
      <c r="V1020" s="13">
        <v>0</v>
      </c>
      <c r="W1020" s="13">
        <v>0</v>
      </c>
      <c r="X1020" s="13">
        <v>0</v>
      </c>
      <c r="Y1020" s="13">
        <v>0</v>
      </c>
      <c r="Z1020" s="13">
        <v>0</v>
      </c>
    </row>
    <row r="1021" s="2" customFormat="1" hidden="1" spans="1:26">
      <c r="A1021" s="11" t="s">
        <v>935</v>
      </c>
      <c r="B1021" s="11" t="s">
        <v>937</v>
      </c>
      <c r="C1021" s="14" t="s">
        <v>965</v>
      </c>
      <c r="D1021" s="14" t="s">
        <v>938</v>
      </c>
      <c r="E1021" s="14" t="s">
        <v>939</v>
      </c>
      <c r="F1021" s="3" t="s">
        <v>936</v>
      </c>
      <c r="G1021" s="4">
        <v>380</v>
      </c>
      <c r="H1021" s="12">
        <v>55516.016</v>
      </c>
      <c r="I1021" s="12">
        <v>2309.166481</v>
      </c>
      <c r="J1021" s="13">
        <v>0.0415946</v>
      </c>
      <c r="K1021" s="13">
        <v>0.0415946</v>
      </c>
      <c r="L1021" s="12">
        <v>21.4845263157</v>
      </c>
      <c r="M1021" s="13">
        <v>0.1415998957</v>
      </c>
      <c r="N1021" s="13">
        <v>0.0228438816</v>
      </c>
      <c r="O1021" s="13">
        <v>0.3051584249</v>
      </c>
      <c r="P1021" s="13">
        <v>0.0453729244</v>
      </c>
      <c r="Q1021" s="13">
        <v>0.0270607202</v>
      </c>
      <c r="R1021" s="13">
        <v>0.2960143951</v>
      </c>
      <c r="S1021" s="13">
        <v>0</v>
      </c>
      <c r="T1021" s="13">
        <v>0.1077029734</v>
      </c>
      <c r="U1021" s="13">
        <v>0.0146024917</v>
      </c>
      <c r="V1021" s="13">
        <v>-0.0054862005</v>
      </c>
      <c r="W1021" s="13">
        <v>-0.0017680274</v>
      </c>
      <c r="X1021" s="13">
        <v>0.0005622161</v>
      </c>
      <c r="Y1021" s="13">
        <v>0</v>
      </c>
      <c r="Z1021" s="13">
        <v>0.0047417042</v>
      </c>
    </row>
    <row r="1022" s="2" customFormat="1" hidden="1" spans="1:26">
      <c r="A1022" s="11" t="s">
        <v>935</v>
      </c>
      <c r="B1022" s="11" t="s">
        <v>937</v>
      </c>
      <c r="C1022" s="14" t="s">
        <v>965</v>
      </c>
      <c r="D1022" s="14" t="s">
        <v>938</v>
      </c>
      <c r="E1022" s="14" t="s">
        <v>939</v>
      </c>
      <c r="F1022" s="3" t="s">
        <v>947</v>
      </c>
      <c r="G1022" s="4">
        <v>0</v>
      </c>
      <c r="H1022" s="12">
        <v>0</v>
      </c>
      <c r="I1022" s="12">
        <v>-95.608</v>
      </c>
      <c r="J1022" s="13"/>
      <c r="K1022" s="13"/>
      <c r="L1022" s="12"/>
      <c r="M1022" s="13"/>
      <c r="N1022" s="13"/>
      <c r="O1022" s="13"/>
      <c r="P1022" s="13"/>
      <c r="Q1022" s="13"/>
      <c r="R1022" s="13"/>
      <c r="S1022" s="13"/>
      <c r="T1022" s="13"/>
      <c r="U1022" s="13"/>
      <c r="V1022" s="13"/>
      <c r="W1022" s="13"/>
      <c r="X1022" s="13"/>
      <c r="Y1022" s="13"/>
      <c r="Z1022" s="13"/>
    </row>
    <row r="1023" s="2" customFormat="1" hidden="1" spans="1:26">
      <c r="A1023" s="11" t="s">
        <v>935</v>
      </c>
      <c r="B1023" s="11" t="s">
        <v>937</v>
      </c>
      <c r="C1023" s="14" t="s">
        <v>965</v>
      </c>
      <c r="D1023" s="14" t="s">
        <v>938</v>
      </c>
      <c r="E1023" s="14" t="s">
        <v>939</v>
      </c>
      <c r="F1023" s="3" t="s">
        <v>953</v>
      </c>
      <c r="G1023" s="4">
        <v>66</v>
      </c>
      <c r="H1023" s="12">
        <v>9161.912</v>
      </c>
      <c r="I1023" s="12">
        <v>-1273.110722</v>
      </c>
      <c r="J1023" s="13">
        <v>-0.1389568817</v>
      </c>
      <c r="K1023" s="13">
        <v>-0.1389568817</v>
      </c>
      <c r="L1023" s="12">
        <v>20.4142424242</v>
      </c>
      <c r="M1023" s="13">
        <v>0.1506090955</v>
      </c>
      <c r="N1023" s="13">
        <v>0.031196004</v>
      </c>
      <c r="O1023" s="13">
        <v>0.3229993913</v>
      </c>
      <c r="P1023" s="13">
        <v>0.0296732821</v>
      </c>
      <c r="Q1023" s="13">
        <v>0.0260295241</v>
      </c>
      <c r="R1023" s="13">
        <v>0.4761459327</v>
      </c>
      <c r="S1023" s="13">
        <v>0</v>
      </c>
      <c r="T1023" s="13">
        <v>0.109140974</v>
      </c>
      <c r="U1023" s="13">
        <v>0.0155315654</v>
      </c>
      <c r="V1023" s="13">
        <v>-0.0227114165</v>
      </c>
      <c r="W1023" s="13">
        <v>-0.0027546227</v>
      </c>
      <c r="X1023" s="13">
        <v>0</v>
      </c>
      <c r="Y1023" s="13">
        <v>0</v>
      </c>
      <c r="Z1023" s="13">
        <v>0.0030971513</v>
      </c>
    </row>
    <row r="1024" s="2" customFormat="1" hidden="1" spans="1:26">
      <c r="A1024" s="11" t="s">
        <v>935</v>
      </c>
      <c r="B1024" s="11" t="s">
        <v>937</v>
      </c>
      <c r="C1024" s="14" t="s">
        <v>965</v>
      </c>
      <c r="D1024" s="14" t="s">
        <v>938</v>
      </c>
      <c r="E1024" s="14" t="s">
        <v>939</v>
      </c>
      <c r="F1024" s="3" t="s">
        <v>956</v>
      </c>
      <c r="G1024" s="4">
        <v>35</v>
      </c>
      <c r="H1024" s="12">
        <v>5237.564</v>
      </c>
      <c r="I1024" s="12">
        <v>1273.371961</v>
      </c>
      <c r="J1024" s="13">
        <v>0.2431229405</v>
      </c>
      <c r="K1024" s="13">
        <v>0.2431229405</v>
      </c>
      <c r="L1024" s="12">
        <v>22.0065714285</v>
      </c>
      <c r="M1024" s="13">
        <v>0.1397114765</v>
      </c>
      <c r="N1024" s="13">
        <v>0.0179530865</v>
      </c>
      <c r="O1024" s="13">
        <v>0.2962751385</v>
      </c>
      <c r="P1024" s="13">
        <v>0</v>
      </c>
      <c r="Q1024" s="13">
        <v>0.0568078181</v>
      </c>
      <c r="R1024" s="13">
        <v>0.1121705569</v>
      </c>
      <c r="S1024" s="13">
        <v>0</v>
      </c>
      <c r="T1024" s="13">
        <v>0.1190034145</v>
      </c>
      <c r="U1024" s="13">
        <v>0.0144077485</v>
      </c>
      <c r="V1024" s="13">
        <v>0</v>
      </c>
      <c r="W1024" s="13">
        <v>0</v>
      </c>
      <c r="X1024" s="13">
        <v>0</v>
      </c>
      <c r="Y1024" s="13">
        <v>0</v>
      </c>
      <c r="Z1024" s="13">
        <v>0.0005478195</v>
      </c>
    </row>
    <row r="1025" s="2" customFormat="1" hidden="1" spans="1:26">
      <c r="A1025" s="11" t="s">
        <v>935</v>
      </c>
      <c r="B1025" s="11" t="s">
        <v>937</v>
      </c>
      <c r="C1025" s="14" t="s">
        <v>965</v>
      </c>
      <c r="D1025" s="14" t="s">
        <v>938</v>
      </c>
      <c r="E1025" s="14" t="s">
        <v>939</v>
      </c>
      <c r="F1025" s="3" t="s">
        <v>957</v>
      </c>
      <c r="G1025" s="4">
        <v>8</v>
      </c>
      <c r="H1025" s="12">
        <v>1386.656</v>
      </c>
      <c r="I1025" s="12">
        <v>256.105638</v>
      </c>
      <c r="J1025" s="13">
        <v>0.1846929865</v>
      </c>
      <c r="K1025" s="13">
        <v>0.1846929865</v>
      </c>
      <c r="L1025" s="12">
        <v>25.49</v>
      </c>
      <c r="M1025" s="13">
        <v>0.120618697</v>
      </c>
      <c r="N1025" s="13">
        <v>0.0154996423</v>
      </c>
      <c r="O1025" s="13">
        <v>0.2455865045</v>
      </c>
      <c r="P1025" s="13">
        <v>0</v>
      </c>
      <c r="Q1025" s="13">
        <v>0.018441881</v>
      </c>
      <c r="R1025" s="13">
        <v>0.362473656</v>
      </c>
      <c r="S1025" s="13">
        <v>0</v>
      </c>
      <c r="T1025" s="13">
        <v>0.1200470772</v>
      </c>
      <c r="U1025" s="13">
        <v>0.0124388052</v>
      </c>
      <c r="V1025" s="13">
        <v>-0.080276579</v>
      </c>
      <c r="W1025" s="13">
        <v>0</v>
      </c>
      <c r="X1025" s="13">
        <v>0</v>
      </c>
      <c r="Y1025" s="13">
        <v>0</v>
      </c>
      <c r="Z1025" s="13">
        <v>0.0004773289</v>
      </c>
    </row>
    <row r="1026" s="2" customFormat="1" hidden="1" spans="1:26">
      <c r="A1026" s="11" t="s">
        <v>935</v>
      </c>
      <c r="B1026" s="11" t="s">
        <v>937</v>
      </c>
      <c r="C1026" s="14" t="s">
        <v>965</v>
      </c>
      <c r="D1026" s="14" t="s">
        <v>938</v>
      </c>
      <c r="E1026" s="14" t="s">
        <v>939</v>
      </c>
      <c r="F1026" s="3" t="s">
        <v>940</v>
      </c>
      <c r="G1026" s="4">
        <v>10</v>
      </c>
      <c r="H1026" s="12">
        <v>1740.12</v>
      </c>
      <c r="I1026" s="12">
        <v>192.644357</v>
      </c>
      <c r="J1026" s="13">
        <v>0.1107075127</v>
      </c>
      <c r="K1026" s="13">
        <v>0.1107075127</v>
      </c>
      <c r="L1026" s="12">
        <v>25.59</v>
      </c>
      <c r="M1026" s="13">
        <v>0.1201473461</v>
      </c>
      <c r="N1026" s="13">
        <v>0.0154390731</v>
      </c>
      <c r="O1026" s="13">
        <v>0.2446268073</v>
      </c>
      <c r="P1026" s="13">
        <v>0.1015631105</v>
      </c>
      <c r="Q1026" s="13">
        <v>0.0054835494</v>
      </c>
      <c r="R1026" s="13">
        <v>0.2835565885</v>
      </c>
      <c r="S1026" s="13">
        <v>0</v>
      </c>
      <c r="T1026" s="13">
        <v>0.1057444314</v>
      </c>
      <c r="U1026" s="13">
        <v>0.0123901972</v>
      </c>
      <c r="V1026" s="13">
        <v>0</v>
      </c>
      <c r="W1026" s="13">
        <v>0</v>
      </c>
      <c r="X1026" s="13">
        <v>0</v>
      </c>
      <c r="Y1026" s="13">
        <v>0</v>
      </c>
      <c r="Z1026" s="13">
        <v>0.0003413833</v>
      </c>
    </row>
    <row r="1027" s="2" customFormat="1" hidden="1" spans="1:26">
      <c r="A1027" s="11" t="s">
        <v>935</v>
      </c>
      <c r="B1027" s="11" t="s">
        <v>937</v>
      </c>
      <c r="C1027" s="14" t="s">
        <v>965</v>
      </c>
      <c r="D1027" s="14" t="s">
        <v>938</v>
      </c>
      <c r="E1027" s="14" t="s">
        <v>939</v>
      </c>
      <c r="F1027" s="3" t="s">
        <v>941</v>
      </c>
      <c r="G1027" s="4">
        <v>70</v>
      </c>
      <c r="H1027" s="12">
        <v>9972.54</v>
      </c>
      <c r="I1027" s="12">
        <v>-494.902385</v>
      </c>
      <c r="J1027" s="13">
        <v>-0.0496265129</v>
      </c>
      <c r="K1027" s="13">
        <v>-0.0496265129</v>
      </c>
      <c r="L1027" s="12">
        <v>20.9507142857</v>
      </c>
      <c r="M1027" s="13">
        <v>0.1446560775</v>
      </c>
      <c r="N1027" s="13">
        <v>0.0185884735</v>
      </c>
      <c r="O1027" s="13">
        <v>0.317663905</v>
      </c>
      <c r="P1027" s="13">
        <v>0.0861477617</v>
      </c>
      <c r="Q1027" s="13">
        <v>0.0113806074</v>
      </c>
      <c r="R1027" s="13">
        <v>0.3437916411</v>
      </c>
      <c r="S1027" s="13">
        <v>0</v>
      </c>
      <c r="T1027" s="13">
        <v>0.1067266714</v>
      </c>
      <c r="U1027" s="13">
        <v>0.0149176605</v>
      </c>
      <c r="V1027" s="13">
        <v>0.0004159421</v>
      </c>
      <c r="W1027" s="13">
        <v>0</v>
      </c>
      <c r="X1027" s="13">
        <v>0</v>
      </c>
      <c r="Y1027" s="13">
        <v>0</v>
      </c>
      <c r="Z1027" s="13">
        <v>0.005337772</v>
      </c>
    </row>
    <row r="1028" s="2" customFormat="1" hidden="1" spans="1:26">
      <c r="A1028" s="11" t="s">
        <v>935</v>
      </c>
      <c r="B1028" s="11" t="s">
        <v>937</v>
      </c>
      <c r="C1028" s="14" t="s">
        <v>965</v>
      </c>
      <c r="D1028" s="14" t="s">
        <v>938</v>
      </c>
      <c r="E1028" s="14" t="s">
        <v>939</v>
      </c>
      <c r="F1028" s="3" t="s">
        <v>942</v>
      </c>
      <c r="G1028" s="4">
        <v>87</v>
      </c>
      <c r="H1028" s="12">
        <v>11734.352</v>
      </c>
      <c r="I1028" s="12">
        <v>-559.756983</v>
      </c>
      <c r="J1028" s="13">
        <v>-0.0477024196</v>
      </c>
      <c r="K1028" s="13">
        <v>-0.0477024196</v>
      </c>
      <c r="L1028" s="12">
        <v>19.8349425287</v>
      </c>
      <c r="M1028" s="13">
        <v>0.1496626929</v>
      </c>
      <c r="N1028" s="13">
        <v>0.0243268413</v>
      </c>
      <c r="O1028" s="13">
        <v>0.3358753853</v>
      </c>
      <c r="P1028" s="13">
        <v>0.0366067082</v>
      </c>
      <c r="Q1028" s="13">
        <v>0.0285538154</v>
      </c>
      <c r="R1028" s="13">
        <v>0.3686556133</v>
      </c>
      <c r="S1028" s="13">
        <v>0</v>
      </c>
      <c r="T1028" s="13">
        <v>0.0966597899</v>
      </c>
      <c r="U1028" s="13">
        <v>0.0154339678</v>
      </c>
      <c r="V1028" s="13">
        <v>-0.00834473</v>
      </c>
      <c r="W1028" s="13">
        <v>-0.0062139119</v>
      </c>
      <c r="X1028" s="13">
        <v>0</v>
      </c>
      <c r="Y1028" s="13">
        <v>0</v>
      </c>
      <c r="Z1028" s="13">
        <v>0.006486247</v>
      </c>
    </row>
    <row r="1029" s="2" customFormat="1" hidden="1" spans="1:26">
      <c r="A1029" s="11" t="s">
        <v>935</v>
      </c>
      <c r="B1029" s="11" t="s">
        <v>937</v>
      </c>
      <c r="C1029" s="14" t="s">
        <v>965</v>
      </c>
      <c r="D1029" s="14" t="s">
        <v>938</v>
      </c>
      <c r="E1029" s="14" t="s">
        <v>939</v>
      </c>
      <c r="F1029" s="3" t="s">
        <v>943</v>
      </c>
      <c r="G1029" s="4">
        <v>44</v>
      </c>
      <c r="H1029" s="12">
        <v>6902.952</v>
      </c>
      <c r="I1029" s="12">
        <v>1107.276891</v>
      </c>
      <c r="J1029" s="13">
        <v>0.1604062857</v>
      </c>
      <c r="K1029" s="13">
        <v>0.1604062857</v>
      </c>
      <c r="L1029" s="12">
        <v>23.0713636363</v>
      </c>
      <c r="M1029" s="13">
        <v>0.1332634965</v>
      </c>
      <c r="N1029" s="13">
        <v>0.0226257502</v>
      </c>
      <c r="O1029" s="13">
        <v>0.2868668361</v>
      </c>
      <c r="P1029" s="13">
        <v>0.0452942451</v>
      </c>
      <c r="Q1029" s="13">
        <v>0.0424718069</v>
      </c>
      <c r="R1029" s="13">
        <v>0.1806250573</v>
      </c>
      <c r="S1029" s="13">
        <v>0</v>
      </c>
      <c r="T1029" s="13">
        <v>0.1143192072</v>
      </c>
      <c r="U1029" s="13">
        <v>0.0137428004</v>
      </c>
      <c r="V1029" s="13">
        <v>-0.0139980692</v>
      </c>
      <c r="W1029" s="13">
        <v>0</v>
      </c>
      <c r="X1029" s="13">
        <v>0.0015071811</v>
      </c>
      <c r="Y1029" s="13">
        <v>0</v>
      </c>
      <c r="Z1029" s="13">
        <v>0.0128754022</v>
      </c>
    </row>
    <row r="1030" s="2" customFormat="1" spans="1:26">
      <c r="A1030" s="11" t="s">
        <v>935</v>
      </c>
      <c r="B1030" s="11" t="s">
        <v>937</v>
      </c>
      <c r="C1030" s="14" t="s">
        <v>965</v>
      </c>
      <c r="D1030" s="14" t="s">
        <v>938</v>
      </c>
      <c r="E1030" s="14" t="s">
        <v>939</v>
      </c>
      <c r="F1030" s="3" t="s">
        <v>944</v>
      </c>
      <c r="G1030" s="4">
        <v>57</v>
      </c>
      <c r="H1030" s="12">
        <v>8910.924</v>
      </c>
      <c r="I1030" s="12">
        <v>1916.726257</v>
      </c>
      <c r="J1030" s="13">
        <v>0.2150984855</v>
      </c>
      <c r="K1030" s="13">
        <v>0.2150984855</v>
      </c>
      <c r="L1030" s="12">
        <v>22.99</v>
      </c>
      <c r="M1030" s="13">
        <v>0.1337351278</v>
      </c>
      <c r="N1030" s="13">
        <v>0.0227058247</v>
      </c>
      <c r="O1030" s="13">
        <v>0.2744671596</v>
      </c>
      <c r="P1030" s="13">
        <v>0.0526315789</v>
      </c>
      <c r="Q1030" s="13">
        <v>0.021259196</v>
      </c>
      <c r="R1030" s="13">
        <v>0.1547667458</v>
      </c>
      <c r="S1030" s="13">
        <v>0</v>
      </c>
      <c r="T1030" s="13">
        <v>0.1079035125</v>
      </c>
      <c r="U1030" s="13">
        <v>0.0137914374</v>
      </c>
      <c r="V1030" s="13">
        <v>0</v>
      </c>
      <c r="W1030" s="13">
        <v>0</v>
      </c>
      <c r="X1030" s="13">
        <v>0.0022361177</v>
      </c>
      <c r="Y1030" s="13">
        <v>0</v>
      </c>
      <c r="Z1030" s="13">
        <v>0.0014048136</v>
      </c>
    </row>
    <row r="1031" s="2" customFormat="1" hidden="1" spans="1:26">
      <c r="A1031" s="11" t="s">
        <v>935</v>
      </c>
      <c r="B1031" s="11" t="s">
        <v>937</v>
      </c>
      <c r="C1031" s="14" t="s">
        <v>965</v>
      </c>
      <c r="D1031" s="14" t="s">
        <v>938</v>
      </c>
      <c r="E1031" s="14" t="s">
        <v>939</v>
      </c>
      <c r="F1031" s="3" t="s">
        <v>945</v>
      </c>
      <c r="G1031" s="4">
        <v>3</v>
      </c>
      <c r="H1031" s="12">
        <v>468.996</v>
      </c>
      <c r="I1031" s="12">
        <v>-13.580533</v>
      </c>
      <c r="J1031" s="13">
        <v>-0.0289566073</v>
      </c>
      <c r="K1031" s="13">
        <v>-0.0289566073</v>
      </c>
      <c r="L1031" s="12">
        <v>22.99</v>
      </c>
      <c r="M1031" s="13">
        <v>0.1337351278</v>
      </c>
      <c r="N1031" s="13">
        <v>0.0227058247</v>
      </c>
      <c r="O1031" s="13">
        <v>0.2744671596</v>
      </c>
      <c r="P1031" s="13">
        <v>0</v>
      </c>
      <c r="Q1031" s="13">
        <v>0</v>
      </c>
      <c r="R1031" s="13">
        <v>0.0247424242</v>
      </c>
      <c r="S1031" s="13">
        <v>0</v>
      </c>
      <c r="T1031" s="13">
        <v>0.1200521966</v>
      </c>
      <c r="U1031" s="13">
        <v>0.0137914374</v>
      </c>
      <c r="V1031" s="13">
        <v>0.4375815571</v>
      </c>
      <c r="W1031" s="13">
        <v>0</v>
      </c>
      <c r="X1031" s="13">
        <v>0.0018808795</v>
      </c>
      <c r="Y1031" s="13">
        <v>0</v>
      </c>
      <c r="Z1031" s="13">
        <v>0</v>
      </c>
    </row>
    <row r="1032" s="2" customFormat="1" hidden="1" spans="1:26">
      <c r="A1032" s="11" t="s">
        <v>935</v>
      </c>
      <c r="B1032" s="11" t="s">
        <v>937</v>
      </c>
      <c r="C1032" s="14" t="s">
        <v>966</v>
      </c>
      <c r="D1032" s="14" t="s">
        <v>938</v>
      </c>
      <c r="E1032" s="14" t="s">
        <v>939</v>
      </c>
      <c r="F1032" s="3" t="s">
        <v>936</v>
      </c>
      <c r="G1032" s="4">
        <v>940.0000000003</v>
      </c>
      <c r="H1032" s="12">
        <v>131370.696</v>
      </c>
      <c r="I1032" s="12">
        <v>24619.150085</v>
      </c>
      <c r="J1032" s="13">
        <v>0.1874021439</v>
      </c>
      <c r="K1032" s="13">
        <v>0.1874021439</v>
      </c>
      <c r="L1032" s="12">
        <v>20.5523617021</v>
      </c>
      <c r="M1032" s="13">
        <v>0.1356816117</v>
      </c>
      <c r="N1032" s="13">
        <v>0.0309498799</v>
      </c>
      <c r="O1032" s="13">
        <v>0.3380038118</v>
      </c>
      <c r="P1032" s="13">
        <v>0.0120693278</v>
      </c>
      <c r="Q1032" s="13">
        <v>0.0175599716</v>
      </c>
      <c r="R1032" s="13">
        <v>0.1480746773</v>
      </c>
      <c r="S1032" s="13">
        <v>0</v>
      </c>
      <c r="T1032" s="13">
        <v>0.1140051202</v>
      </c>
      <c r="U1032" s="13">
        <v>0.0139921676</v>
      </c>
      <c r="V1032" s="13">
        <v>-0.0029820044</v>
      </c>
      <c r="W1032" s="13">
        <v>-0.0003466116</v>
      </c>
      <c r="X1032" s="13">
        <v>0.0002349991</v>
      </c>
      <c r="Y1032" s="13">
        <v>0</v>
      </c>
      <c r="Z1032" s="13">
        <v>0.0053549045</v>
      </c>
    </row>
    <row r="1033" s="2" customFormat="1" hidden="1" spans="1:26">
      <c r="A1033" s="11" t="s">
        <v>935</v>
      </c>
      <c r="B1033" s="11" t="s">
        <v>937</v>
      </c>
      <c r="C1033" s="14" t="s">
        <v>966</v>
      </c>
      <c r="D1033" s="14" t="s">
        <v>938</v>
      </c>
      <c r="E1033" s="14" t="s">
        <v>939</v>
      </c>
      <c r="F1033" s="3" t="s">
        <v>947</v>
      </c>
      <c r="G1033" s="4">
        <v>0</v>
      </c>
      <c r="H1033" s="12">
        <v>0</v>
      </c>
      <c r="I1033" s="12">
        <v>-442.884</v>
      </c>
      <c r="J1033" s="13"/>
      <c r="K1033" s="13"/>
      <c r="L1033" s="12"/>
      <c r="M1033" s="13"/>
      <c r="N1033" s="13"/>
      <c r="O1033" s="13"/>
      <c r="P1033" s="13"/>
      <c r="Q1033" s="13"/>
      <c r="R1033" s="13"/>
      <c r="S1033" s="13"/>
      <c r="T1033" s="13"/>
      <c r="U1033" s="13"/>
      <c r="V1033" s="13"/>
      <c r="W1033" s="13"/>
      <c r="X1033" s="13"/>
      <c r="Y1033" s="13"/>
      <c r="Z1033" s="13"/>
    </row>
    <row r="1034" s="2" customFormat="1" hidden="1" spans="1:26">
      <c r="A1034" s="11" t="s">
        <v>935</v>
      </c>
      <c r="B1034" s="11" t="s">
        <v>937</v>
      </c>
      <c r="C1034" s="14" t="s">
        <v>966</v>
      </c>
      <c r="D1034" s="14" t="s">
        <v>938</v>
      </c>
      <c r="E1034" s="14" t="s">
        <v>939</v>
      </c>
      <c r="F1034" s="3" t="s">
        <v>953</v>
      </c>
      <c r="G1034" s="4">
        <v>93.0000000003</v>
      </c>
      <c r="H1034" s="12">
        <v>13992.02</v>
      </c>
      <c r="I1034" s="12">
        <v>3644.942213</v>
      </c>
      <c r="J1034" s="13">
        <v>0.260501501</v>
      </c>
      <c r="K1034" s="13">
        <v>0.260501501</v>
      </c>
      <c r="L1034" s="12">
        <v>22.1252688171</v>
      </c>
      <c r="M1034" s="13">
        <v>0.1265744876</v>
      </c>
      <c r="N1034" s="13">
        <v>0.0236404972</v>
      </c>
      <c r="O1034" s="13">
        <v>0.2884455576</v>
      </c>
      <c r="P1034" s="13">
        <v>0</v>
      </c>
      <c r="Q1034" s="13">
        <v>0.0127956322</v>
      </c>
      <c r="R1034" s="13">
        <v>0.1815804126</v>
      </c>
      <c r="S1034" s="13">
        <v>0</v>
      </c>
      <c r="T1034" s="13">
        <v>0.120054431</v>
      </c>
      <c r="U1034" s="13">
        <v>0.0130529958</v>
      </c>
      <c r="V1034" s="13">
        <v>-0.0297426676</v>
      </c>
      <c r="W1034" s="13">
        <v>0</v>
      </c>
      <c r="X1034" s="13">
        <v>0</v>
      </c>
      <c r="Y1034" s="13">
        <v>0</v>
      </c>
      <c r="Z1034" s="13">
        <v>0.003097152</v>
      </c>
    </row>
    <row r="1035" s="2" customFormat="1" hidden="1" spans="1:26">
      <c r="A1035" s="11" t="s">
        <v>935</v>
      </c>
      <c r="B1035" s="11" t="s">
        <v>937</v>
      </c>
      <c r="C1035" s="14" t="s">
        <v>966</v>
      </c>
      <c r="D1035" s="14" t="s">
        <v>938</v>
      </c>
      <c r="E1035" s="14" t="s">
        <v>939</v>
      </c>
      <c r="F1035" s="3" t="s">
        <v>956</v>
      </c>
      <c r="G1035" s="4">
        <v>18</v>
      </c>
      <c r="H1035" s="12">
        <v>2899.52</v>
      </c>
      <c r="I1035" s="12">
        <v>966.015353</v>
      </c>
      <c r="J1035" s="13">
        <v>0.3331638867</v>
      </c>
      <c r="K1035" s="13">
        <v>0.3331638867</v>
      </c>
      <c r="L1035" s="12">
        <v>23.6888888888</v>
      </c>
      <c r="M1035" s="13">
        <v>0.1182197512</v>
      </c>
      <c r="N1035" s="13">
        <v>0.0137042465</v>
      </c>
      <c r="O1035" s="13">
        <v>0.2671435272</v>
      </c>
      <c r="P1035" s="13">
        <v>0.0515712945</v>
      </c>
      <c r="Q1035" s="13">
        <v>0.0477853679</v>
      </c>
      <c r="R1035" s="13">
        <v>0.0478986125</v>
      </c>
      <c r="S1035" s="13">
        <v>0</v>
      </c>
      <c r="T1035" s="13">
        <v>0.1151031894</v>
      </c>
      <c r="U1035" s="13">
        <v>0.0121914134</v>
      </c>
      <c r="V1035" s="13">
        <v>0</v>
      </c>
      <c r="W1035" s="13">
        <v>-0.007329111</v>
      </c>
      <c r="X1035" s="13">
        <v>0</v>
      </c>
      <c r="Y1035" s="13">
        <v>0</v>
      </c>
      <c r="Z1035" s="13">
        <v>0.0005478213</v>
      </c>
    </row>
    <row r="1036" s="2" customFormat="1" hidden="1" spans="1:26">
      <c r="A1036" s="11" t="s">
        <v>935</v>
      </c>
      <c r="B1036" s="11" t="s">
        <v>937</v>
      </c>
      <c r="C1036" s="14" t="s">
        <v>966</v>
      </c>
      <c r="D1036" s="14" t="s">
        <v>938</v>
      </c>
      <c r="E1036" s="14" t="s">
        <v>939</v>
      </c>
      <c r="F1036" s="3" t="s">
        <v>957</v>
      </c>
      <c r="G1036" s="4">
        <v>0</v>
      </c>
      <c r="H1036" s="12">
        <v>0</v>
      </c>
      <c r="I1036" s="12">
        <v>-1.152592</v>
      </c>
      <c r="J1036" s="13"/>
      <c r="K1036" s="13"/>
      <c r="L1036" s="12"/>
      <c r="M1036" s="13"/>
      <c r="N1036" s="13"/>
      <c r="O1036" s="13"/>
      <c r="P1036" s="13"/>
      <c r="Q1036" s="13"/>
      <c r="R1036" s="13"/>
      <c r="S1036" s="13"/>
      <c r="T1036" s="13"/>
      <c r="U1036" s="13"/>
      <c r="V1036" s="13"/>
      <c r="W1036" s="13"/>
      <c r="X1036" s="13"/>
      <c r="Y1036" s="13"/>
      <c r="Z1036" s="13"/>
    </row>
    <row r="1037" s="2" customFormat="1" hidden="1" spans="1:26">
      <c r="A1037" s="11" t="s">
        <v>935</v>
      </c>
      <c r="B1037" s="11" t="s">
        <v>937</v>
      </c>
      <c r="C1037" s="14" t="s">
        <v>966</v>
      </c>
      <c r="D1037" s="14" t="s">
        <v>938</v>
      </c>
      <c r="E1037" s="14" t="s">
        <v>939</v>
      </c>
      <c r="F1037" s="3" t="s">
        <v>940</v>
      </c>
      <c r="G1037" s="4">
        <v>8</v>
      </c>
      <c r="H1037" s="12">
        <v>1332.256</v>
      </c>
      <c r="I1037" s="12">
        <v>110.681615</v>
      </c>
      <c r="J1037" s="13">
        <v>0.0830783385</v>
      </c>
      <c r="K1037" s="13">
        <v>0.0830783385</v>
      </c>
      <c r="L1037" s="12">
        <v>24.49</v>
      </c>
      <c r="M1037" s="13">
        <v>0.1143525748</v>
      </c>
      <c r="N1037" s="13">
        <v>0.0132559568</v>
      </c>
      <c r="O1037" s="13">
        <v>0.280675786</v>
      </c>
      <c r="P1037" s="13">
        <v>0</v>
      </c>
      <c r="Q1037" s="13">
        <v>0.0008192269</v>
      </c>
      <c r="R1037" s="13">
        <v>0.3966130667</v>
      </c>
      <c r="S1037" s="13">
        <v>0</v>
      </c>
      <c r="T1037" s="13">
        <v>0.0990710494</v>
      </c>
      <c r="U1037" s="13">
        <v>0.0117926104</v>
      </c>
      <c r="V1037" s="13">
        <v>0</v>
      </c>
      <c r="W1037" s="13">
        <v>0</v>
      </c>
      <c r="X1037" s="13">
        <v>0</v>
      </c>
      <c r="Y1037" s="13">
        <v>0</v>
      </c>
      <c r="Z1037" s="13">
        <v>0.00034139</v>
      </c>
    </row>
    <row r="1038" s="2" customFormat="1" hidden="1" spans="1:26">
      <c r="A1038" s="11" t="s">
        <v>935</v>
      </c>
      <c r="B1038" s="11" t="s">
        <v>937</v>
      </c>
      <c r="C1038" s="14" t="s">
        <v>966</v>
      </c>
      <c r="D1038" s="14" t="s">
        <v>938</v>
      </c>
      <c r="E1038" s="14" t="s">
        <v>939</v>
      </c>
      <c r="F1038" s="3" t="s">
        <v>941</v>
      </c>
      <c r="G1038" s="4">
        <v>178</v>
      </c>
      <c r="H1038" s="12">
        <v>23831.348</v>
      </c>
      <c r="I1038" s="12">
        <v>4277.417214</v>
      </c>
      <c r="J1038" s="13">
        <v>0.1794870023</v>
      </c>
      <c r="K1038" s="13">
        <v>0.1794870023</v>
      </c>
      <c r="L1038" s="12">
        <v>19.6888202247</v>
      </c>
      <c r="M1038" s="13">
        <v>0.1406396267</v>
      </c>
      <c r="N1038" s="13">
        <v>0.0163031992</v>
      </c>
      <c r="O1038" s="13">
        <v>0.352587021</v>
      </c>
      <c r="P1038" s="13">
        <v>0.0180476572</v>
      </c>
      <c r="Q1038" s="13">
        <v>0.0055939964</v>
      </c>
      <c r="R1038" s="13">
        <v>0.156660537</v>
      </c>
      <c r="S1038" s="13">
        <v>0</v>
      </c>
      <c r="T1038" s="13">
        <v>0.1105372637</v>
      </c>
      <c r="U1038" s="13">
        <v>0.0145034629</v>
      </c>
      <c r="V1038" s="13">
        <v>0.0003024587</v>
      </c>
      <c r="W1038" s="13">
        <v>0</v>
      </c>
      <c r="X1038" s="13">
        <v>0</v>
      </c>
      <c r="Y1038" s="13">
        <v>0</v>
      </c>
      <c r="Z1038" s="13">
        <v>0.0053377743</v>
      </c>
    </row>
    <row r="1039" s="2" customFormat="1" hidden="1" spans="1:26">
      <c r="A1039" s="11" t="s">
        <v>935</v>
      </c>
      <c r="B1039" s="11" t="s">
        <v>937</v>
      </c>
      <c r="C1039" s="14" t="s">
        <v>966</v>
      </c>
      <c r="D1039" s="14" t="s">
        <v>938</v>
      </c>
      <c r="E1039" s="14" t="s">
        <v>939</v>
      </c>
      <c r="F1039" s="3" t="s">
        <v>942</v>
      </c>
      <c r="G1039" s="4">
        <v>195</v>
      </c>
      <c r="H1039" s="12">
        <v>27592.632</v>
      </c>
      <c r="I1039" s="12">
        <v>3188.409152</v>
      </c>
      <c r="J1039" s="13">
        <v>0.1155529183</v>
      </c>
      <c r="K1039" s="13">
        <v>0.1155529183</v>
      </c>
      <c r="L1039" s="12">
        <v>20.8089230769</v>
      </c>
      <c r="M1039" s="13">
        <v>0.1338912656</v>
      </c>
      <c r="N1039" s="13">
        <v>0.0343124578</v>
      </c>
      <c r="O1039" s="13">
        <v>0.3380157427</v>
      </c>
      <c r="P1039" s="13">
        <v>0.0108385455</v>
      </c>
      <c r="Q1039" s="13">
        <v>0.0257195028</v>
      </c>
      <c r="R1039" s="13">
        <v>0.2177959578</v>
      </c>
      <c r="S1039" s="13">
        <v>0</v>
      </c>
      <c r="T1039" s="13">
        <v>0.1034787837</v>
      </c>
      <c r="U1039" s="13">
        <v>0.0138075381</v>
      </c>
      <c r="V1039" s="13">
        <v>0.0001010414</v>
      </c>
      <c r="W1039" s="13">
        <v>0</v>
      </c>
      <c r="X1039" s="13">
        <v>0</v>
      </c>
      <c r="Y1039" s="13">
        <v>0</v>
      </c>
      <c r="Z1039" s="13">
        <v>0.0064862457</v>
      </c>
    </row>
    <row r="1040" s="2" customFormat="1" hidden="1" spans="1:26">
      <c r="A1040" s="11" t="s">
        <v>935</v>
      </c>
      <c r="B1040" s="11" t="s">
        <v>937</v>
      </c>
      <c r="C1040" s="14" t="s">
        <v>966</v>
      </c>
      <c r="D1040" s="14" t="s">
        <v>938</v>
      </c>
      <c r="E1040" s="14" t="s">
        <v>939</v>
      </c>
      <c r="F1040" s="3" t="s">
        <v>943</v>
      </c>
      <c r="G1040" s="4">
        <v>165</v>
      </c>
      <c r="H1040" s="12">
        <v>23254.164</v>
      </c>
      <c r="I1040" s="12">
        <v>5437.875976</v>
      </c>
      <c r="J1040" s="13">
        <v>0.2338452578</v>
      </c>
      <c r="K1040" s="13">
        <v>0.2338452578</v>
      </c>
      <c r="L1040" s="12">
        <v>20.7256363636</v>
      </c>
      <c r="M1040" s="13">
        <v>0.1343033244</v>
      </c>
      <c r="N1040" s="13">
        <v>0.036957542</v>
      </c>
      <c r="O1040" s="13">
        <v>0.3390560073</v>
      </c>
      <c r="P1040" s="13">
        <v>0.0064303322</v>
      </c>
      <c r="Q1040" s="13">
        <v>0.0278886376</v>
      </c>
      <c r="R1040" s="13">
        <v>0.0755179891</v>
      </c>
      <c r="S1040" s="13">
        <v>0</v>
      </c>
      <c r="T1040" s="13">
        <v>0.1194129361</v>
      </c>
      <c r="U1040" s="13">
        <v>0.0138500316</v>
      </c>
      <c r="V1040" s="13">
        <v>-0.0014650279</v>
      </c>
      <c r="W1040" s="13">
        <v>0</v>
      </c>
      <c r="X1040" s="13">
        <v>0.0013275901</v>
      </c>
      <c r="Y1040" s="13">
        <v>0</v>
      </c>
      <c r="Z1040" s="13">
        <v>0.0128753793</v>
      </c>
    </row>
    <row r="1041" s="2" customFormat="1" spans="1:26">
      <c r="A1041" s="11" t="s">
        <v>935</v>
      </c>
      <c r="B1041" s="11" t="s">
        <v>937</v>
      </c>
      <c r="C1041" s="14" t="s">
        <v>966</v>
      </c>
      <c r="D1041" s="14" t="s">
        <v>938</v>
      </c>
      <c r="E1041" s="14" t="s">
        <v>939</v>
      </c>
      <c r="F1041" s="3" t="s">
        <v>944</v>
      </c>
      <c r="G1041" s="4">
        <v>275</v>
      </c>
      <c r="H1041" s="12">
        <v>37381.3</v>
      </c>
      <c r="I1041" s="12">
        <v>7383.94266</v>
      </c>
      <c r="J1041" s="13">
        <v>0.1975303871</v>
      </c>
      <c r="K1041" s="13">
        <v>0.1975303871</v>
      </c>
      <c r="L1041" s="12">
        <v>19.99</v>
      </c>
      <c r="M1041" s="13">
        <v>0.1400947753</v>
      </c>
      <c r="N1041" s="13">
        <v>0.0385512314</v>
      </c>
      <c r="O1041" s="13">
        <v>0.3536768384</v>
      </c>
      <c r="P1041" s="13">
        <v>0.0112729091</v>
      </c>
      <c r="Q1041" s="13">
        <v>0.0132558821</v>
      </c>
      <c r="R1041" s="13">
        <v>0.1101408267</v>
      </c>
      <c r="S1041" s="13">
        <v>0</v>
      </c>
      <c r="T1041" s="13">
        <v>0.1189776706</v>
      </c>
      <c r="U1041" s="13">
        <v>0.0144472751</v>
      </c>
      <c r="V1041" s="13">
        <v>0.0012970121</v>
      </c>
      <c r="W1041" s="13">
        <v>-0.0006496218</v>
      </c>
      <c r="X1041" s="13">
        <v>0</v>
      </c>
      <c r="Y1041" s="13">
        <v>0</v>
      </c>
      <c r="Z1041" s="13">
        <v>0.0014048135</v>
      </c>
    </row>
    <row r="1042" s="2" customFormat="1" hidden="1" spans="1:26">
      <c r="A1042" s="11" t="s">
        <v>935</v>
      </c>
      <c r="B1042" s="11" t="s">
        <v>937</v>
      </c>
      <c r="C1042" s="14" t="s">
        <v>966</v>
      </c>
      <c r="D1042" s="14" t="s">
        <v>938</v>
      </c>
      <c r="E1042" s="14" t="s">
        <v>939</v>
      </c>
      <c r="F1042" s="3" t="s">
        <v>945</v>
      </c>
      <c r="G1042" s="4">
        <v>8</v>
      </c>
      <c r="H1042" s="12">
        <v>1087.456</v>
      </c>
      <c r="I1042" s="12">
        <v>53.902494</v>
      </c>
      <c r="J1042" s="13">
        <v>0.0495675172</v>
      </c>
      <c r="K1042" s="13">
        <v>0.0495675172</v>
      </c>
      <c r="L1042" s="12">
        <v>19.99</v>
      </c>
      <c r="M1042" s="13">
        <v>0.1400947753</v>
      </c>
      <c r="N1042" s="13">
        <v>0.0385512314</v>
      </c>
      <c r="O1042" s="13">
        <v>0.3536768384</v>
      </c>
      <c r="P1042" s="13">
        <v>0.125</v>
      </c>
      <c r="Q1042" s="13">
        <v>0</v>
      </c>
      <c r="R1042" s="13">
        <v>0.1706083354</v>
      </c>
      <c r="S1042" s="13">
        <v>0</v>
      </c>
      <c r="T1042" s="13">
        <v>0.108054027</v>
      </c>
      <c r="U1042" s="13">
        <v>0.0144472751</v>
      </c>
      <c r="V1042" s="13">
        <v>0</v>
      </c>
      <c r="W1042" s="13">
        <v>0</v>
      </c>
      <c r="X1042" s="13">
        <v>0</v>
      </c>
      <c r="Y1042" s="13">
        <v>0</v>
      </c>
      <c r="Z1042" s="13">
        <v>0</v>
      </c>
    </row>
    <row r="1043" s="2" customFormat="1" hidden="1" spans="1:26">
      <c r="A1043" s="11" t="s">
        <v>935</v>
      </c>
      <c r="B1043" s="11" t="s">
        <v>937</v>
      </c>
      <c r="C1043" s="14" t="s">
        <v>967</v>
      </c>
      <c r="D1043" s="14" t="s">
        <v>938</v>
      </c>
      <c r="E1043" s="14" t="s">
        <v>939</v>
      </c>
      <c r="F1043" s="3" t="s">
        <v>936</v>
      </c>
      <c r="G1043" s="4">
        <v>366</v>
      </c>
      <c r="H1043" s="12">
        <v>56679.428</v>
      </c>
      <c r="I1043" s="12">
        <v>7546.309201</v>
      </c>
      <c r="J1043" s="13">
        <v>0.1331401792</v>
      </c>
      <c r="K1043" s="13">
        <v>0.1331401792</v>
      </c>
      <c r="L1043" s="12">
        <v>22.7737978142</v>
      </c>
      <c r="M1043" s="13">
        <v>0.132635564</v>
      </c>
      <c r="N1043" s="13">
        <v>0.024001576</v>
      </c>
      <c r="O1043" s="13">
        <v>0.3212888457</v>
      </c>
      <c r="P1043" s="13">
        <v>0.0247516259</v>
      </c>
      <c r="Q1043" s="13">
        <v>0.0320617354</v>
      </c>
      <c r="R1043" s="13">
        <v>0.2042011444</v>
      </c>
      <c r="S1043" s="13">
        <v>0</v>
      </c>
      <c r="T1043" s="13">
        <v>0.1154488009</v>
      </c>
      <c r="U1043" s="13">
        <v>0.0136780429</v>
      </c>
      <c r="V1043" s="13">
        <v>-0.0038331367</v>
      </c>
      <c r="W1043" s="13">
        <v>-0.0021296197</v>
      </c>
      <c r="X1043" s="13">
        <v>0</v>
      </c>
      <c r="Y1043" s="13">
        <v>0</v>
      </c>
      <c r="Z1043" s="13">
        <v>0.0047552418</v>
      </c>
    </row>
    <row r="1044" s="2" customFormat="1" hidden="1" spans="1:26">
      <c r="A1044" s="11" t="s">
        <v>935</v>
      </c>
      <c r="B1044" s="11" t="s">
        <v>937</v>
      </c>
      <c r="C1044" s="14" t="s">
        <v>967</v>
      </c>
      <c r="D1044" s="14" t="s">
        <v>938</v>
      </c>
      <c r="E1044" s="14" t="s">
        <v>939</v>
      </c>
      <c r="F1044" s="3" t="s">
        <v>947</v>
      </c>
      <c r="G1044" s="4">
        <v>0</v>
      </c>
      <c r="H1044" s="12">
        <v>0</v>
      </c>
      <c r="I1044" s="12">
        <v>-39.508</v>
      </c>
      <c r="J1044" s="13"/>
      <c r="K1044" s="13"/>
      <c r="L1044" s="12"/>
      <c r="M1044" s="13"/>
      <c r="N1044" s="13"/>
      <c r="O1044" s="13"/>
      <c r="P1044" s="13"/>
      <c r="Q1044" s="13"/>
      <c r="R1044" s="13"/>
      <c r="S1044" s="13"/>
      <c r="T1044" s="13"/>
      <c r="U1044" s="13"/>
      <c r="V1044" s="13"/>
      <c r="W1044" s="13"/>
      <c r="X1044" s="13"/>
      <c r="Y1044" s="13"/>
      <c r="Z1044" s="13"/>
    </row>
    <row r="1045" s="2" customFormat="1" hidden="1" spans="1:26">
      <c r="A1045" s="11" t="s">
        <v>935</v>
      </c>
      <c r="B1045" s="11" t="s">
        <v>937</v>
      </c>
      <c r="C1045" s="14" t="s">
        <v>967</v>
      </c>
      <c r="D1045" s="14" t="s">
        <v>938</v>
      </c>
      <c r="E1045" s="14" t="s">
        <v>939</v>
      </c>
      <c r="F1045" s="3" t="s">
        <v>953</v>
      </c>
      <c r="G1045" s="4">
        <v>38</v>
      </c>
      <c r="H1045" s="12">
        <v>6039.76</v>
      </c>
      <c r="I1045" s="12">
        <v>862.379191</v>
      </c>
      <c r="J1045" s="13">
        <v>0.1427836852</v>
      </c>
      <c r="K1045" s="13">
        <v>0.1427836852</v>
      </c>
      <c r="L1045" s="12">
        <v>23.3736842105</v>
      </c>
      <c r="M1045" s="13">
        <v>0.1295855265</v>
      </c>
      <c r="N1045" s="13">
        <v>0.0243697203</v>
      </c>
      <c r="O1045" s="13">
        <v>0.3237559108</v>
      </c>
      <c r="P1045" s="13">
        <v>0</v>
      </c>
      <c r="Q1045" s="13">
        <v>0.0435511199</v>
      </c>
      <c r="R1045" s="13">
        <v>0.2297050407</v>
      </c>
      <c r="S1045" s="13">
        <v>0</v>
      </c>
      <c r="T1045" s="13">
        <v>0.110459356</v>
      </c>
      <c r="U1045" s="13">
        <v>0.0133635078</v>
      </c>
      <c r="V1045" s="13">
        <v>-0.02067102</v>
      </c>
      <c r="W1045" s="13">
        <v>0</v>
      </c>
      <c r="X1045" s="13">
        <v>0</v>
      </c>
      <c r="Y1045" s="13">
        <v>0</v>
      </c>
      <c r="Z1045" s="13">
        <v>0.0030971525</v>
      </c>
    </row>
    <row r="1046" s="2" customFormat="1" hidden="1" spans="1:26">
      <c r="A1046" s="11" t="s">
        <v>935</v>
      </c>
      <c r="B1046" s="11" t="s">
        <v>937</v>
      </c>
      <c r="C1046" s="14" t="s">
        <v>967</v>
      </c>
      <c r="D1046" s="14" t="s">
        <v>938</v>
      </c>
      <c r="E1046" s="14" t="s">
        <v>939</v>
      </c>
      <c r="F1046" s="3" t="s">
        <v>956</v>
      </c>
      <c r="G1046" s="4">
        <v>49</v>
      </c>
      <c r="H1046" s="12">
        <v>7626.268</v>
      </c>
      <c r="I1046" s="12">
        <v>903.632268</v>
      </c>
      <c r="J1046" s="13">
        <v>0.1184894456</v>
      </c>
      <c r="K1046" s="13">
        <v>0.1184894456</v>
      </c>
      <c r="L1046" s="12">
        <v>22.8879591836</v>
      </c>
      <c r="M1046" s="13">
        <v>0.1323355722</v>
      </c>
      <c r="N1046" s="13">
        <v>0.0189363759</v>
      </c>
      <c r="O1046" s="13">
        <v>0.3275316314</v>
      </c>
      <c r="P1046" s="13">
        <v>0.0392149869</v>
      </c>
      <c r="Q1046" s="13">
        <v>0.0615544409</v>
      </c>
      <c r="R1046" s="13">
        <v>0.1666647875</v>
      </c>
      <c r="S1046" s="13">
        <v>0</v>
      </c>
      <c r="T1046" s="13">
        <v>0.1150145785</v>
      </c>
      <c r="U1046" s="13">
        <v>0.0136471062</v>
      </c>
      <c r="V1046" s="13">
        <v>0.006063254</v>
      </c>
      <c r="W1046" s="13">
        <v>0</v>
      </c>
      <c r="X1046" s="13">
        <v>0</v>
      </c>
      <c r="Y1046" s="13">
        <v>0</v>
      </c>
      <c r="Z1046" s="13">
        <v>0.0005478203</v>
      </c>
    </row>
    <row r="1047" s="2" customFormat="1" hidden="1" spans="1:26">
      <c r="A1047" s="11" t="s">
        <v>935</v>
      </c>
      <c r="B1047" s="11" t="s">
        <v>937</v>
      </c>
      <c r="C1047" s="14" t="s">
        <v>967</v>
      </c>
      <c r="D1047" s="14" t="s">
        <v>938</v>
      </c>
      <c r="E1047" s="14" t="s">
        <v>939</v>
      </c>
      <c r="F1047" s="3" t="s">
        <v>957</v>
      </c>
      <c r="G1047" s="4">
        <v>15</v>
      </c>
      <c r="H1047" s="12">
        <v>2659.004</v>
      </c>
      <c r="I1047" s="12">
        <v>663.646593</v>
      </c>
      <c r="J1047" s="13">
        <v>0.2495846538</v>
      </c>
      <c r="K1047" s="13">
        <v>0.2495846538</v>
      </c>
      <c r="L1047" s="12">
        <v>26.0686666666</v>
      </c>
      <c r="M1047" s="13">
        <v>0.1161889564</v>
      </c>
      <c r="N1047" s="13">
        <v>0.0166258982</v>
      </c>
      <c r="O1047" s="13">
        <v>0.2735084264</v>
      </c>
      <c r="P1047" s="13">
        <v>0.1329309771</v>
      </c>
      <c r="Q1047" s="13">
        <v>0.0189087842</v>
      </c>
      <c r="R1047" s="13">
        <v>0.1338806996</v>
      </c>
      <c r="S1047" s="13">
        <v>0</v>
      </c>
      <c r="T1047" s="13">
        <v>0.1072551978</v>
      </c>
      <c r="U1047" s="13">
        <v>0.0119819864</v>
      </c>
      <c r="V1047" s="13">
        <v>-0.0347799401</v>
      </c>
      <c r="W1047" s="13">
        <v>-0.0265629694</v>
      </c>
      <c r="X1047" s="13">
        <v>0</v>
      </c>
      <c r="Y1047" s="13">
        <v>0</v>
      </c>
      <c r="Z1047" s="13">
        <v>0.0004773291</v>
      </c>
    </row>
    <row r="1048" s="2" customFormat="1" hidden="1" spans="1:26">
      <c r="A1048" s="11" t="s">
        <v>935</v>
      </c>
      <c r="B1048" s="11" t="s">
        <v>937</v>
      </c>
      <c r="C1048" s="14" t="s">
        <v>967</v>
      </c>
      <c r="D1048" s="14" t="s">
        <v>938</v>
      </c>
      <c r="E1048" s="14" t="s">
        <v>939</v>
      </c>
      <c r="F1048" s="3" t="s">
        <v>940</v>
      </c>
      <c r="G1048" s="4">
        <v>15</v>
      </c>
      <c r="H1048" s="12">
        <v>2610.18</v>
      </c>
      <c r="I1048" s="12">
        <v>624.637755</v>
      </c>
      <c r="J1048" s="13">
        <v>0.2393083063</v>
      </c>
      <c r="K1048" s="13">
        <v>0.2393083063</v>
      </c>
      <c r="L1048" s="12">
        <v>25.59</v>
      </c>
      <c r="M1048" s="13">
        <v>0.1183622968</v>
      </c>
      <c r="N1048" s="13">
        <v>0.0169368894</v>
      </c>
      <c r="O1048" s="13">
        <v>0.2786244626</v>
      </c>
      <c r="P1048" s="13">
        <v>0</v>
      </c>
      <c r="Q1048" s="13">
        <v>0.0076263066</v>
      </c>
      <c r="R1048" s="13">
        <v>0.2099080323</v>
      </c>
      <c r="S1048" s="13">
        <v>0</v>
      </c>
      <c r="T1048" s="13">
        <v>0.1166862055</v>
      </c>
      <c r="U1048" s="13">
        <v>0.0122061122</v>
      </c>
      <c r="V1048" s="13">
        <v>0</v>
      </c>
      <c r="W1048" s="13">
        <v>0</v>
      </c>
      <c r="X1048" s="13">
        <v>0</v>
      </c>
      <c r="Y1048" s="13">
        <v>0</v>
      </c>
      <c r="Z1048" s="13">
        <v>0.0003413879</v>
      </c>
    </row>
    <row r="1049" s="2" customFormat="1" hidden="1" spans="1:26">
      <c r="A1049" s="11" t="s">
        <v>935</v>
      </c>
      <c r="B1049" s="11" t="s">
        <v>937</v>
      </c>
      <c r="C1049" s="14" t="s">
        <v>967</v>
      </c>
      <c r="D1049" s="14" t="s">
        <v>938</v>
      </c>
      <c r="E1049" s="14" t="s">
        <v>939</v>
      </c>
      <c r="F1049" s="3" t="s">
        <v>941</v>
      </c>
      <c r="G1049" s="4">
        <v>60</v>
      </c>
      <c r="H1049" s="12">
        <v>8641.1</v>
      </c>
      <c r="I1049" s="12">
        <v>72.66893</v>
      </c>
      <c r="J1049" s="13">
        <v>0.0084096851</v>
      </c>
      <c r="K1049" s="13">
        <v>0.0084096851</v>
      </c>
      <c r="L1049" s="12">
        <v>21.1791666666</v>
      </c>
      <c r="M1049" s="13">
        <v>0.1406292185</v>
      </c>
      <c r="N1049" s="13">
        <v>0.0201231438</v>
      </c>
      <c r="O1049" s="13">
        <v>0.3391068266</v>
      </c>
      <c r="P1049" s="13">
        <v>0.0160456423</v>
      </c>
      <c r="Q1049" s="13">
        <v>0.0093705527</v>
      </c>
      <c r="R1049" s="13">
        <v>0.3303150169</v>
      </c>
      <c r="S1049" s="13">
        <v>0</v>
      </c>
      <c r="T1049" s="13">
        <v>0.1156797167</v>
      </c>
      <c r="U1049" s="13">
        <v>0.0145023885</v>
      </c>
      <c r="V1049" s="13">
        <v>0.0004800314</v>
      </c>
      <c r="W1049" s="13">
        <v>0</v>
      </c>
      <c r="X1049" s="13">
        <v>0</v>
      </c>
      <c r="Y1049" s="13">
        <v>0</v>
      </c>
      <c r="Z1049" s="13">
        <v>0.0053377771</v>
      </c>
    </row>
    <row r="1050" s="2" customFormat="1" hidden="1" spans="1:26">
      <c r="A1050" s="11" t="s">
        <v>935</v>
      </c>
      <c r="B1050" s="11" t="s">
        <v>937</v>
      </c>
      <c r="C1050" s="14" t="s">
        <v>967</v>
      </c>
      <c r="D1050" s="14" t="s">
        <v>938</v>
      </c>
      <c r="E1050" s="14" t="s">
        <v>939</v>
      </c>
      <c r="F1050" s="3" t="s">
        <v>942</v>
      </c>
      <c r="G1050" s="4">
        <v>99</v>
      </c>
      <c r="H1050" s="12">
        <v>14195.68</v>
      </c>
      <c r="I1050" s="12">
        <v>1747.918098</v>
      </c>
      <c r="J1050" s="13">
        <v>0.1231302831</v>
      </c>
      <c r="K1050" s="13">
        <v>0.1231302831</v>
      </c>
      <c r="L1050" s="12">
        <v>21.0868686868</v>
      </c>
      <c r="M1050" s="13">
        <v>0.1436387365</v>
      </c>
      <c r="N1050" s="13">
        <v>0.0286577776</v>
      </c>
      <c r="O1050" s="13">
        <v>0.3464456792</v>
      </c>
      <c r="P1050" s="13">
        <v>0.011491665</v>
      </c>
      <c r="Q1050" s="13">
        <v>0.0251902506</v>
      </c>
      <c r="R1050" s="13">
        <v>0.1797164619</v>
      </c>
      <c r="S1050" s="13">
        <v>0</v>
      </c>
      <c r="T1050" s="13">
        <v>0.11717283</v>
      </c>
      <c r="U1050" s="13">
        <v>0.0148127451</v>
      </c>
      <c r="V1050" s="13">
        <v>0.0032573289</v>
      </c>
      <c r="W1050" s="13">
        <v>0</v>
      </c>
      <c r="X1050" s="13">
        <v>0</v>
      </c>
      <c r="Y1050" s="13">
        <v>0</v>
      </c>
      <c r="Z1050" s="13">
        <v>0.0064862414</v>
      </c>
    </row>
    <row r="1051" s="2" customFormat="1" hidden="1" spans="1:26">
      <c r="A1051" s="11" t="s">
        <v>935</v>
      </c>
      <c r="B1051" s="11" t="s">
        <v>937</v>
      </c>
      <c r="C1051" s="14" t="s">
        <v>967</v>
      </c>
      <c r="D1051" s="14" t="s">
        <v>938</v>
      </c>
      <c r="E1051" s="14" t="s">
        <v>939</v>
      </c>
      <c r="F1051" s="3" t="s">
        <v>943</v>
      </c>
      <c r="G1051" s="4">
        <v>45</v>
      </c>
      <c r="H1051" s="12">
        <v>7460.484</v>
      </c>
      <c r="I1051" s="12">
        <v>734.572654</v>
      </c>
      <c r="J1051" s="13">
        <v>0.098461796</v>
      </c>
      <c r="K1051" s="13">
        <v>0.098461796</v>
      </c>
      <c r="L1051" s="12">
        <v>24.3806666666</v>
      </c>
      <c r="M1051" s="13">
        <v>0.1242333205</v>
      </c>
      <c r="N1051" s="13">
        <v>0.0267861347</v>
      </c>
      <c r="O1051" s="13">
        <v>0.3026988597</v>
      </c>
      <c r="P1051" s="13">
        <v>0.0601296108</v>
      </c>
      <c r="Q1051" s="13">
        <v>0.0445517994</v>
      </c>
      <c r="R1051" s="13">
        <v>0.2163623022</v>
      </c>
      <c r="S1051" s="13">
        <v>0</v>
      </c>
      <c r="T1051" s="13">
        <v>0.114279985</v>
      </c>
      <c r="U1051" s="13">
        <v>0.0128115615</v>
      </c>
      <c r="V1051" s="13">
        <v>-0.0098347506</v>
      </c>
      <c r="W1051" s="13">
        <v>-0.0033559878</v>
      </c>
      <c r="X1051" s="13">
        <v>0</v>
      </c>
      <c r="Y1051" s="13">
        <v>0</v>
      </c>
      <c r="Z1051" s="13">
        <v>0.0128753682</v>
      </c>
    </row>
    <row r="1052" s="2" customFormat="1" spans="1:26">
      <c r="A1052" s="11" t="s">
        <v>935</v>
      </c>
      <c r="B1052" s="11" t="s">
        <v>937</v>
      </c>
      <c r="C1052" s="14" t="s">
        <v>967</v>
      </c>
      <c r="D1052" s="14" t="s">
        <v>938</v>
      </c>
      <c r="E1052" s="14" t="s">
        <v>939</v>
      </c>
      <c r="F1052" s="3" t="s">
        <v>944</v>
      </c>
      <c r="G1052" s="4">
        <v>44</v>
      </c>
      <c r="H1052" s="12">
        <v>7277.02</v>
      </c>
      <c r="I1052" s="12">
        <v>1937.624195</v>
      </c>
      <c r="J1052" s="13">
        <v>0.2662661632</v>
      </c>
      <c r="K1052" s="13">
        <v>0.2662661632</v>
      </c>
      <c r="L1052" s="12">
        <v>24.321590909</v>
      </c>
      <c r="M1052" s="13">
        <v>0.1245350761</v>
      </c>
      <c r="N1052" s="13">
        <v>0.0268511967</v>
      </c>
      <c r="O1052" s="13">
        <v>0.2949679951</v>
      </c>
      <c r="P1052" s="13">
        <v>0</v>
      </c>
      <c r="Q1052" s="13">
        <v>0.0334813809</v>
      </c>
      <c r="R1052" s="13">
        <v>0.12622917</v>
      </c>
      <c r="S1052" s="13">
        <v>0</v>
      </c>
      <c r="T1052" s="13">
        <v>0.1200485913</v>
      </c>
      <c r="U1052" s="13">
        <v>0.0128426801</v>
      </c>
      <c r="V1052" s="13">
        <v>-0.0031864691</v>
      </c>
      <c r="W1052" s="13">
        <v>-0.0034405971</v>
      </c>
      <c r="X1052" s="13">
        <v>0</v>
      </c>
      <c r="Y1052" s="13">
        <v>0</v>
      </c>
      <c r="Z1052" s="13">
        <v>0.0014048125</v>
      </c>
    </row>
    <row r="1053" s="2" customFormat="1" hidden="1" spans="1:26">
      <c r="A1053" s="11" t="s">
        <v>935</v>
      </c>
      <c r="B1053" s="11" t="s">
        <v>937</v>
      </c>
      <c r="C1053" s="14" t="s">
        <v>967</v>
      </c>
      <c r="D1053" s="14" t="s">
        <v>938</v>
      </c>
      <c r="E1053" s="14" t="s">
        <v>939</v>
      </c>
      <c r="F1053" s="3" t="s">
        <v>945</v>
      </c>
      <c r="G1053" s="4">
        <v>1</v>
      </c>
      <c r="H1053" s="12">
        <v>169.932</v>
      </c>
      <c r="I1053" s="12">
        <v>38.737517</v>
      </c>
      <c r="J1053" s="13">
        <v>0.2279589306</v>
      </c>
      <c r="K1053" s="13">
        <v>0.2279589306</v>
      </c>
      <c r="L1053" s="12">
        <v>24.99</v>
      </c>
      <c r="M1053" s="13">
        <v>0.1212041287</v>
      </c>
      <c r="N1053" s="13">
        <v>0.0261330061</v>
      </c>
      <c r="O1053" s="13">
        <v>0.2921168467</v>
      </c>
      <c r="P1053" s="13">
        <v>0</v>
      </c>
      <c r="Q1053" s="13">
        <v>0</v>
      </c>
      <c r="R1053" s="13">
        <v>0.2000398924</v>
      </c>
      <c r="S1053" s="13">
        <v>0</v>
      </c>
      <c r="T1053" s="13">
        <v>0.1200480192</v>
      </c>
      <c r="U1053" s="13">
        <v>0.0124991761</v>
      </c>
      <c r="V1053" s="13">
        <v>0</v>
      </c>
      <c r="W1053" s="13">
        <v>0</v>
      </c>
      <c r="X1053" s="13">
        <v>0</v>
      </c>
      <c r="Y1053" s="13">
        <v>0</v>
      </c>
      <c r="Z1053" s="13">
        <v>0</v>
      </c>
    </row>
    <row r="1054" s="2" customFormat="1" hidden="1" spans="1:26">
      <c r="A1054" s="11" t="s">
        <v>935</v>
      </c>
      <c r="B1054" s="11" t="s">
        <v>937</v>
      </c>
      <c r="C1054" s="14" t="s">
        <v>968</v>
      </c>
      <c r="D1054" s="14" t="s">
        <v>938</v>
      </c>
      <c r="E1054" s="14" t="s">
        <v>939</v>
      </c>
      <c r="F1054" s="3" t="s">
        <v>936</v>
      </c>
      <c r="G1054" s="4">
        <v>375</v>
      </c>
      <c r="H1054" s="12">
        <v>54889.124</v>
      </c>
      <c r="I1054" s="12">
        <v>6696.180797</v>
      </c>
      <c r="J1054" s="13">
        <v>0.1219946741</v>
      </c>
      <c r="K1054" s="13">
        <v>0.1219946741</v>
      </c>
      <c r="L1054" s="12">
        <v>21.5251466666</v>
      </c>
      <c r="M1054" s="13">
        <v>0.1826415094</v>
      </c>
      <c r="N1054" s="13">
        <v>0.0452152027</v>
      </c>
      <c r="O1054" s="13">
        <v>0.3343723248</v>
      </c>
      <c r="P1054" s="13">
        <v>0.0222895887</v>
      </c>
      <c r="Q1054" s="13">
        <v>0.0482908037</v>
      </c>
      <c r="R1054" s="13">
        <v>0.1240440898</v>
      </c>
      <c r="S1054" s="13">
        <v>0</v>
      </c>
      <c r="T1054" s="13">
        <v>0.1125815015</v>
      </c>
      <c r="U1054" s="13">
        <v>0.0188349073</v>
      </c>
      <c r="V1054" s="13">
        <v>-0.0135855984</v>
      </c>
      <c r="W1054" s="13">
        <v>-0.0006074901</v>
      </c>
      <c r="X1054" s="13">
        <v>0</v>
      </c>
      <c r="Y1054" s="13">
        <v>0</v>
      </c>
      <c r="Z1054" s="13">
        <v>0.0039284859</v>
      </c>
    </row>
    <row r="1055" s="2" customFormat="1" hidden="1" spans="1:26">
      <c r="A1055" s="11" t="s">
        <v>935</v>
      </c>
      <c r="B1055" s="11" t="s">
        <v>937</v>
      </c>
      <c r="C1055" s="14" t="s">
        <v>968</v>
      </c>
      <c r="D1055" s="14" t="s">
        <v>938</v>
      </c>
      <c r="E1055" s="14" t="s">
        <v>939</v>
      </c>
      <c r="F1055" s="3" t="s">
        <v>969</v>
      </c>
      <c r="G1055" s="4">
        <v>0</v>
      </c>
      <c r="H1055" s="12">
        <v>0</v>
      </c>
      <c r="I1055" s="12">
        <v>-108.12</v>
      </c>
      <c r="J1055" s="13"/>
      <c r="K1055" s="13"/>
      <c r="L1055" s="12"/>
      <c r="M1055" s="13"/>
      <c r="N1055" s="13"/>
      <c r="O1055" s="13"/>
      <c r="P1055" s="13"/>
      <c r="Q1055" s="13"/>
      <c r="R1055" s="13"/>
      <c r="S1055" s="13"/>
      <c r="T1055" s="13"/>
      <c r="U1055" s="13"/>
      <c r="V1055" s="13"/>
      <c r="W1055" s="13"/>
      <c r="X1055" s="13"/>
      <c r="Y1055" s="13"/>
      <c r="Z1055" s="13"/>
    </row>
    <row r="1056" s="2" customFormat="1" hidden="1" spans="1:26">
      <c r="A1056" s="11" t="s">
        <v>935</v>
      </c>
      <c r="B1056" s="11" t="s">
        <v>937</v>
      </c>
      <c r="C1056" s="14" t="s">
        <v>968</v>
      </c>
      <c r="D1056" s="14" t="s">
        <v>938</v>
      </c>
      <c r="E1056" s="14" t="s">
        <v>939</v>
      </c>
      <c r="F1056" s="3" t="s">
        <v>960</v>
      </c>
      <c r="G1056" s="4">
        <v>34</v>
      </c>
      <c r="H1056" s="12">
        <v>4404.088</v>
      </c>
      <c r="I1056" s="12">
        <v>269.530545</v>
      </c>
      <c r="J1056" s="13">
        <v>0.0612000816</v>
      </c>
      <c r="K1056" s="13">
        <v>0.0612000816</v>
      </c>
      <c r="L1056" s="12">
        <v>19.0488235294</v>
      </c>
      <c r="M1056" s="13">
        <v>0.2110579702</v>
      </c>
      <c r="N1056" s="13">
        <v>0.0663696769</v>
      </c>
      <c r="O1056" s="13">
        <v>0.3758762313</v>
      </c>
      <c r="P1056" s="13">
        <v>0.0277769199</v>
      </c>
      <c r="Q1056" s="13">
        <v>0.0449196614</v>
      </c>
      <c r="R1056" s="13">
        <v>0.1459034062</v>
      </c>
      <c r="S1056" s="13">
        <v>0</v>
      </c>
      <c r="T1056" s="13">
        <v>0.1091158941</v>
      </c>
      <c r="U1056" s="13">
        <v>0.0217653552</v>
      </c>
      <c r="V1056" s="13">
        <v>-0.0644566593</v>
      </c>
      <c r="W1056" s="13">
        <v>0</v>
      </c>
      <c r="X1056" s="13">
        <v>0</v>
      </c>
      <c r="Y1056" s="13">
        <v>0</v>
      </c>
      <c r="Z1056" s="13">
        <v>0.0004714619</v>
      </c>
    </row>
    <row r="1057" s="2" customFormat="1" hidden="1" spans="1:26">
      <c r="A1057" s="11" t="s">
        <v>935</v>
      </c>
      <c r="B1057" s="11" t="s">
        <v>937</v>
      </c>
      <c r="C1057" s="14" t="s">
        <v>968</v>
      </c>
      <c r="D1057" s="14" t="s">
        <v>938</v>
      </c>
      <c r="E1057" s="14" t="s">
        <v>939</v>
      </c>
      <c r="F1057" s="3" t="s">
        <v>961</v>
      </c>
      <c r="G1057" s="4">
        <v>21</v>
      </c>
      <c r="H1057" s="12">
        <v>3106.172</v>
      </c>
      <c r="I1057" s="12">
        <v>575.678736</v>
      </c>
      <c r="J1057" s="13">
        <v>0.1853338243</v>
      </c>
      <c r="K1057" s="13">
        <v>0.1853338243</v>
      </c>
      <c r="L1057" s="12">
        <v>21.7519047618</v>
      </c>
      <c r="M1057" s="13">
        <v>0.1795914257</v>
      </c>
      <c r="N1057" s="13">
        <v>0.0581220025</v>
      </c>
      <c r="O1057" s="13">
        <v>0.3291665754</v>
      </c>
      <c r="P1057" s="13">
        <v>0</v>
      </c>
      <c r="Q1057" s="13">
        <v>0.0367552379</v>
      </c>
      <c r="R1057" s="13">
        <v>0.0594811607</v>
      </c>
      <c r="S1057" s="13">
        <v>0</v>
      </c>
      <c r="T1057" s="13">
        <v>0.1200551675</v>
      </c>
      <c r="U1057" s="13">
        <v>0.0185203659</v>
      </c>
      <c r="V1057" s="13">
        <v>0.0121281113</v>
      </c>
      <c r="W1057" s="13">
        <v>0</v>
      </c>
      <c r="X1057" s="13">
        <v>0</v>
      </c>
      <c r="Y1057" s="13">
        <v>0</v>
      </c>
      <c r="Z1057" s="13">
        <v>0.0008461282</v>
      </c>
    </row>
    <row r="1058" s="2" customFormat="1" hidden="1" spans="1:26">
      <c r="A1058" s="11" t="s">
        <v>935</v>
      </c>
      <c r="B1058" s="11" t="s">
        <v>937</v>
      </c>
      <c r="C1058" s="14" t="s">
        <v>968</v>
      </c>
      <c r="D1058" s="14" t="s">
        <v>938</v>
      </c>
      <c r="E1058" s="14" t="s">
        <v>939</v>
      </c>
      <c r="F1058" s="3" t="s">
        <v>947</v>
      </c>
      <c r="G1058" s="4">
        <v>8</v>
      </c>
      <c r="H1058" s="12">
        <v>1413.856</v>
      </c>
      <c r="I1058" s="12">
        <v>226.070535</v>
      </c>
      <c r="J1058" s="13">
        <v>0.1598964357</v>
      </c>
      <c r="K1058" s="13">
        <v>0.1598964357</v>
      </c>
      <c r="L1058" s="12">
        <v>25.99</v>
      </c>
      <c r="M1058" s="13">
        <v>0.1522791005</v>
      </c>
      <c r="N1058" s="13">
        <v>0.0486442579</v>
      </c>
      <c r="O1058" s="13">
        <v>0.2962677953</v>
      </c>
      <c r="P1058" s="13">
        <v>0</v>
      </c>
      <c r="Q1058" s="13">
        <v>0.1365495503</v>
      </c>
      <c r="R1058" s="13">
        <v>0.1275694752</v>
      </c>
      <c r="S1058" s="13">
        <v>0</v>
      </c>
      <c r="T1058" s="13">
        <v>0.1200461716</v>
      </c>
      <c r="U1058" s="13">
        <v>0.0157037831</v>
      </c>
      <c r="V1058" s="13">
        <v>-0.0581473643</v>
      </c>
      <c r="W1058" s="13">
        <v>0</v>
      </c>
      <c r="X1058" s="13">
        <v>0</v>
      </c>
      <c r="Y1058" s="13">
        <v>0</v>
      </c>
      <c r="Z1058" s="13">
        <v>0.0011907945</v>
      </c>
    </row>
    <row r="1059" s="2" customFormat="1" hidden="1" spans="1:26">
      <c r="A1059" s="11" t="s">
        <v>935</v>
      </c>
      <c r="B1059" s="11" t="s">
        <v>937</v>
      </c>
      <c r="C1059" s="14" t="s">
        <v>968</v>
      </c>
      <c r="D1059" s="14" t="s">
        <v>938</v>
      </c>
      <c r="E1059" s="14" t="s">
        <v>939</v>
      </c>
      <c r="F1059" s="3" t="s">
        <v>953</v>
      </c>
      <c r="G1059" s="4">
        <v>13</v>
      </c>
      <c r="H1059" s="12">
        <v>1941.196</v>
      </c>
      <c r="I1059" s="12">
        <v>177.401417</v>
      </c>
      <c r="J1059" s="13">
        <v>0.0913876893</v>
      </c>
      <c r="K1059" s="13">
        <v>0.0913876893</v>
      </c>
      <c r="L1059" s="12">
        <v>21.9592307692</v>
      </c>
      <c r="M1059" s="13">
        <v>0.1802309864</v>
      </c>
      <c r="N1059" s="13">
        <v>0.0575732481</v>
      </c>
      <c r="O1059" s="13">
        <v>0.3506498055</v>
      </c>
      <c r="P1059" s="13">
        <v>0</v>
      </c>
      <c r="Q1059" s="13">
        <v>0.074026105</v>
      </c>
      <c r="R1059" s="13">
        <v>0.1059423679</v>
      </c>
      <c r="S1059" s="13">
        <v>0</v>
      </c>
      <c r="T1059" s="13">
        <v>0.1185063229</v>
      </c>
      <c r="U1059" s="13">
        <v>0.0185863225</v>
      </c>
      <c r="V1059" s="13">
        <v>0</v>
      </c>
      <c r="W1059" s="13">
        <v>0</v>
      </c>
      <c r="X1059" s="13">
        <v>0</v>
      </c>
      <c r="Y1059" s="13">
        <v>0</v>
      </c>
      <c r="Z1059" s="13">
        <v>0.0030971519</v>
      </c>
    </row>
    <row r="1060" s="2" customFormat="1" hidden="1" spans="1:26">
      <c r="A1060" s="11" t="s">
        <v>935</v>
      </c>
      <c r="B1060" s="11" t="s">
        <v>937</v>
      </c>
      <c r="C1060" s="14" t="s">
        <v>968</v>
      </c>
      <c r="D1060" s="14" t="s">
        <v>938</v>
      </c>
      <c r="E1060" s="14" t="s">
        <v>939</v>
      </c>
      <c r="F1060" s="3" t="s">
        <v>956</v>
      </c>
      <c r="G1060" s="4">
        <v>14</v>
      </c>
      <c r="H1060" s="12">
        <v>2093.448</v>
      </c>
      <c r="I1060" s="12">
        <v>133.931608</v>
      </c>
      <c r="J1060" s="13">
        <v>0.063976563</v>
      </c>
      <c r="K1060" s="13">
        <v>0.063976563</v>
      </c>
      <c r="L1060" s="12">
        <v>21.99</v>
      </c>
      <c r="M1060" s="13">
        <v>0.1807335687</v>
      </c>
      <c r="N1060" s="13">
        <v>0.042928558</v>
      </c>
      <c r="O1060" s="13">
        <v>0.3390177353</v>
      </c>
      <c r="P1060" s="13">
        <v>0</v>
      </c>
      <c r="Q1060" s="13">
        <v>0.1424873682</v>
      </c>
      <c r="R1060" s="13">
        <v>0.0916156651</v>
      </c>
      <c r="S1060" s="13">
        <v>0</v>
      </c>
      <c r="T1060" s="13">
        <v>0.1200545702</v>
      </c>
      <c r="U1060" s="13">
        <v>0.018638151</v>
      </c>
      <c r="V1060" s="13">
        <v>0</v>
      </c>
      <c r="W1060" s="13">
        <v>0</v>
      </c>
      <c r="X1060" s="13">
        <v>0</v>
      </c>
      <c r="Y1060" s="13">
        <v>0</v>
      </c>
      <c r="Z1060" s="13">
        <v>0.0005478201</v>
      </c>
    </row>
    <row r="1061" s="2" customFormat="1" hidden="1" spans="1:26">
      <c r="A1061" s="11" t="s">
        <v>935</v>
      </c>
      <c r="B1061" s="11" t="s">
        <v>937</v>
      </c>
      <c r="C1061" s="14" t="s">
        <v>968</v>
      </c>
      <c r="D1061" s="14" t="s">
        <v>938</v>
      </c>
      <c r="E1061" s="14" t="s">
        <v>939</v>
      </c>
      <c r="F1061" s="3" t="s">
        <v>957</v>
      </c>
      <c r="G1061" s="4">
        <v>13</v>
      </c>
      <c r="H1061" s="12">
        <v>2154.716</v>
      </c>
      <c r="I1061" s="12">
        <v>330.655798</v>
      </c>
      <c r="J1061" s="13">
        <v>0.1534567887</v>
      </c>
      <c r="K1061" s="13">
        <v>0.1534567887</v>
      </c>
      <c r="L1061" s="12">
        <v>24.3746153846</v>
      </c>
      <c r="M1061" s="13">
        <v>0.1630520569</v>
      </c>
      <c r="N1061" s="13">
        <v>0.0371646527</v>
      </c>
      <c r="O1061" s="13">
        <v>0.2957995392</v>
      </c>
      <c r="P1061" s="13">
        <v>0</v>
      </c>
      <c r="Q1061" s="13">
        <v>0.1135095789</v>
      </c>
      <c r="R1061" s="13">
        <v>0.1485415404</v>
      </c>
      <c r="S1061" s="13">
        <v>0</v>
      </c>
      <c r="T1061" s="13">
        <v>0.1166408937</v>
      </c>
      <c r="U1061" s="13">
        <v>0.0168147449</v>
      </c>
      <c r="V1061" s="13">
        <v>-0.0454571275</v>
      </c>
      <c r="W1061" s="13">
        <v>0</v>
      </c>
      <c r="X1061" s="13">
        <v>0</v>
      </c>
      <c r="Y1061" s="13">
        <v>0</v>
      </c>
      <c r="Z1061" s="13">
        <v>0.0004773315</v>
      </c>
    </row>
    <row r="1062" s="2" customFormat="1" hidden="1" spans="1:26">
      <c r="A1062" s="11" t="s">
        <v>935</v>
      </c>
      <c r="B1062" s="11" t="s">
        <v>937</v>
      </c>
      <c r="C1062" s="14" t="s">
        <v>968</v>
      </c>
      <c r="D1062" s="14" t="s">
        <v>938</v>
      </c>
      <c r="E1062" s="14" t="s">
        <v>939</v>
      </c>
      <c r="F1062" s="3" t="s">
        <v>940</v>
      </c>
      <c r="G1062" s="4">
        <v>31</v>
      </c>
      <c r="H1062" s="12">
        <v>4354.244</v>
      </c>
      <c r="I1062" s="12">
        <v>-77.539183</v>
      </c>
      <c r="J1062" s="13">
        <v>-0.0178077257</v>
      </c>
      <c r="K1062" s="13">
        <v>-0.0178077257</v>
      </c>
      <c r="L1062" s="12">
        <v>20.6558064516</v>
      </c>
      <c r="M1062" s="13">
        <v>0.1799940719</v>
      </c>
      <c r="N1062" s="13">
        <v>0.0409301272</v>
      </c>
      <c r="O1062" s="13">
        <v>0.3265347555</v>
      </c>
      <c r="P1062" s="13">
        <v>0.0686833351</v>
      </c>
      <c r="Q1062" s="13">
        <v>0.0630708743</v>
      </c>
      <c r="R1062" s="13">
        <v>0.2170567023</v>
      </c>
      <c r="S1062" s="13">
        <v>0</v>
      </c>
      <c r="T1062" s="13">
        <v>0.1009323317</v>
      </c>
      <c r="U1062" s="13">
        <v>0.0185618904</v>
      </c>
      <c r="V1062" s="13">
        <v>0.0017022472</v>
      </c>
      <c r="W1062" s="13">
        <v>0</v>
      </c>
      <c r="X1062" s="13">
        <v>0</v>
      </c>
      <c r="Y1062" s="13">
        <v>0</v>
      </c>
      <c r="Z1062" s="13">
        <v>0.0003413896</v>
      </c>
    </row>
    <row r="1063" s="2" customFormat="1" hidden="1" spans="1:26">
      <c r="A1063" s="11" t="s">
        <v>935</v>
      </c>
      <c r="B1063" s="11" t="s">
        <v>937</v>
      </c>
      <c r="C1063" s="14" t="s">
        <v>968</v>
      </c>
      <c r="D1063" s="14" t="s">
        <v>938</v>
      </c>
      <c r="E1063" s="14" t="s">
        <v>939</v>
      </c>
      <c r="F1063" s="3" t="s">
        <v>941</v>
      </c>
      <c r="G1063" s="4">
        <v>76</v>
      </c>
      <c r="H1063" s="12">
        <v>10796.088</v>
      </c>
      <c r="I1063" s="12">
        <v>1217.316379</v>
      </c>
      <c r="J1063" s="13">
        <v>0.112755322</v>
      </c>
      <c r="K1063" s="13">
        <v>0.112755322</v>
      </c>
      <c r="L1063" s="12">
        <v>20.8902631578</v>
      </c>
      <c r="M1063" s="13">
        <v>0.1902480187</v>
      </c>
      <c r="N1063" s="13">
        <v>0.0432618448</v>
      </c>
      <c r="O1063" s="13">
        <v>0.3409357167</v>
      </c>
      <c r="P1063" s="13">
        <v>0.027701145</v>
      </c>
      <c r="Q1063" s="13">
        <v>0.0253529383</v>
      </c>
      <c r="R1063" s="13">
        <v>0.1238258639</v>
      </c>
      <c r="S1063" s="13">
        <v>0</v>
      </c>
      <c r="T1063" s="13">
        <v>0.1109620447</v>
      </c>
      <c r="U1063" s="13">
        <v>0.0196193287</v>
      </c>
      <c r="V1063" s="13">
        <v>0</v>
      </c>
      <c r="W1063" s="13">
        <v>0</v>
      </c>
      <c r="X1063" s="13">
        <v>0</v>
      </c>
      <c r="Y1063" s="13">
        <v>0</v>
      </c>
      <c r="Z1063" s="13">
        <v>0.0053377767</v>
      </c>
    </row>
    <row r="1064" s="2" customFormat="1" hidden="1" spans="1:26">
      <c r="A1064" s="11" t="s">
        <v>935</v>
      </c>
      <c r="B1064" s="11" t="s">
        <v>937</v>
      </c>
      <c r="C1064" s="14" t="s">
        <v>968</v>
      </c>
      <c r="D1064" s="14" t="s">
        <v>938</v>
      </c>
      <c r="E1064" s="14" t="s">
        <v>939</v>
      </c>
      <c r="F1064" s="3" t="s">
        <v>942</v>
      </c>
      <c r="G1064" s="4">
        <v>37</v>
      </c>
      <c r="H1064" s="12">
        <v>5774.9</v>
      </c>
      <c r="I1064" s="12">
        <v>1253.510419</v>
      </c>
      <c r="J1064" s="13">
        <v>0.2170618398</v>
      </c>
      <c r="K1064" s="13">
        <v>0.2170618398</v>
      </c>
      <c r="L1064" s="12">
        <v>22.9527027026</v>
      </c>
      <c r="M1064" s="13">
        <v>0.1637934544</v>
      </c>
      <c r="N1064" s="13">
        <v>0.037487443</v>
      </c>
      <c r="O1064" s="13">
        <v>0.307447748</v>
      </c>
      <c r="P1064" s="13">
        <v>0</v>
      </c>
      <c r="Q1064" s="13">
        <v>0.0436276285</v>
      </c>
      <c r="R1064" s="13">
        <v>0.0980163419</v>
      </c>
      <c r="S1064" s="13">
        <v>0</v>
      </c>
      <c r="T1064" s="13">
        <v>0.1196467471</v>
      </c>
      <c r="U1064" s="13">
        <v>0.0168912015</v>
      </c>
      <c r="V1064" s="13">
        <v>-0.0104586399</v>
      </c>
      <c r="W1064" s="13">
        <v>0</v>
      </c>
      <c r="X1064" s="13">
        <v>0</v>
      </c>
      <c r="Y1064" s="13">
        <v>0</v>
      </c>
      <c r="Z1064" s="13">
        <v>0.0064862354</v>
      </c>
    </row>
    <row r="1065" s="2" customFormat="1" hidden="1" spans="1:26">
      <c r="A1065" s="11" t="s">
        <v>935</v>
      </c>
      <c r="B1065" s="11" t="s">
        <v>937</v>
      </c>
      <c r="C1065" s="14" t="s">
        <v>968</v>
      </c>
      <c r="D1065" s="14" t="s">
        <v>938</v>
      </c>
      <c r="E1065" s="14" t="s">
        <v>939</v>
      </c>
      <c r="F1065" s="3" t="s">
        <v>943</v>
      </c>
      <c r="G1065" s="4">
        <v>42</v>
      </c>
      <c r="H1065" s="12">
        <v>6820.264</v>
      </c>
      <c r="I1065" s="12">
        <v>1432.897222</v>
      </c>
      <c r="J1065" s="13">
        <v>0.2100940992</v>
      </c>
      <c r="K1065" s="13">
        <v>0.2100940992</v>
      </c>
      <c r="L1065" s="12">
        <v>23.8804761904</v>
      </c>
      <c r="M1065" s="13">
        <v>0.16642596</v>
      </c>
      <c r="N1065" s="13">
        <v>0.0389140678</v>
      </c>
      <c r="O1065" s="13">
        <v>0.308261381</v>
      </c>
      <c r="P1065" s="13">
        <v>0.0518255598</v>
      </c>
      <c r="Q1065" s="13">
        <v>0.0299953028</v>
      </c>
      <c r="R1065" s="13">
        <v>0.0802102027</v>
      </c>
      <c r="S1065" s="13">
        <v>0</v>
      </c>
      <c r="T1065" s="13">
        <v>0.1125844981</v>
      </c>
      <c r="U1065" s="13">
        <v>0.0171626787</v>
      </c>
      <c r="V1065" s="13">
        <v>-0.0234600889</v>
      </c>
      <c r="W1065" s="13">
        <v>-0.0048890482</v>
      </c>
      <c r="X1065" s="13">
        <v>0</v>
      </c>
      <c r="Y1065" s="13">
        <v>0</v>
      </c>
      <c r="Z1065" s="13">
        <v>0.0128753864</v>
      </c>
    </row>
    <row r="1066" s="2" customFormat="1" spans="1:26">
      <c r="A1066" s="11" t="s">
        <v>935</v>
      </c>
      <c r="B1066" s="11" t="s">
        <v>937</v>
      </c>
      <c r="C1066" s="14" t="s">
        <v>968</v>
      </c>
      <c r="D1066" s="14" t="s">
        <v>938</v>
      </c>
      <c r="E1066" s="14" t="s">
        <v>939</v>
      </c>
      <c r="F1066" s="3" t="s">
        <v>944</v>
      </c>
      <c r="G1066" s="4">
        <v>85</v>
      </c>
      <c r="H1066" s="12">
        <v>11867.02</v>
      </c>
      <c r="I1066" s="12">
        <v>1155.392191</v>
      </c>
      <c r="J1066" s="13">
        <v>0.0973616115</v>
      </c>
      <c r="K1066" s="13">
        <v>0.0973616115</v>
      </c>
      <c r="L1066" s="12">
        <v>20.5311764705</v>
      </c>
      <c r="M1066" s="13">
        <v>0.1935754233</v>
      </c>
      <c r="N1066" s="13">
        <v>0.0442533951</v>
      </c>
      <c r="O1066" s="13">
        <v>0.3538606996</v>
      </c>
      <c r="P1066" s="13">
        <v>0.012600636</v>
      </c>
      <c r="Q1066" s="13">
        <v>0.0382699865</v>
      </c>
      <c r="R1066" s="13">
        <v>0.1285084063</v>
      </c>
      <c r="S1066" s="13">
        <v>0</v>
      </c>
      <c r="T1066" s="13">
        <v>0.1102025613</v>
      </c>
      <c r="U1066" s="13">
        <v>0.0199624674</v>
      </c>
      <c r="V1066" s="13">
        <v>0</v>
      </c>
      <c r="W1066" s="13">
        <v>0</v>
      </c>
      <c r="X1066" s="13">
        <v>0</v>
      </c>
      <c r="Y1066" s="13">
        <v>0</v>
      </c>
      <c r="Z1066" s="13">
        <v>0.0014048126</v>
      </c>
    </row>
    <row r="1067" s="2" customFormat="1" hidden="1" spans="1:26">
      <c r="A1067" s="11" t="s">
        <v>935</v>
      </c>
      <c r="B1067" s="11" t="s">
        <v>937</v>
      </c>
      <c r="C1067" s="14" t="s">
        <v>968</v>
      </c>
      <c r="D1067" s="14" t="s">
        <v>938</v>
      </c>
      <c r="E1067" s="14" t="s">
        <v>939</v>
      </c>
      <c r="F1067" s="3" t="s">
        <v>945</v>
      </c>
      <c r="G1067" s="4">
        <v>1</v>
      </c>
      <c r="H1067" s="12">
        <v>163.132</v>
      </c>
      <c r="I1067" s="12">
        <v>109.45513</v>
      </c>
      <c r="J1067" s="13">
        <v>0.6709605105</v>
      </c>
      <c r="K1067" s="13">
        <v>0.6709605105</v>
      </c>
      <c r="L1067" s="12">
        <v>23.99</v>
      </c>
      <c r="M1067" s="13">
        <v>0.1656661599</v>
      </c>
      <c r="N1067" s="13">
        <v>0.0378730414</v>
      </c>
      <c r="O1067" s="13">
        <v>0.3013755731</v>
      </c>
      <c r="P1067" s="13">
        <v>0</v>
      </c>
      <c r="Q1067" s="13">
        <v>0</v>
      </c>
      <c r="R1067" s="13">
        <v>0.3389286773</v>
      </c>
      <c r="S1067" s="13">
        <v>0</v>
      </c>
      <c r="T1067" s="13">
        <v>0.1200500208</v>
      </c>
      <c r="U1067" s="13">
        <v>0.0170843243</v>
      </c>
      <c r="V1067" s="13">
        <v>-0.6519383076</v>
      </c>
      <c r="W1067" s="13">
        <v>0</v>
      </c>
      <c r="X1067" s="13">
        <v>0</v>
      </c>
      <c r="Y1067" s="13">
        <v>0</v>
      </c>
      <c r="Z1067" s="13">
        <v>0</v>
      </c>
    </row>
    <row r="1068" s="2" customFormat="1" hidden="1" spans="1:26">
      <c r="A1068" s="11" t="s">
        <v>935</v>
      </c>
      <c r="B1068" s="11" t="s">
        <v>937</v>
      </c>
      <c r="C1068" s="14" t="s">
        <v>970</v>
      </c>
      <c r="D1068" s="14" t="s">
        <v>938</v>
      </c>
      <c r="E1068" s="14" t="s">
        <v>939</v>
      </c>
      <c r="F1068" s="3" t="s">
        <v>936</v>
      </c>
      <c r="G1068" s="4">
        <v>318</v>
      </c>
      <c r="H1068" s="12">
        <v>50805.18</v>
      </c>
      <c r="I1068" s="12">
        <v>5176.388665</v>
      </c>
      <c r="J1068" s="13">
        <v>0.1018870253</v>
      </c>
      <c r="K1068" s="13">
        <v>0.1018870253</v>
      </c>
      <c r="L1068" s="12">
        <v>23.4948113207</v>
      </c>
      <c r="M1068" s="13">
        <v>0.1649884032</v>
      </c>
      <c r="N1068" s="13">
        <v>0.0270057925</v>
      </c>
      <c r="O1068" s="13">
        <v>0.3143180282</v>
      </c>
      <c r="P1068" s="13">
        <v>0.0280605245</v>
      </c>
      <c r="Q1068" s="13">
        <v>0.0316194473</v>
      </c>
      <c r="R1068" s="13">
        <v>0.2217724361</v>
      </c>
      <c r="S1068" s="13">
        <v>0</v>
      </c>
      <c r="T1068" s="13">
        <v>0.1131816873</v>
      </c>
      <c r="U1068" s="13">
        <v>0.0170144319</v>
      </c>
      <c r="V1068" s="13">
        <v>-0.0243470055</v>
      </c>
      <c r="W1068" s="13">
        <v>-0.0006190766</v>
      </c>
      <c r="X1068" s="13">
        <v>0.0009114818</v>
      </c>
      <c r="Y1068" s="13">
        <v>0</v>
      </c>
      <c r="Z1068" s="13">
        <v>0.0042068236</v>
      </c>
    </row>
    <row r="1069" s="2" customFormat="1" hidden="1" spans="1:26">
      <c r="A1069" s="11" t="s">
        <v>935</v>
      </c>
      <c r="B1069" s="11" t="s">
        <v>937</v>
      </c>
      <c r="C1069" s="14" t="s">
        <v>970</v>
      </c>
      <c r="D1069" s="14" t="s">
        <v>938</v>
      </c>
      <c r="E1069" s="14" t="s">
        <v>939</v>
      </c>
      <c r="F1069" s="3" t="s">
        <v>953</v>
      </c>
      <c r="G1069" s="4">
        <v>2</v>
      </c>
      <c r="H1069" s="12">
        <v>299.064</v>
      </c>
      <c r="I1069" s="12">
        <v>-1013.068559</v>
      </c>
      <c r="J1069" s="13">
        <v>-3.3874640846</v>
      </c>
      <c r="K1069" s="13">
        <v>-3.3874640846</v>
      </c>
      <c r="L1069" s="12">
        <v>21.99</v>
      </c>
      <c r="M1069" s="13">
        <v>0.1768349115</v>
      </c>
      <c r="N1069" s="13">
        <v>0.0370705668</v>
      </c>
      <c r="O1069" s="13">
        <v>0.3501591632</v>
      </c>
      <c r="P1069" s="13">
        <v>0</v>
      </c>
      <c r="Q1069" s="13">
        <v>0.0044324224</v>
      </c>
      <c r="R1069" s="13">
        <v>3.6837183445</v>
      </c>
      <c r="S1069" s="13">
        <v>0</v>
      </c>
      <c r="T1069" s="13">
        <v>0.113915416</v>
      </c>
      <c r="U1069" s="13">
        <v>0.0182361033</v>
      </c>
      <c r="V1069" s="13">
        <v>0</v>
      </c>
      <c r="W1069" s="13">
        <v>0</v>
      </c>
      <c r="X1069" s="13">
        <v>0</v>
      </c>
      <c r="Y1069" s="13">
        <v>0</v>
      </c>
      <c r="Z1069" s="13">
        <v>0.0030971564</v>
      </c>
    </row>
    <row r="1070" s="2" customFormat="1" hidden="1" spans="1:26">
      <c r="A1070" s="11" t="s">
        <v>935</v>
      </c>
      <c r="B1070" s="11" t="s">
        <v>937</v>
      </c>
      <c r="C1070" s="14" t="s">
        <v>970</v>
      </c>
      <c r="D1070" s="14" t="s">
        <v>938</v>
      </c>
      <c r="E1070" s="14" t="s">
        <v>939</v>
      </c>
      <c r="F1070" s="3" t="s">
        <v>956</v>
      </c>
      <c r="G1070" s="4">
        <v>52</v>
      </c>
      <c r="H1070" s="12">
        <v>8088.464</v>
      </c>
      <c r="I1070" s="12">
        <v>625.97393</v>
      </c>
      <c r="J1070" s="13">
        <v>0.0773909521</v>
      </c>
      <c r="K1070" s="13">
        <v>0.0773909521</v>
      </c>
      <c r="L1070" s="12">
        <v>22.8746153846</v>
      </c>
      <c r="M1070" s="13">
        <v>0.169996288</v>
      </c>
      <c r="N1070" s="13">
        <v>0.0261929058</v>
      </c>
      <c r="O1070" s="13">
        <v>0.3358610485</v>
      </c>
      <c r="P1070" s="13">
        <v>0</v>
      </c>
      <c r="Q1070" s="13">
        <v>0.0661632213</v>
      </c>
      <c r="R1070" s="13">
        <v>0.1962351766</v>
      </c>
      <c r="S1070" s="13">
        <v>0</v>
      </c>
      <c r="T1070" s="13">
        <v>0.113856475</v>
      </c>
      <c r="U1070" s="13">
        <v>0.0175308701</v>
      </c>
      <c r="V1070" s="13">
        <v>-0.0037747587</v>
      </c>
      <c r="W1070" s="13">
        <v>0</v>
      </c>
      <c r="X1070" s="13">
        <v>0</v>
      </c>
      <c r="Y1070" s="13">
        <v>0</v>
      </c>
      <c r="Z1070" s="13">
        <v>0.0005478209</v>
      </c>
    </row>
    <row r="1071" s="2" customFormat="1" hidden="1" spans="1:26">
      <c r="A1071" s="11" t="s">
        <v>935</v>
      </c>
      <c r="B1071" s="11" t="s">
        <v>937</v>
      </c>
      <c r="C1071" s="14" t="s">
        <v>970</v>
      </c>
      <c r="D1071" s="14" t="s">
        <v>938</v>
      </c>
      <c r="E1071" s="14" t="s">
        <v>939</v>
      </c>
      <c r="F1071" s="3" t="s">
        <v>957</v>
      </c>
      <c r="G1071" s="4">
        <v>36</v>
      </c>
      <c r="H1071" s="12">
        <v>6335.152</v>
      </c>
      <c r="I1071" s="12">
        <v>1749.14366</v>
      </c>
      <c r="J1071" s="13">
        <v>0.2761012932</v>
      </c>
      <c r="K1071" s="13">
        <v>0.2761012932</v>
      </c>
      <c r="L1071" s="12">
        <v>25.8788888888</v>
      </c>
      <c r="M1071" s="13">
        <v>0.150261463</v>
      </c>
      <c r="N1071" s="13">
        <v>0.0231521781</v>
      </c>
      <c r="O1071" s="13">
        <v>0.2786054699</v>
      </c>
      <c r="P1071" s="13">
        <v>0</v>
      </c>
      <c r="Q1071" s="13">
        <v>0.0178548288</v>
      </c>
      <c r="R1071" s="13">
        <v>0.1339986484</v>
      </c>
      <c r="S1071" s="13">
        <v>0</v>
      </c>
      <c r="T1071" s="13">
        <v>0.1200463698</v>
      </c>
      <c r="U1071" s="13">
        <v>0.0154957159</v>
      </c>
      <c r="V1071" s="13">
        <v>-0.0159933021</v>
      </c>
      <c r="W1071" s="13">
        <v>0</v>
      </c>
      <c r="X1071" s="13">
        <v>0</v>
      </c>
      <c r="Y1071" s="13">
        <v>0</v>
      </c>
      <c r="Z1071" s="13">
        <v>0.0004773345</v>
      </c>
    </row>
    <row r="1072" s="2" customFormat="1" hidden="1" spans="1:26">
      <c r="A1072" s="11" t="s">
        <v>935</v>
      </c>
      <c r="B1072" s="11" t="s">
        <v>937</v>
      </c>
      <c r="C1072" s="14" t="s">
        <v>970</v>
      </c>
      <c r="D1072" s="14" t="s">
        <v>938</v>
      </c>
      <c r="E1072" s="14" t="s">
        <v>939</v>
      </c>
      <c r="F1072" s="3" t="s">
        <v>940</v>
      </c>
      <c r="G1072" s="4">
        <v>25</v>
      </c>
      <c r="H1072" s="12">
        <v>4363.9</v>
      </c>
      <c r="I1072" s="12">
        <v>846.696623</v>
      </c>
      <c r="J1072" s="13">
        <v>0.1940229205</v>
      </c>
      <c r="K1072" s="13">
        <v>0.1940229205</v>
      </c>
      <c r="L1072" s="12">
        <v>25.67</v>
      </c>
      <c r="M1072" s="13">
        <v>0.1514842113</v>
      </c>
      <c r="N1072" s="13">
        <v>0.0233405783</v>
      </c>
      <c r="O1072" s="13">
        <v>0.2808726139</v>
      </c>
      <c r="P1072" s="13">
        <v>0</v>
      </c>
      <c r="Q1072" s="13">
        <v>0.0114270977</v>
      </c>
      <c r="R1072" s="13">
        <v>0.2245956494</v>
      </c>
      <c r="S1072" s="13">
        <v>0</v>
      </c>
      <c r="T1072" s="13">
        <v>0.10990261</v>
      </c>
      <c r="U1072" s="13">
        <v>0.0156218119</v>
      </c>
      <c r="V1072" s="13">
        <v>-0.0116088819</v>
      </c>
      <c r="W1072" s="13">
        <v>0</v>
      </c>
      <c r="X1072" s="13">
        <v>0</v>
      </c>
      <c r="Y1072" s="13">
        <v>0</v>
      </c>
      <c r="Z1072" s="13">
        <v>0.0003413884</v>
      </c>
    </row>
    <row r="1073" s="2" customFormat="1" hidden="1" spans="1:26">
      <c r="A1073" s="11" t="s">
        <v>935</v>
      </c>
      <c r="B1073" s="11" t="s">
        <v>937</v>
      </c>
      <c r="C1073" s="14" t="s">
        <v>970</v>
      </c>
      <c r="D1073" s="14" t="s">
        <v>938</v>
      </c>
      <c r="E1073" s="14" t="s">
        <v>939</v>
      </c>
      <c r="F1073" s="3" t="s">
        <v>941</v>
      </c>
      <c r="G1073" s="4">
        <v>115</v>
      </c>
      <c r="H1073" s="12">
        <v>17855.168</v>
      </c>
      <c r="I1073" s="12">
        <v>1253.07004</v>
      </c>
      <c r="J1073" s="13">
        <v>0.0701796835</v>
      </c>
      <c r="K1073" s="13">
        <v>0.0701796835</v>
      </c>
      <c r="L1073" s="12">
        <v>22.8326956521</v>
      </c>
      <c r="M1073" s="13">
        <v>0.1688274505</v>
      </c>
      <c r="N1073" s="13">
        <v>0.0260128122</v>
      </c>
      <c r="O1073" s="13">
        <v>0.3188372128</v>
      </c>
      <c r="P1073" s="13">
        <v>0.0358372433</v>
      </c>
      <c r="Q1073" s="13">
        <v>0.008158315</v>
      </c>
      <c r="R1073" s="13">
        <v>0.2372297478</v>
      </c>
      <c r="S1073" s="13">
        <v>0</v>
      </c>
      <c r="T1073" s="13">
        <v>0.1119104564</v>
      </c>
      <c r="U1073" s="13">
        <v>0.0174103337</v>
      </c>
      <c r="V1073" s="13">
        <v>0.0002589726</v>
      </c>
      <c r="W1073" s="13">
        <v>0</v>
      </c>
      <c r="X1073" s="13">
        <v>0</v>
      </c>
      <c r="Y1073" s="13">
        <v>0</v>
      </c>
      <c r="Z1073" s="13">
        <v>0.0053377718</v>
      </c>
    </row>
    <row r="1074" s="2" customFormat="1" hidden="1" spans="1:26">
      <c r="A1074" s="11" t="s">
        <v>935</v>
      </c>
      <c r="B1074" s="11" t="s">
        <v>937</v>
      </c>
      <c r="C1074" s="14" t="s">
        <v>970</v>
      </c>
      <c r="D1074" s="14" t="s">
        <v>938</v>
      </c>
      <c r="E1074" s="14" t="s">
        <v>939</v>
      </c>
      <c r="F1074" s="3" t="s">
        <v>942</v>
      </c>
      <c r="G1074" s="4">
        <v>30</v>
      </c>
      <c r="H1074" s="12">
        <v>4806.104</v>
      </c>
      <c r="I1074" s="12">
        <v>1109.46695</v>
      </c>
      <c r="J1074" s="13">
        <v>0.2308453895</v>
      </c>
      <c r="K1074" s="13">
        <v>0.2308453895</v>
      </c>
      <c r="L1074" s="12">
        <v>23.5593333333</v>
      </c>
      <c r="M1074" s="13">
        <v>0.1650555918</v>
      </c>
      <c r="N1074" s="13">
        <v>0.0302793822</v>
      </c>
      <c r="O1074" s="13">
        <v>0.3166473301</v>
      </c>
      <c r="P1074" s="13">
        <v>0.0305469877</v>
      </c>
      <c r="Q1074" s="13">
        <v>0.0621248279</v>
      </c>
      <c r="R1074" s="13">
        <v>0.2125781002</v>
      </c>
      <c r="S1074" s="13">
        <v>0</v>
      </c>
      <c r="T1074" s="13">
        <v>0.1170944282</v>
      </c>
      <c r="U1074" s="13">
        <v>0.0170213607</v>
      </c>
      <c r="V1074" s="13">
        <v>-0.1886796457</v>
      </c>
      <c r="W1074" s="13">
        <v>0</v>
      </c>
      <c r="X1074" s="13">
        <v>0</v>
      </c>
      <c r="Y1074" s="13">
        <v>0</v>
      </c>
      <c r="Z1074" s="13">
        <v>0.006486247</v>
      </c>
    </row>
    <row r="1075" s="2" customFormat="1" hidden="1" spans="1:26">
      <c r="A1075" s="11" t="s">
        <v>935</v>
      </c>
      <c r="B1075" s="11" t="s">
        <v>937</v>
      </c>
      <c r="C1075" s="14" t="s">
        <v>970</v>
      </c>
      <c r="D1075" s="14" t="s">
        <v>938</v>
      </c>
      <c r="E1075" s="14" t="s">
        <v>939</v>
      </c>
      <c r="F1075" s="3" t="s">
        <v>943</v>
      </c>
      <c r="G1075" s="4">
        <v>35</v>
      </c>
      <c r="H1075" s="12">
        <v>5699.692</v>
      </c>
      <c r="I1075" s="12">
        <v>722.039998</v>
      </c>
      <c r="J1075" s="13">
        <v>0.126680529</v>
      </c>
      <c r="K1075" s="13">
        <v>0.126680529</v>
      </c>
      <c r="L1075" s="12">
        <v>23.9482857142</v>
      </c>
      <c r="M1075" s="13">
        <v>0.1623748669</v>
      </c>
      <c r="N1075" s="13">
        <v>0.0307637395</v>
      </c>
      <c r="O1075" s="13">
        <v>0.3115045514</v>
      </c>
      <c r="P1075" s="13">
        <v>0.0572423913</v>
      </c>
      <c r="Q1075" s="13">
        <v>0.0444161774</v>
      </c>
      <c r="R1075" s="13">
        <v>0.151385127</v>
      </c>
      <c r="S1075" s="13">
        <v>0</v>
      </c>
      <c r="T1075" s="13">
        <v>0.1128264474</v>
      </c>
      <c r="U1075" s="13">
        <v>0.0167449109</v>
      </c>
      <c r="V1075" s="13">
        <v>-0.0267123205</v>
      </c>
      <c r="W1075" s="13">
        <v>-0.0055182458</v>
      </c>
      <c r="X1075" s="13">
        <v>0.005416433</v>
      </c>
      <c r="Y1075" s="13">
        <v>0</v>
      </c>
      <c r="Z1075" s="13">
        <v>0.0128753922</v>
      </c>
    </row>
    <row r="1076" s="2" customFormat="1" spans="1:26">
      <c r="A1076" s="11" t="s">
        <v>935</v>
      </c>
      <c r="B1076" s="11" t="s">
        <v>937</v>
      </c>
      <c r="C1076" s="14" t="s">
        <v>970</v>
      </c>
      <c r="D1076" s="14" t="s">
        <v>938</v>
      </c>
      <c r="E1076" s="14" t="s">
        <v>939</v>
      </c>
      <c r="F1076" s="3" t="s">
        <v>944</v>
      </c>
      <c r="G1076" s="4">
        <v>19</v>
      </c>
      <c r="H1076" s="12">
        <v>2841.108</v>
      </c>
      <c r="I1076" s="12">
        <v>-136.731893</v>
      </c>
      <c r="J1076" s="13">
        <v>-0.0481262567</v>
      </c>
      <c r="K1076" s="13">
        <v>-0.0481262567</v>
      </c>
      <c r="L1076" s="12">
        <v>21.99</v>
      </c>
      <c r="M1076" s="13">
        <v>0.1768349115</v>
      </c>
      <c r="N1076" s="13">
        <v>0.0335033571</v>
      </c>
      <c r="O1076" s="13">
        <v>0.3392451114</v>
      </c>
      <c r="P1076" s="13">
        <v>0.1100500227</v>
      </c>
      <c r="Q1076" s="13">
        <v>0.0737608471</v>
      </c>
      <c r="R1076" s="13">
        <v>0.1879131887</v>
      </c>
      <c r="S1076" s="13">
        <v>0</v>
      </c>
      <c r="T1076" s="13">
        <v>0.1017448122</v>
      </c>
      <c r="U1076" s="13">
        <v>0.0182361033</v>
      </c>
      <c r="V1076" s="13">
        <v>0</v>
      </c>
      <c r="W1076" s="13">
        <v>0</v>
      </c>
      <c r="X1076" s="13">
        <v>0.0054330912</v>
      </c>
      <c r="Y1076" s="13">
        <v>0</v>
      </c>
      <c r="Z1076" s="13">
        <v>0.001404811</v>
      </c>
    </row>
    <row r="1077" s="2" customFormat="1" hidden="1" spans="1:26">
      <c r="A1077" s="11" t="s">
        <v>935</v>
      </c>
      <c r="B1077" s="11" t="s">
        <v>937</v>
      </c>
      <c r="C1077" s="14" t="s">
        <v>970</v>
      </c>
      <c r="D1077" s="14" t="s">
        <v>938</v>
      </c>
      <c r="E1077" s="14" t="s">
        <v>939</v>
      </c>
      <c r="F1077" s="3" t="s">
        <v>945</v>
      </c>
      <c r="G1077" s="4">
        <v>4</v>
      </c>
      <c r="H1077" s="12">
        <v>516.528</v>
      </c>
      <c r="I1077" s="12">
        <v>19.797916</v>
      </c>
      <c r="J1077" s="13">
        <v>0.038328834</v>
      </c>
      <c r="K1077" s="13">
        <v>0.038328834</v>
      </c>
      <c r="L1077" s="12">
        <v>18.99</v>
      </c>
      <c r="M1077" s="13">
        <v>0.2047709165</v>
      </c>
      <c r="N1077" s="13">
        <v>0.0387961465</v>
      </c>
      <c r="O1077" s="13">
        <v>0.3928383359</v>
      </c>
      <c r="P1077" s="13">
        <v>0</v>
      </c>
      <c r="Q1077" s="13">
        <v>0</v>
      </c>
      <c r="R1077" s="13">
        <v>0.1840855713</v>
      </c>
      <c r="S1077" s="13">
        <v>0</v>
      </c>
      <c r="T1077" s="13">
        <v>0.1200631911</v>
      </c>
      <c r="U1077" s="13">
        <v>0.0211170043</v>
      </c>
      <c r="V1077" s="13">
        <v>0</v>
      </c>
      <c r="W1077" s="13">
        <v>0</v>
      </c>
      <c r="X1077" s="13">
        <v>0</v>
      </c>
      <c r="Y1077" s="13">
        <v>0</v>
      </c>
      <c r="Z1077" s="13">
        <v>0</v>
      </c>
    </row>
    <row r="1078" s="2" customFormat="1" hidden="1" spans="1:26">
      <c r="A1078" s="11" t="s">
        <v>935</v>
      </c>
      <c r="B1078" s="11" t="s">
        <v>937</v>
      </c>
      <c r="C1078" s="14" t="s">
        <v>971</v>
      </c>
      <c r="D1078" s="14" t="s">
        <v>938</v>
      </c>
      <c r="E1078" s="14" t="s">
        <v>939</v>
      </c>
      <c r="F1078" s="3" t="s">
        <v>936</v>
      </c>
      <c r="G1078" s="4">
        <v>151</v>
      </c>
      <c r="H1078" s="12">
        <v>22987.468</v>
      </c>
      <c r="I1078" s="12">
        <v>1711.404736</v>
      </c>
      <c r="J1078" s="13">
        <v>0.0744494668</v>
      </c>
      <c r="K1078" s="13">
        <v>0.0744494668</v>
      </c>
      <c r="L1078" s="12">
        <v>22.3874834437</v>
      </c>
      <c r="M1078" s="13">
        <v>0.1287625383</v>
      </c>
      <c r="N1078" s="13">
        <v>0.022887313</v>
      </c>
      <c r="O1078" s="13">
        <v>0.2952453919</v>
      </c>
      <c r="P1078" s="13">
        <v>0.0936101357</v>
      </c>
      <c r="Q1078" s="13">
        <v>0.0448549381</v>
      </c>
      <c r="R1078" s="13">
        <v>0.2404977354</v>
      </c>
      <c r="S1078" s="13">
        <v>0</v>
      </c>
      <c r="T1078" s="13">
        <v>0.1052267261</v>
      </c>
      <c r="U1078" s="13">
        <v>0.0132786376</v>
      </c>
      <c r="V1078" s="13">
        <v>-0.0156988146</v>
      </c>
      <c r="W1078" s="13">
        <v>-0.0072406665</v>
      </c>
      <c r="X1078" s="13">
        <v>0</v>
      </c>
      <c r="Y1078" s="13">
        <v>0</v>
      </c>
      <c r="Z1078" s="13">
        <v>0.0041265978</v>
      </c>
    </row>
    <row r="1079" s="2" customFormat="1" hidden="1" spans="1:26">
      <c r="A1079" s="11" t="s">
        <v>935</v>
      </c>
      <c r="B1079" s="11" t="s">
        <v>937</v>
      </c>
      <c r="C1079" s="14" t="s">
        <v>971</v>
      </c>
      <c r="D1079" s="14" t="s">
        <v>938</v>
      </c>
      <c r="E1079" s="14" t="s">
        <v>939</v>
      </c>
      <c r="F1079" s="3" t="s">
        <v>947</v>
      </c>
      <c r="G1079" s="4">
        <v>0</v>
      </c>
      <c r="H1079" s="12">
        <v>0</v>
      </c>
      <c r="I1079" s="12">
        <v>-66.776</v>
      </c>
      <c r="J1079" s="13"/>
      <c r="K1079" s="13"/>
      <c r="L1079" s="12"/>
      <c r="M1079" s="13"/>
      <c r="N1079" s="13"/>
      <c r="O1079" s="13"/>
      <c r="P1079" s="13"/>
      <c r="Q1079" s="13"/>
      <c r="R1079" s="13"/>
      <c r="S1079" s="13"/>
      <c r="T1079" s="13"/>
      <c r="U1079" s="13"/>
      <c r="V1079" s="13"/>
      <c r="W1079" s="13"/>
      <c r="X1079" s="13"/>
      <c r="Y1079" s="13"/>
      <c r="Z1079" s="13"/>
    </row>
    <row r="1080" s="2" customFormat="1" hidden="1" spans="1:26">
      <c r="A1080" s="11" t="s">
        <v>935</v>
      </c>
      <c r="B1080" s="11" t="s">
        <v>937</v>
      </c>
      <c r="C1080" s="14" t="s">
        <v>971</v>
      </c>
      <c r="D1080" s="14" t="s">
        <v>938</v>
      </c>
      <c r="E1080" s="14" t="s">
        <v>939</v>
      </c>
      <c r="F1080" s="3" t="s">
        <v>953</v>
      </c>
      <c r="G1080" s="4">
        <v>25</v>
      </c>
      <c r="H1080" s="12">
        <v>3867.5</v>
      </c>
      <c r="I1080" s="12">
        <v>82.954694</v>
      </c>
      <c r="J1080" s="13">
        <v>0.0214491775</v>
      </c>
      <c r="K1080" s="13">
        <v>0.0214491775</v>
      </c>
      <c r="L1080" s="12">
        <v>22.75</v>
      </c>
      <c r="M1080" s="13">
        <v>0.1319539366</v>
      </c>
      <c r="N1080" s="13">
        <v>0.0265184227</v>
      </c>
      <c r="O1080" s="13">
        <v>0.3252395604</v>
      </c>
      <c r="P1080" s="13">
        <v>0.080843956</v>
      </c>
      <c r="Q1080" s="13">
        <v>0.0401555146</v>
      </c>
      <c r="R1080" s="13">
        <v>0.3281762879</v>
      </c>
      <c r="S1080" s="13">
        <v>0</v>
      </c>
      <c r="T1080" s="13">
        <v>0.1042813186</v>
      </c>
      <c r="U1080" s="13">
        <v>0.0136077504</v>
      </c>
      <c r="V1080" s="13">
        <v>-0.0753230769</v>
      </c>
      <c r="W1080" s="13">
        <v>0</v>
      </c>
      <c r="X1080" s="13">
        <v>0</v>
      </c>
      <c r="Y1080" s="13">
        <v>0</v>
      </c>
      <c r="Z1080" s="13">
        <v>0.0030971516</v>
      </c>
    </row>
    <row r="1081" s="2" customFormat="1" hidden="1" spans="1:26">
      <c r="A1081" s="11" t="s">
        <v>935</v>
      </c>
      <c r="B1081" s="11" t="s">
        <v>937</v>
      </c>
      <c r="C1081" s="14" t="s">
        <v>971</v>
      </c>
      <c r="D1081" s="14" t="s">
        <v>938</v>
      </c>
      <c r="E1081" s="14" t="s">
        <v>939</v>
      </c>
      <c r="F1081" s="3" t="s">
        <v>956</v>
      </c>
      <c r="G1081" s="4">
        <v>37</v>
      </c>
      <c r="H1081" s="12">
        <v>5649.44</v>
      </c>
      <c r="I1081" s="12">
        <v>509.253837</v>
      </c>
      <c r="J1081" s="13">
        <v>0.0901423569</v>
      </c>
      <c r="K1081" s="13">
        <v>0.0901423569</v>
      </c>
      <c r="L1081" s="12">
        <v>22.454054054</v>
      </c>
      <c r="M1081" s="13">
        <v>0.1336930984</v>
      </c>
      <c r="N1081" s="13">
        <v>0.0187521026</v>
      </c>
      <c r="O1081" s="13">
        <v>0.3160929224</v>
      </c>
      <c r="P1081" s="13">
        <v>0.0536350505</v>
      </c>
      <c r="Q1081" s="13">
        <v>0.0864728056</v>
      </c>
      <c r="R1081" s="13">
        <v>0.1802157222</v>
      </c>
      <c r="S1081" s="13">
        <v>0</v>
      </c>
      <c r="T1081" s="13">
        <v>0.1149012999</v>
      </c>
      <c r="U1081" s="13">
        <v>0.0137871019</v>
      </c>
      <c r="V1081" s="13">
        <v>0</v>
      </c>
      <c r="W1081" s="13">
        <v>-0.0082402811</v>
      </c>
      <c r="X1081" s="13">
        <v>0</v>
      </c>
      <c r="Y1081" s="13">
        <v>0</v>
      </c>
      <c r="Z1081" s="13">
        <v>0.0005478203</v>
      </c>
    </row>
    <row r="1082" s="2" customFormat="1" hidden="1" spans="1:26">
      <c r="A1082" s="11" t="s">
        <v>935</v>
      </c>
      <c r="B1082" s="11" t="s">
        <v>937</v>
      </c>
      <c r="C1082" s="14" t="s">
        <v>971</v>
      </c>
      <c r="D1082" s="14" t="s">
        <v>938</v>
      </c>
      <c r="E1082" s="14" t="s">
        <v>939</v>
      </c>
      <c r="F1082" s="3" t="s">
        <v>957</v>
      </c>
      <c r="G1082" s="4">
        <v>12</v>
      </c>
      <c r="H1082" s="12">
        <v>1930.452</v>
      </c>
      <c r="I1082" s="12">
        <v>230.529457</v>
      </c>
      <c r="J1082" s="13">
        <v>0.1194173473</v>
      </c>
      <c r="K1082" s="13">
        <v>0.1194173473</v>
      </c>
      <c r="L1082" s="12">
        <v>23.6575</v>
      </c>
      <c r="M1082" s="13">
        <v>0.1268921931</v>
      </c>
      <c r="N1082" s="13">
        <v>0.0177981923</v>
      </c>
      <c r="O1082" s="13">
        <v>0.2673570749</v>
      </c>
      <c r="P1082" s="13">
        <v>0.2535136848</v>
      </c>
      <c r="Q1082" s="13">
        <v>0.0441633518</v>
      </c>
      <c r="R1082" s="13">
        <v>0.121679288</v>
      </c>
      <c r="S1082" s="13">
        <v>0</v>
      </c>
      <c r="T1082" s="13">
        <v>0.0957413082</v>
      </c>
      <c r="U1082" s="13">
        <v>0.0130857581</v>
      </c>
      <c r="V1082" s="13">
        <v>-0.0239529395</v>
      </c>
      <c r="W1082" s="13">
        <v>-0.0361725963</v>
      </c>
      <c r="X1082" s="13">
        <v>0</v>
      </c>
      <c r="Y1082" s="13">
        <v>0</v>
      </c>
      <c r="Z1082" s="13">
        <v>0.0004773369</v>
      </c>
    </row>
    <row r="1083" s="2" customFormat="1" hidden="1" spans="1:26">
      <c r="A1083" s="11" t="s">
        <v>935</v>
      </c>
      <c r="B1083" s="11" t="s">
        <v>937</v>
      </c>
      <c r="C1083" s="14" t="s">
        <v>971</v>
      </c>
      <c r="D1083" s="14" t="s">
        <v>938</v>
      </c>
      <c r="E1083" s="14" t="s">
        <v>939</v>
      </c>
      <c r="F1083" s="3" t="s">
        <v>940</v>
      </c>
      <c r="G1083" s="4">
        <v>15</v>
      </c>
      <c r="H1083" s="12">
        <v>2447.592</v>
      </c>
      <c r="I1083" s="12">
        <v>-39.945778</v>
      </c>
      <c r="J1083" s="13">
        <v>-0.0163204398</v>
      </c>
      <c r="K1083" s="13">
        <v>-0.0163204398</v>
      </c>
      <c r="L1083" s="12">
        <v>23.996</v>
      </c>
      <c r="M1083" s="13">
        <v>0.1167620404</v>
      </c>
      <c r="N1083" s="13">
        <v>0.0163773137</v>
      </c>
      <c r="O1083" s="13">
        <v>0.268378063</v>
      </c>
      <c r="P1083" s="13">
        <v>0.2166194365</v>
      </c>
      <c r="Q1083" s="13">
        <v>0.0259453495</v>
      </c>
      <c r="R1083" s="13">
        <v>0.2778143112</v>
      </c>
      <c r="S1083" s="13">
        <v>0</v>
      </c>
      <c r="T1083" s="13">
        <v>0.0804300716</v>
      </c>
      <c r="U1083" s="13">
        <v>0.012041086</v>
      </c>
      <c r="V1083" s="13">
        <v>0.0016113796</v>
      </c>
      <c r="W1083" s="13">
        <v>0</v>
      </c>
      <c r="X1083" s="13">
        <v>0</v>
      </c>
      <c r="Y1083" s="13">
        <v>0</v>
      </c>
      <c r="Z1083" s="13">
        <v>0.0003413877</v>
      </c>
    </row>
    <row r="1084" s="2" customFormat="1" hidden="1" spans="1:26">
      <c r="A1084" s="11" t="s">
        <v>935</v>
      </c>
      <c r="B1084" s="11" t="s">
        <v>937</v>
      </c>
      <c r="C1084" s="14" t="s">
        <v>971</v>
      </c>
      <c r="D1084" s="14" t="s">
        <v>938</v>
      </c>
      <c r="E1084" s="14" t="s">
        <v>939</v>
      </c>
      <c r="F1084" s="3" t="s">
        <v>941</v>
      </c>
      <c r="G1084" s="4">
        <v>21</v>
      </c>
      <c r="H1084" s="12">
        <v>2575.908</v>
      </c>
      <c r="I1084" s="12">
        <v>538.876938</v>
      </c>
      <c r="J1084" s="13">
        <v>0.2091988293</v>
      </c>
      <c r="K1084" s="13">
        <v>0.2091988293</v>
      </c>
      <c r="L1084" s="12">
        <v>18.0385714285</v>
      </c>
      <c r="M1084" s="13">
        <v>0.1267950501</v>
      </c>
      <c r="N1084" s="13">
        <v>0.0177845668</v>
      </c>
      <c r="O1084" s="13">
        <v>0.2778437739</v>
      </c>
      <c r="P1084" s="13">
        <v>0</v>
      </c>
      <c r="Q1084" s="13">
        <v>0.0208956465</v>
      </c>
      <c r="R1084" s="13">
        <v>0.239894632</v>
      </c>
      <c r="S1084" s="13">
        <v>0</v>
      </c>
      <c r="T1084" s="13">
        <v>0.109896782</v>
      </c>
      <c r="U1084" s="13">
        <v>0.0130757402</v>
      </c>
      <c r="V1084" s="13">
        <v>-0.0341860035</v>
      </c>
      <c r="W1084" s="13">
        <v>0</v>
      </c>
      <c r="X1084" s="13">
        <v>0</v>
      </c>
      <c r="Y1084" s="13">
        <v>0</v>
      </c>
      <c r="Z1084" s="13">
        <v>0.0188009824</v>
      </c>
    </row>
    <row r="1085" s="2" customFormat="1" hidden="1" spans="1:26">
      <c r="A1085" s="11" t="s">
        <v>935</v>
      </c>
      <c r="B1085" s="11" t="s">
        <v>937</v>
      </c>
      <c r="C1085" s="14" t="s">
        <v>971</v>
      </c>
      <c r="D1085" s="14" t="s">
        <v>938</v>
      </c>
      <c r="E1085" s="14" t="s">
        <v>939</v>
      </c>
      <c r="F1085" s="3" t="s">
        <v>942</v>
      </c>
      <c r="G1085" s="4">
        <v>3</v>
      </c>
      <c r="H1085" s="12">
        <v>530.196</v>
      </c>
      <c r="I1085" s="12">
        <v>-14.182724</v>
      </c>
      <c r="J1085" s="13">
        <v>-0.0267499641</v>
      </c>
      <c r="K1085" s="13">
        <v>-0.0267499641</v>
      </c>
      <c r="L1085" s="12">
        <v>25.99</v>
      </c>
      <c r="M1085" s="13">
        <v>0.1155041192</v>
      </c>
      <c r="N1085" s="13">
        <v>0.0162008747</v>
      </c>
      <c r="O1085" s="13">
        <v>0.2751058099</v>
      </c>
      <c r="P1085" s="13">
        <v>0</v>
      </c>
      <c r="Q1085" s="13">
        <v>0.0458935299</v>
      </c>
      <c r="R1085" s="13">
        <v>0.4356017925</v>
      </c>
      <c r="S1085" s="13">
        <v>0</v>
      </c>
      <c r="T1085" s="13">
        <v>0.1200461716</v>
      </c>
      <c r="U1085" s="13">
        <v>0.0119113629</v>
      </c>
      <c r="V1085" s="13">
        <v>0</v>
      </c>
      <c r="W1085" s="13">
        <v>0</v>
      </c>
      <c r="X1085" s="13">
        <v>0</v>
      </c>
      <c r="Y1085" s="13">
        <v>0</v>
      </c>
      <c r="Z1085" s="13">
        <v>0.0064863031</v>
      </c>
    </row>
    <row r="1086" s="2" customFormat="1" hidden="1" spans="1:26">
      <c r="A1086" s="11" t="s">
        <v>935</v>
      </c>
      <c r="B1086" s="11" t="s">
        <v>937</v>
      </c>
      <c r="C1086" s="14" t="s">
        <v>971</v>
      </c>
      <c r="D1086" s="14" t="s">
        <v>938</v>
      </c>
      <c r="E1086" s="14" t="s">
        <v>939</v>
      </c>
      <c r="F1086" s="3" t="s">
        <v>943</v>
      </c>
      <c r="G1086" s="4">
        <v>10</v>
      </c>
      <c r="H1086" s="12">
        <v>1587.528</v>
      </c>
      <c r="I1086" s="12">
        <v>154.514991</v>
      </c>
      <c r="J1086" s="13">
        <v>0.097330561</v>
      </c>
      <c r="K1086" s="13">
        <v>0.097330561</v>
      </c>
      <c r="L1086" s="12">
        <v>23.346</v>
      </c>
      <c r="M1086" s="13">
        <v>0.1285852847</v>
      </c>
      <c r="N1086" s="13">
        <v>0.0374666777</v>
      </c>
      <c r="O1086" s="13">
        <v>0.2945686627</v>
      </c>
      <c r="P1086" s="13">
        <v>0</v>
      </c>
      <c r="Q1086" s="13">
        <v>0.0156675378</v>
      </c>
      <c r="R1086" s="13">
        <v>0.2836516904</v>
      </c>
      <c r="S1086" s="13">
        <v>0</v>
      </c>
      <c r="T1086" s="13">
        <v>0.116593849</v>
      </c>
      <c r="U1086" s="13">
        <v>0.0132603582</v>
      </c>
      <c r="V1086" s="13">
        <v>0</v>
      </c>
      <c r="W1086" s="13">
        <v>0</v>
      </c>
      <c r="X1086" s="13">
        <v>0</v>
      </c>
      <c r="Y1086" s="13">
        <v>0</v>
      </c>
      <c r="Z1086" s="13">
        <v>0.0128753779</v>
      </c>
    </row>
    <row r="1087" s="2" customFormat="1" spans="1:26">
      <c r="A1087" s="11" t="s">
        <v>935</v>
      </c>
      <c r="B1087" s="11" t="s">
        <v>937</v>
      </c>
      <c r="C1087" s="14" t="s">
        <v>971</v>
      </c>
      <c r="D1087" s="14" t="s">
        <v>938</v>
      </c>
      <c r="E1087" s="14" t="s">
        <v>939</v>
      </c>
      <c r="F1087" s="3" t="s">
        <v>944</v>
      </c>
      <c r="G1087" s="4">
        <v>25</v>
      </c>
      <c r="H1087" s="12">
        <v>4072.588</v>
      </c>
      <c r="I1087" s="12">
        <v>261.813591</v>
      </c>
      <c r="J1087" s="13">
        <v>0.0642867854</v>
      </c>
      <c r="K1087" s="13">
        <v>0.0642867854</v>
      </c>
      <c r="L1087" s="12">
        <v>23.9564</v>
      </c>
      <c r="M1087" s="13">
        <v>0.1253089804</v>
      </c>
      <c r="N1087" s="13">
        <v>0.0283468644</v>
      </c>
      <c r="O1087" s="13">
        <v>0.2821792923</v>
      </c>
      <c r="P1087" s="13">
        <v>0.1268471055</v>
      </c>
      <c r="Q1087" s="13">
        <v>0.0332682144</v>
      </c>
      <c r="R1087" s="13">
        <v>0.22119956</v>
      </c>
      <c r="S1087" s="13">
        <v>0</v>
      </c>
      <c r="T1087" s="13">
        <v>0.1016012422</v>
      </c>
      <c r="U1087" s="13">
        <v>0.0129224893</v>
      </c>
      <c r="V1087" s="13">
        <v>0.0149271175</v>
      </c>
      <c r="W1087" s="13">
        <v>-0.0122924675</v>
      </c>
      <c r="X1087" s="13">
        <v>0</v>
      </c>
      <c r="Y1087" s="13">
        <v>0</v>
      </c>
      <c r="Z1087" s="13">
        <v>0.0014048155</v>
      </c>
    </row>
    <row r="1088" s="2" customFormat="1" hidden="1" spans="1:26">
      <c r="A1088" s="11" t="s">
        <v>935</v>
      </c>
      <c r="B1088" s="11" t="s">
        <v>937</v>
      </c>
      <c r="C1088" s="14" t="s">
        <v>971</v>
      </c>
      <c r="D1088" s="14" t="s">
        <v>938</v>
      </c>
      <c r="E1088" s="14" t="s">
        <v>939</v>
      </c>
      <c r="F1088" s="3" t="s">
        <v>945</v>
      </c>
      <c r="G1088" s="4">
        <v>3</v>
      </c>
      <c r="H1088" s="12">
        <v>326.264</v>
      </c>
      <c r="I1088" s="12">
        <v>54.36573</v>
      </c>
      <c r="J1088" s="13">
        <v>0.1666311024</v>
      </c>
      <c r="K1088" s="13">
        <v>0.1666311024</v>
      </c>
      <c r="L1088" s="12">
        <v>15.9933333333</v>
      </c>
      <c r="M1088" s="13">
        <v>0.187700212</v>
      </c>
      <c r="N1088" s="13">
        <v>0.0424607434</v>
      </c>
      <c r="O1088" s="13">
        <v>0.2817840766</v>
      </c>
      <c r="P1088" s="13">
        <v>0</v>
      </c>
      <c r="Q1088" s="13">
        <v>0</v>
      </c>
      <c r="R1088" s="13">
        <v>0.182017259</v>
      </c>
      <c r="S1088" s="13">
        <v>0</v>
      </c>
      <c r="T1088" s="13">
        <v>0.1200500208</v>
      </c>
      <c r="U1088" s="13">
        <v>0.0193565854</v>
      </c>
      <c r="V1088" s="13">
        <v>0</v>
      </c>
      <c r="W1088" s="13">
        <v>0</v>
      </c>
      <c r="X1088" s="13">
        <v>0</v>
      </c>
      <c r="Y1088" s="13">
        <v>0</v>
      </c>
      <c r="Z1088" s="13">
        <v>0</v>
      </c>
    </row>
    <row r="1089" s="2" customFormat="1" hidden="1" spans="1:26">
      <c r="A1089" s="11" t="s">
        <v>935</v>
      </c>
      <c r="B1089" s="11" t="s">
        <v>937</v>
      </c>
      <c r="C1089" s="14" t="s">
        <v>972</v>
      </c>
      <c r="D1089" s="14" t="s">
        <v>938</v>
      </c>
      <c r="E1089" s="14" t="s">
        <v>939</v>
      </c>
      <c r="F1089" s="3" t="s">
        <v>936</v>
      </c>
      <c r="G1089" s="4">
        <v>503.0000000012</v>
      </c>
      <c r="H1089" s="12">
        <v>82547.784</v>
      </c>
      <c r="I1089" s="12">
        <v>21273.802363</v>
      </c>
      <c r="J1089" s="13">
        <v>0.2577150025</v>
      </c>
      <c r="K1089" s="13">
        <v>0.2577150025</v>
      </c>
      <c r="L1089" s="12">
        <v>24.1339562623</v>
      </c>
      <c r="M1089" s="13">
        <v>0.1260002815</v>
      </c>
      <c r="N1089" s="13">
        <v>0.0272571056</v>
      </c>
      <c r="O1089" s="13">
        <v>0.2551110523</v>
      </c>
      <c r="P1089" s="13">
        <v>0.0161392097</v>
      </c>
      <c r="Q1089" s="13">
        <v>0.012279319</v>
      </c>
      <c r="R1089" s="13">
        <v>0.1944955515</v>
      </c>
      <c r="S1089" s="13">
        <v>0</v>
      </c>
      <c r="T1089" s="13">
        <v>0.1138921427</v>
      </c>
      <c r="U1089" s="13">
        <v>0.0129937811</v>
      </c>
      <c r="V1089" s="13">
        <v>-0.0197794286</v>
      </c>
      <c r="W1089" s="13">
        <v>-0.0009124429</v>
      </c>
      <c r="X1089" s="13">
        <v>0.0003739894</v>
      </c>
      <c r="Y1089" s="13">
        <v>0</v>
      </c>
      <c r="Z1089" s="13">
        <v>0.0044344357</v>
      </c>
    </row>
    <row r="1090" s="2" customFormat="1" hidden="1" spans="1:26">
      <c r="A1090" s="11" t="s">
        <v>935</v>
      </c>
      <c r="B1090" s="11" t="s">
        <v>937</v>
      </c>
      <c r="C1090" s="14" t="s">
        <v>972</v>
      </c>
      <c r="D1090" s="14" t="s">
        <v>938</v>
      </c>
      <c r="E1090" s="14" t="s">
        <v>939</v>
      </c>
      <c r="F1090" s="3" t="s">
        <v>960</v>
      </c>
      <c r="G1090" s="4">
        <v>0</v>
      </c>
      <c r="H1090" s="12">
        <v>0</v>
      </c>
      <c r="I1090" s="12">
        <v>-609.008</v>
      </c>
      <c r="J1090" s="13"/>
      <c r="K1090" s="13"/>
      <c r="L1090" s="12"/>
      <c r="M1090" s="13"/>
      <c r="N1090" s="13"/>
      <c r="O1090" s="13"/>
      <c r="P1090" s="13"/>
      <c r="Q1090" s="13"/>
      <c r="R1090" s="13"/>
      <c r="S1090" s="13"/>
      <c r="T1090" s="13"/>
      <c r="U1090" s="13"/>
      <c r="V1090" s="13"/>
      <c r="W1090" s="13"/>
      <c r="X1090" s="13"/>
      <c r="Y1090" s="13"/>
      <c r="Z1090" s="13"/>
    </row>
    <row r="1091" s="2" customFormat="1" hidden="1" spans="1:26">
      <c r="A1091" s="11" t="s">
        <v>935</v>
      </c>
      <c r="B1091" s="11" t="s">
        <v>937</v>
      </c>
      <c r="C1091" s="14" t="s">
        <v>972</v>
      </c>
      <c r="D1091" s="14" t="s">
        <v>938</v>
      </c>
      <c r="E1091" s="14" t="s">
        <v>939</v>
      </c>
      <c r="F1091" s="3" t="s">
        <v>961</v>
      </c>
      <c r="G1091" s="4">
        <v>91.0000000012</v>
      </c>
      <c r="H1091" s="12">
        <v>13389.948</v>
      </c>
      <c r="I1091" s="12">
        <v>3306.065237</v>
      </c>
      <c r="J1091" s="13">
        <v>0.246906503</v>
      </c>
      <c r="K1091" s="13">
        <v>0.246906503</v>
      </c>
      <c r="L1091" s="12">
        <v>21.6385714282</v>
      </c>
      <c r="M1091" s="13">
        <v>0.1422163853</v>
      </c>
      <c r="N1091" s="13">
        <v>0.0333439167</v>
      </c>
      <c r="O1091" s="13">
        <v>0.2756270635</v>
      </c>
      <c r="P1091" s="13">
        <v>0.0111674817</v>
      </c>
      <c r="Q1091" s="13">
        <v>0.0113089855</v>
      </c>
      <c r="R1091" s="13">
        <v>0.1826771507</v>
      </c>
      <c r="S1091" s="13">
        <v>0</v>
      </c>
      <c r="T1091" s="13">
        <v>0.1120963277</v>
      </c>
      <c r="U1091" s="13">
        <v>0.0146660645</v>
      </c>
      <c r="V1091" s="13">
        <v>-0.028926774</v>
      </c>
      <c r="W1091" s="13">
        <v>-0.001929234</v>
      </c>
      <c r="X1091" s="13">
        <v>0</v>
      </c>
      <c r="Y1091" s="13">
        <v>0</v>
      </c>
      <c r="Z1091" s="13">
        <v>0.0008461289</v>
      </c>
    </row>
    <row r="1092" s="2" customFormat="1" hidden="1" spans="1:26">
      <c r="A1092" s="11" t="s">
        <v>935</v>
      </c>
      <c r="B1092" s="11" t="s">
        <v>937</v>
      </c>
      <c r="C1092" s="14" t="s">
        <v>972</v>
      </c>
      <c r="D1092" s="14" t="s">
        <v>938</v>
      </c>
      <c r="E1092" s="14" t="s">
        <v>939</v>
      </c>
      <c r="F1092" s="3" t="s">
        <v>947</v>
      </c>
      <c r="G1092" s="4">
        <v>3</v>
      </c>
      <c r="H1092" s="12">
        <v>530.196</v>
      </c>
      <c r="I1092" s="12">
        <v>94.931611</v>
      </c>
      <c r="J1092" s="13">
        <v>0.1790500324</v>
      </c>
      <c r="K1092" s="13">
        <v>0.1790500324</v>
      </c>
      <c r="L1092" s="12">
        <v>25.99</v>
      </c>
      <c r="M1092" s="13">
        <v>0.1184055179</v>
      </c>
      <c r="N1092" s="13">
        <v>0.027761243</v>
      </c>
      <c r="O1092" s="13">
        <v>0.2477876106</v>
      </c>
      <c r="P1092" s="13">
        <v>0</v>
      </c>
      <c r="Q1092" s="13">
        <v>0.1467564919</v>
      </c>
      <c r="R1092" s="13">
        <v>0.0326451067</v>
      </c>
      <c r="S1092" s="13">
        <v>0</v>
      </c>
      <c r="T1092" s="13">
        <v>0.1200461716</v>
      </c>
      <c r="U1092" s="13">
        <v>0.0122105674</v>
      </c>
      <c r="V1092" s="13">
        <v>0.1141464665</v>
      </c>
      <c r="W1092" s="13">
        <v>0</v>
      </c>
      <c r="X1092" s="13">
        <v>0</v>
      </c>
      <c r="Y1092" s="13">
        <v>0</v>
      </c>
      <c r="Z1092" s="13">
        <v>0.0011907917</v>
      </c>
    </row>
    <row r="1093" s="2" customFormat="1" hidden="1" spans="1:26">
      <c r="A1093" s="11" t="s">
        <v>935</v>
      </c>
      <c r="B1093" s="11" t="s">
        <v>937</v>
      </c>
      <c r="C1093" s="14" t="s">
        <v>972</v>
      </c>
      <c r="D1093" s="14" t="s">
        <v>938</v>
      </c>
      <c r="E1093" s="14" t="s">
        <v>939</v>
      </c>
      <c r="F1093" s="3" t="s">
        <v>953</v>
      </c>
      <c r="G1093" s="4">
        <v>1</v>
      </c>
      <c r="H1093" s="12">
        <v>176.732</v>
      </c>
      <c r="I1093" s="12">
        <v>105.592059</v>
      </c>
      <c r="J1093" s="13">
        <v>0.5974699488</v>
      </c>
      <c r="K1093" s="13">
        <v>0.5974699488</v>
      </c>
      <c r="L1093" s="12">
        <v>25.99</v>
      </c>
      <c r="M1093" s="13">
        <v>0.1166911651</v>
      </c>
      <c r="N1093" s="13">
        <v>0.027761243</v>
      </c>
      <c r="O1093" s="13">
        <v>0.2477876106</v>
      </c>
      <c r="P1093" s="13">
        <v>0</v>
      </c>
      <c r="Q1093" s="13">
        <v>0.0056713611</v>
      </c>
      <c r="R1093" s="13">
        <v>0.3811768496</v>
      </c>
      <c r="S1093" s="13">
        <v>0</v>
      </c>
      <c r="T1093" s="13">
        <v>0.1200461716</v>
      </c>
      <c r="U1093" s="13">
        <v>0.0120337799</v>
      </c>
      <c r="V1093" s="13">
        <v>-0.5117352828</v>
      </c>
      <c r="W1093" s="13">
        <v>0</v>
      </c>
      <c r="X1093" s="13">
        <v>0</v>
      </c>
      <c r="Y1093" s="13">
        <v>0</v>
      </c>
      <c r="Z1093" s="13">
        <v>0.0030971527</v>
      </c>
    </row>
    <row r="1094" s="2" customFormat="1" hidden="1" spans="1:26">
      <c r="A1094" s="11" t="s">
        <v>935</v>
      </c>
      <c r="B1094" s="11" t="s">
        <v>937</v>
      </c>
      <c r="C1094" s="14" t="s">
        <v>972</v>
      </c>
      <c r="D1094" s="14" t="s">
        <v>938</v>
      </c>
      <c r="E1094" s="14" t="s">
        <v>939</v>
      </c>
      <c r="F1094" s="3" t="s">
        <v>956</v>
      </c>
      <c r="G1094" s="4">
        <v>16</v>
      </c>
      <c r="H1094" s="12">
        <v>2610.112</v>
      </c>
      <c r="I1094" s="12">
        <v>886.685567</v>
      </c>
      <c r="J1094" s="13">
        <v>0.3397116932</v>
      </c>
      <c r="K1094" s="13">
        <v>0.3397116932</v>
      </c>
      <c r="L1094" s="12">
        <v>23.99</v>
      </c>
      <c r="M1094" s="13">
        <v>0.12699406</v>
      </c>
      <c r="N1094" s="13">
        <v>0.0244321653</v>
      </c>
      <c r="O1094" s="13">
        <v>0.266673614</v>
      </c>
      <c r="P1094" s="13">
        <v>0.125</v>
      </c>
      <c r="Q1094" s="13">
        <v>0.0295693824</v>
      </c>
      <c r="R1094" s="13">
        <v>0.065801579</v>
      </c>
      <c r="S1094" s="13">
        <v>0</v>
      </c>
      <c r="T1094" s="13">
        <v>0.1080658607</v>
      </c>
      <c r="U1094" s="13">
        <v>0.0130962656</v>
      </c>
      <c r="V1094" s="13">
        <v>-0.0904283034</v>
      </c>
      <c r="W1094" s="13">
        <v>-0.009464139</v>
      </c>
      <c r="X1094" s="13">
        <v>0</v>
      </c>
      <c r="Y1094" s="13">
        <v>0</v>
      </c>
      <c r="Z1094" s="13">
        <v>0.000547822</v>
      </c>
    </row>
    <row r="1095" s="2" customFormat="1" hidden="1" spans="1:26">
      <c r="A1095" s="11" t="s">
        <v>935</v>
      </c>
      <c r="B1095" s="11" t="s">
        <v>937</v>
      </c>
      <c r="C1095" s="14" t="s">
        <v>972</v>
      </c>
      <c r="D1095" s="14" t="s">
        <v>938</v>
      </c>
      <c r="E1095" s="14" t="s">
        <v>939</v>
      </c>
      <c r="F1095" s="3" t="s">
        <v>957</v>
      </c>
      <c r="G1095" s="4">
        <v>23</v>
      </c>
      <c r="H1095" s="12">
        <v>3946.72</v>
      </c>
      <c r="I1095" s="12">
        <v>1371.866793</v>
      </c>
      <c r="J1095" s="13">
        <v>0.3475966861</v>
      </c>
      <c r="K1095" s="13">
        <v>0.3475966861</v>
      </c>
      <c r="L1095" s="12">
        <v>25.2347826086</v>
      </c>
      <c r="M1095" s="13">
        <v>0.1154805737</v>
      </c>
      <c r="N1095" s="13">
        <v>0.0222171058</v>
      </c>
      <c r="O1095" s="13">
        <v>0.2312198483</v>
      </c>
      <c r="P1095" s="13">
        <v>0</v>
      </c>
      <c r="Q1095" s="13">
        <v>0.0043617882</v>
      </c>
      <c r="R1095" s="13">
        <v>0.1613276619</v>
      </c>
      <c r="S1095" s="13">
        <v>0</v>
      </c>
      <c r="T1095" s="13">
        <v>0.1196243969</v>
      </c>
      <c r="U1095" s="13">
        <v>0.011908937</v>
      </c>
      <c r="V1095" s="13">
        <v>-0.0142143349</v>
      </c>
      <c r="W1095" s="13">
        <v>0</v>
      </c>
      <c r="X1095" s="13">
        <v>0</v>
      </c>
      <c r="Y1095" s="13">
        <v>0</v>
      </c>
      <c r="Z1095" s="13">
        <v>0.0004773366</v>
      </c>
    </row>
    <row r="1096" s="2" customFormat="1" hidden="1" spans="1:26">
      <c r="A1096" s="11" t="s">
        <v>935</v>
      </c>
      <c r="B1096" s="11" t="s">
        <v>937</v>
      </c>
      <c r="C1096" s="14" t="s">
        <v>972</v>
      </c>
      <c r="D1096" s="14" t="s">
        <v>938</v>
      </c>
      <c r="E1096" s="14" t="s">
        <v>939</v>
      </c>
      <c r="F1096" s="3" t="s">
        <v>940</v>
      </c>
      <c r="G1096" s="4">
        <v>73</v>
      </c>
      <c r="H1096" s="12">
        <v>12711.036</v>
      </c>
      <c r="I1096" s="12">
        <v>4347.452141</v>
      </c>
      <c r="J1096" s="13">
        <v>0.3420218573</v>
      </c>
      <c r="K1096" s="13">
        <v>0.3420218573</v>
      </c>
      <c r="L1096" s="12">
        <v>25.6064383561</v>
      </c>
      <c r="M1096" s="13">
        <v>0.1189774016</v>
      </c>
      <c r="N1096" s="13">
        <v>0.0233658032</v>
      </c>
      <c r="O1096" s="13">
        <v>0.2382213377</v>
      </c>
      <c r="P1096" s="13">
        <v>0</v>
      </c>
      <c r="Q1096" s="13">
        <v>0.0082571021</v>
      </c>
      <c r="R1096" s="13">
        <v>0.140430714</v>
      </c>
      <c r="S1096" s="13">
        <v>0</v>
      </c>
      <c r="T1096" s="13">
        <v>0.1184954554</v>
      </c>
      <c r="U1096" s="13">
        <v>0.0122695475</v>
      </c>
      <c r="V1096" s="13">
        <v>-0.0023806084</v>
      </c>
      <c r="W1096" s="13">
        <v>0</v>
      </c>
      <c r="X1096" s="13">
        <v>0</v>
      </c>
      <c r="Y1096" s="13">
        <v>0</v>
      </c>
      <c r="Z1096" s="13">
        <v>0.0003413894</v>
      </c>
    </row>
    <row r="1097" s="2" customFormat="1" hidden="1" spans="1:26">
      <c r="A1097" s="11" t="s">
        <v>935</v>
      </c>
      <c r="B1097" s="11" t="s">
        <v>937</v>
      </c>
      <c r="C1097" s="14" t="s">
        <v>972</v>
      </c>
      <c r="D1097" s="14" t="s">
        <v>938</v>
      </c>
      <c r="E1097" s="14" t="s">
        <v>939</v>
      </c>
      <c r="F1097" s="3" t="s">
        <v>941</v>
      </c>
      <c r="G1097" s="4">
        <v>108</v>
      </c>
      <c r="H1097" s="12">
        <v>16651.024</v>
      </c>
      <c r="I1097" s="12">
        <v>3067.931222</v>
      </c>
      <c r="J1097" s="13">
        <v>0.1842488018</v>
      </c>
      <c r="K1097" s="13">
        <v>0.1842488018</v>
      </c>
      <c r="L1097" s="12">
        <v>22.6729629629</v>
      </c>
      <c r="M1097" s="13">
        <v>0.1331267713</v>
      </c>
      <c r="N1097" s="13">
        <v>0.0261445778</v>
      </c>
      <c r="O1097" s="13">
        <v>0.2696350686</v>
      </c>
      <c r="P1097" s="13">
        <v>0.0097971151</v>
      </c>
      <c r="Q1097" s="13">
        <v>0.0063805021</v>
      </c>
      <c r="R1097" s="13">
        <v>0.238819476</v>
      </c>
      <c r="S1097" s="13">
        <v>0</v>
      </c>
      <c r="T1097" s="13">
        <v>0.1140206151</v>
      </c>
      <c r="U1097" s="13">
        <v>0.0137287016</v>
      </c>
      <c r="V1097" s="13">
        <v>0.0002491138</v>
      </c>
      <c r="W1097" s="13">
        <v>-0.0014885172</v>
      </c>
      <c r="X1097" s="13">
        <v>0</v>
      </c>
      <c r="Y1097" s="13">
        <v>0</v>
      </c>
      <c r="Z1097" s="13">
        <v>0.0053377733</v>
      </c>
    </row>
    <row r="1098" s="2" customFormat="1" hidden="1" spans="1:26">
      <c r="A1098" s="11" t="s">
        <v>935</v>
      </c>
      <c r="B1098" s="11" t="s">
        <v>937</v>
      </c>
      <c r="C1098" s="14" t="s">
        <v>972</v>
      </c>
      <c r="D1098" s="14" t="s">
        <v>938</v>
      </c>
      <c r="E1098" s="14" t="s">
        <v>939</v>
      </c>
      <c r="F1098" s="3" t="s">
        <v>942</v>
      </c>
      <c r="G1098" s="4">
        <v>86</v>
      </c>
      <c r="H1098" s="12">
        <v>14505.352</v>
      </c>
      <c r="I1098" s="12">
        <v>2907.431471</v>
      </c>
      <c r="J1098" s="13">
        <v>0.2004385326</v>
      </c>
      <c r="K1098" s="13">
        <v>0.2004385326</v>
      </c>
      <c r="L1098" s="12">
        <v>24.8039534883</v>
      </c>
      <c r="M1098" s="13">
        <v>0.1228266897</v>
      </c>
      <c r="N1098" s="13">
        <v>0.026569116</v>
      </c>
      <c r="O1098" s="13">
        <v>0.2543949295</v>
      </c>
      <c r="P1098" s="13">
        <v>0.0234302483</v>
      </c>
      <c r="Q1098" s="13">
        <v>0.0138318147</v>
      </c>
      <c r="R1098" s="13">
        <v>0.2900108233</v>
      </c>
      <c r="S1098" s="13">
        <v>0</v>
      </c>
      <c r="T1098" s="13">
        <v>0.1052532885</v>
      </c>
      <c r="U1098" s="13">
        <v>0.0126665054</v>
      </c>
      <c r="V1098" s="13">
        <v>-0.0559081916</v>
      </c>
      <c r="W1098" s="13">
        <v>0</v>
      </c>
      <c r="X1098" s="13">
        <v>0</v>
      </c>
      <c r="Y1098" s="13">
        <v>0</v>
      </c>
      <c r="Z1098" s="13">
        <v>0.0064862431</v>
      </c>
    </row>
    <row r="1099" s="2" customFormat="1" hidden="1" spans="1:26">
      <c r="A1099" s="11" t="s">
        <v>935</v>
      </c>
      <c r="B1099" s="11" t="s">
        <v>937</v>
      </c>
      <c r="C1099" s="14" t="s">
        <v>972</v>
      </c>
      <c r="D1099" s="14" t="s">
        <v>938</v>
      </c>
      <c r="E1099" s="14" t="s">
        <v>939</v>
      </c>
      <c r="F1099" s="3" t="s">
        <v>943</v>
      </c>
      <c r="G1099" s="4">
        <v>68</v>
      </c>
      <c r="H1099" s="12">
        <v>12017.776</v>
      </c>
      <c r="I1099" s="12">
        <v>3601.201794</v>
      </c>
      <c r="J1099" s="13">
        <v>0.2996562586</v>
      </c>
      <c r="K1099" s="13">
        <v>0.2996562586</v>
      </c>
      <c r="L1099" s="12">
        <v>25.99</v>
      </c>
      <c r="M1099" s="13">
        <v>0.1173443292</v>
      </c>
      <c r="N1099" s="13">
        <v>0.0281151574</v>
      </c>
      <c r="O1099" s="13">
        <v>0.2427856868</v>
      </c>
      <c r="P1099" s="13">
        <v>0.0147058823</v>
      </c>
      <c r="Q1099" s="13">
        <v>0.0144465362</v>
      </c>
      <c r="R1099" s="13">
        <v>0.1443492807</v>
      </c>
      <c r="S1099" s="13">
        <v>0</v>
      </c>
      <c r="T1099" s="13">
        <v>0.1186316003</v>
      </c>
      <c r="U1099" s="13">
        <v>0.0121011361</v>
      </c>
      <c r="V1099" s="13">
        <v>-0.0071803634</v>
      </c>
      <c r="W1099" s="13">
        <v>0</v>
      </c>
      <c r="X1099" s="13">
        <v>0.0021691032</v>
      </c>
      <c r="Y1099" s="13">
        <v>0</v>
      </c>
      <c r="Z1099" s="13">
        <v>0.012875392</v>
      </c>
    </row>
    <row r="1100" s="2" customFormat="1" spans="1:26">
      <c r="A1100" s="11" t="s">
        <v>935</v>
      </c>
      <c r="B1100" s="11" t="s">
        <v>937</v>
      </c>
      <c r="C1100" s="14" t="s">
        <v>972</v>
      </c>
      <c r="D1100" s="14" t="s">
        <v>938</v>
      </c>
      <c r="E1100" s="14" t="s">
        <v>939</v>
      </c>
      <c r="F1100" s="3" t="s">
        <v>944</v>
      </c>
      <c r="G1100" s="4">
        <v>33</v>
      </c>
      <c r="H1100" s="12">
        <v>5832.156</v>
      </c>
      <c r="I1100" s="12">
        <v>2114.588289</v>
      </c>
      <c r="J1100" s="13">
        <v>0.3625740273</v>
      </c>
      <c r="K1100" s="13">
        <v>0.3625740273</v>
      </c>
      <c r="L1100" s="12">
        <v>25.99</v>
      </c>
      <c r="M1100" s="13">
        <v>0.1173676866</v>
      </c>
      <c r="N1100" s="13">
        <v>0.0294307652</v>
      </c>
      <c r="O1100" s="13">
        <v>0.2427856868</v>
      </c>
      <c r="P1100" s="13">
        <v>0.0303030303</v>
      </c>
      <c r="Q1100" s="13">
        <v>0.0177548193</v>
      </c>
      <c r="R1100" s="13">
        <v>0.0683205889</v>
      </c>
      <c r="S1100" s="13">
        <v>0</v>
      </c>
      <c r="T1100" s="13">
        <v>0.1171312975</v>
      </c>
      <c r="U1100" s="13">
        <v>0.0121035409</v>
      </c>
      <c r="V1100" s="13">
        <v>0</v>
      </c>
      <c r="W1100" s="13">
        <v>0</v>
      </c>
      <c r="X1100" s="13">
        <v>0.0008237439</v>
      </c>
      <c r="Y1100" s="13">
        <v>0</v>
      </c>
      <c r="Z1100" s="13">
        <v>0.0014048129</v>
      </c>
    </row>
    <row r="1101" s="2" customFormat="1" hidden="1" spans="1:26">
      <c r="A1101" s="11" t="s">
        <v>935</v>
      </c>
      <c r="B1101" s="11" t="s">
        <v>937</v>
      </c>
      <c r="C1101" s="14" t="s">
        <v>972</v>
      </c>
      <c r="D1101" s="14" t="s">
        <v>938</v>
      </c>
      <c r="E1101" s="14" t="s">
        <v>939</v>
      </c>
      <c r="F1101" s="3" t="s">
        <v>945</v>
      </c>
      <c r="G1101" s="4">
        <v>1</v>
      </c>
      <c r="H1101" s="12">
        <v>176.732</v>
      </c>
      <c r="I1101" s="12">
        <v>79.064179</v>
      </c>
      <c r="J1101" s="13">
        <v>0.447367647</v>
      </c>
      <c r="K1101" s="13">
        <v>0.447367647</v>
      </c>
      <c r="L1101" s="12">
        <v>25.99</v>
      </c>
      <c r="M1101" s="13">
        <v>0.1173676866</v>
      </c>
      <c r="N1101" s="13">
        <v>0.0294307652</v>
      </c>
      <c r="O1101" s="13">
        <v>0.2427856868</v>
      </c>
      <c r="P1101" s="13">
        <v>0</v>
      </c>
      <c r="Q1101" s="13">
        <v>0</v>
      </c>
      <c r="R1101" s="13">
        <v>0.0308985016</v>
      </c>
      <c r="S1101" s="13">
        <v>0</v>
      </c>
      <c r="T1101" s="13">
        <v>0.1200461716</v>
      </c>
      <c r="U1101" s="13">
        <v>0.0121035409</v>
      </c>
      <c r="V1101" s="13">
        <v>0</v>
      </c>
      <c r="W1101" s="13">
        <v>0</v>
      </c>
      <c r="X1101" s="13">
        <v>0</v>
      </c>
      <c r="Y1101" s="13">
        <v>0</v>
      </c>
      <c r="Z1101" s="13">
        <v>0</v>
      </c>
    </row>
    <row r="1102" s="2" customFormat="1" hidden="1" spans="1:26">
      <c r="A1102" s="11" t="s">
        <v>935</v>
      </c>
      <c r="B1102" s="11" t="s">
        <v>937</v>
      </c>
      <c r="C1102" s="14" t="s">
        <v>973</v>
      </c>
      <c r="D1102" s="14" t="s">
        <v>938</v>
      </c>
      <c r="E1102" s="14" t="s">
        <v>939</v>
      </c>
      <c r="F1102" s="3" t="s">
        <v>936</v>
      </c>
      <c r="G1102" s="4">
        <v>1026</v>
      </c>
      <c r="H1102" s="12">
        <v>163846.136</v>
      </c>
      <c r="I1102" s="12">
        <v>28502.972114</v>
      </c>
      <c r="J1102" s="13">
        <v>0.1739618205</v>
      </c>
      <c r="K1102" s="13">
        <v>0.1739618205</v>
      </c>
      <c r="L1102" s="12">
        <v>23.4844249512</v>
      </c>
      <c r="M1102" s="13">
        <v>0.1654816711</v>
      </c>
      <c r="N1102" s="13">
        <v>0.0288146652</v>
      </c>
      <c r="O1102" s="13">
        <v>0.2935378347</v>
      </c>
      <c r="P1102" s="13">
        <v>0.0239866993</v>
      </c>
      <c r="Q1102" s="13">
        <v>0.0148830154</v>
      </c>
      <c r="R1102" s="13">
        <v>0.1711387315</v>
      </c>
      <c r="S1102" s="13">
        <v>0</v>
      </c>
      <c r="T1102" s="13">
        <v>0.1159264445</v>
      </c>
      <c r="U1102" s="13">
        <v>0.0170652996</v>
      </c>
      <c r="V1102" s="13">
        <v>-0.0088616236</v>
      </c>
      <c r="W1102" s="13">
        <v>-0.0011576197</v>
      </c>
      <c r="X1102" s="13">
        <v>0.0003768413</v>
      </c>
      <c r="Y1102" s="13">
        <v>0</v>
      </c>
      <c r="Z1102" s="13">
        <v>0.0048462198</v>
      </c>
    </row>
    <row r="1103" s="2" customFormat="1" hidden="1" spans="1:26">
      <c r="A1103" s="11" t="s">
        <v>935</v>
      </c>
      <c r="B1103" s="11" t="s">
        <v>937</v>
      </c>
      <c r="C1103" s="14" t="s">
        <v>973</v>
      </c>
      <c r="D1103" s="14" t="s">
        <v>938</v>
      </c>
      <c r="E1103" s="14" t="s">
        <v>939</v>
      </c>
      <c r="F1103" s="3" t="s">
        <v>969</v>
      </c>
      <c r="G1103" s="4">
        <v>0</v>
      </c>
      <c r="H1103" s="12">
        <v>0</v>
      </c>
      <c r="I1103" s="12">
        <v>-108.12</v>
      </c>
      <c r="J1103" s="13"/>
      <c r="K1103" s="13"/>
      <c r="L1103" s="12"/>
      <c r="M1103" s="13"/>
      <c r="N1103" s="13"/>
      <c r="O1103" s="13"/>
      <c r="P1103" s="13"/>
      <c r="Q1103" s="13"/>
      <c r="R1103" s="13"/>
      <c r="S1103" s="13"/>
      <c r="T1103" s="13"/>
      <c r="U1103" s="13"/>
      <c r="V1103" s="13"/>
      <c r="W1103" s="13"/>
      <c r="X1103" s="13"/>
      <c r="Y1103" s="13"/>
      <c r="Z1103" s="13"/>
    </row>
    <row r="1104" s="2" customFormat="1" hidden="1" spans="1:26">
      <c r="A1104" s="11" t="s">
        <v>935</v>
      </c>
      <c r="B1104" s="11" t="s">
        <v>937</v>
      </c>
      <c r="C1104" s="14" t="s">
        <v>973</v>
      </c>
      <c r="D1104" s="14" t="s">
        <v>938</v>
      </c>
      <c r="E1104" s="14" t="s">
        <v>939</v>
      </c>
      <c r="F1104" s="3" t="s">
        <v>960</v>
      </c>
      <c r="G1104" s="4">
        <v>63</v>
      </c>
      <c r="H1104" s="12">
        <v>8761.052</v>
      </c>
      <c r="I1104" s="12">
        <v>1365.119571</v>
      </c>
      <c r="J1104" s="13">
        <v>0.1558168552</v>
      </c>
      <c r="K1104" s="13">
        <v>0.1558168552</v>
      </c>
      <c r="L1104" s="12">
        <v>20.4506349206</v>
      </c>
      <c r="M1104" s="13">
        <v>0.1943303968</v>
      </c>
      <c r="N1104" s="13">
        <v>0.0468335524</v>
      </c>
      <c r="O1104" s="13">
        <v>0.2779205054</v>
      </c>
      <c r="P1104" s="13">
        <v>0</v>
      </c>
      <c r="Q1104" s="13">
        <v>0.0266086852</v>
      </c>
      <c r="R1104" s="13">
        <v>0.2148544416</v>
      </c>
      <c r="S1104" s="13">
        <v>0</v>
      </c>
      <c r="T1104" s="13">
        <v>0.1134283873</v>
      </c>
      <c r="U1104" s="13">
        <v>0.0200403241</v>
      </c>
      <c r="V1104" s="13">
        <v>-0.0464766103</v>
      </c>
      <c r="W1104" s="13">
        <v>-0.0038279991</v>
      </c>
      <c r="X1104" s="13">
        <v>0</v>
      </c>
      <c r="Y1104" s="13">
        <v>0</v>
      </c>
      <c r="Z1104" s="13">
        <v>0.0004714611</v>
      </c>
    </row>
    <row r="1105" s="2" customFormat="1" hidden="1" spans="1:26">
      <c r="A1105" s="11" t="s">
        <v>935</v>
      </c>
      <c r="B1105" s="11" t="s">
        <v>937</v>
      </c>
      <c r="C1105" s="14" t="s">
        <v>973</v>
      </c>
      <c r="D1105" s="14" t="s">
        <v>938</v>
      </c>
      <c r="E1105" s="14" t="s">
        <v>939</v>
      </c>
      <c r="F1105" s="3" t="s">
        <v>961</v>
      </c>
      <c r="G1105" s="4">
        <v>19</v>
      </c>
      <c r="H1105" s="12">
        <v>3011.108</v>
      </c>
      <c r="I1105" s="12">
        <v>1087.007623</v>
      </c>
      <c r="J1105" s="13">
        <v>0.3609992145</v>
      </c>
      <c r="K1105" s="13">
        <v>0.3609992145</v>
      </c>
      <c r="L1105" s="12">
        <v>23.3057894736</v>
      </c>
      <c r="M1105" s="13">
        <v>0.1620259359</v>
      </c>
      <c r="N1105" s="13">
        <v>0.0410960496</v>
      </c>
      <c r="O1105" s="13">
        <v>0.2527043201</v>
      </c>
      <c r="P1105" s="13">
        <v>0</v>
      </c>
      <c r="Q1105" s="13">
        <v>0.0180481653</v>
      </c>
      <c r="R1105" s="13">
        <v>0.0166799078</v>
      </c>
      <c r="S1105" s="13">
        <v>0</v>
      </c>
      <c r="T1105" s="13">
        <v>0.1200514893</v>
      </c>
      <c r="U1105" s="13">
        <v>0.0167089257</v>
      </c>
      <c r="V1105" s="13">
        <v>0.0108398635</v>
      </c>
      <c r="W1105" s="13">
        <v>0</v>
      </c>
      <c r="X1105" s="13">
        <v>0</v>
      </c>
      <c r="Y1105" s="13">
        <v>0</v>
      </c>
      <c r="Z1105" s="13">
        <v>0.0008461277</v>
      </c>
    </row>
    <row r="1106" s="2" customFormat="1" hidden="1" spans="1:26">
      <c r="A1106" s="11" t="s">
        <v>935</v>
      </c>
      <c r="B1106" s="11" t="s">
        <v>937</v>
      </c>
      <c r="C1106" s="14" t="s">
        <v>973</v>
      </c>
      <c r="D1106" s="14" t="s">
        <v>938</v>
      </c>
      <c r="E1106" s="14" t="s">
        <v>939</v>
      </c>
      <c r="F1106" s="3" t="s">
        <v>947</v>
      </c>
      <c r="G1106" s="4">
        <v>3</v>
      </c>
      <c r="H1106" s="12">
        <v>530.196</v>
      </c>
      <c r="I1106" s="12">
        <v>92.296673</v>
      </c>
      <c r="J1106" s="13">
        <v>0.1740802891</v>
      </c>
      <c r="K1106" s="13">
        <v>0.1740802891</v>
      </c>
      <c r="L1106" s="12">
        <v>25.99</v>
      </c>
      <c r="M1106" s="13">
        <v>0.149580772</v>
      </c>
      <c r="N1106" s="13">
        <v>0.0368517076</v>
      </c>
      <c r="O1106" s="13">
        <v>0.2400923432</v>
      </c>
      <c r="P1106" s="13">
        <v>0</v>
      </c>
      <c r="Q1106" s="13">
        <v>0.0573285445</v>
      </c>
      <c r="R1106" s="13">
        <v>0.3895772601</v>
      </c>
      <c r="S1106" s="13">
        <v>0</v>
      </c>
      <c r="T1106" s="13">
        <v>0.1200461716</v>
      </c>
      <c r="U1106" s="13">
        <v>0.0154255199</v>
      </c>
      <c r="V1106" s="13">
        <v>-0.1841734</v>
      </c>
      <c r="W1106" s="13">
        <v>0</v>
      </c>
      <c r="X1106" s="13">
        <v>0</v>
      </c>
      <c r="Y1106" s="13">
        <v>0</v>
      </c>
      <c r="Z1106" s="13">
        <v>0.0011907917</v>
      </c>
    </row>
    <row r="1107" s="2" customFormat="1" hidden="1" spans="1:26">
      <c r="A1107" s="11" t="s">
        <v>935</v>
      </c>
      <c r="B1107" s="11" t="s">
        <v>937</v>
      </c>
      <c r="C1107" s="14" t="s">
        <v>973</v>
      </c>
      <c r="D1107" s="14" t="s">
        <v>938</v>
      </c>
      <c r="E1107" s="14" t="s">
        <v>939</v>
      </c>
      <c r="F1107" s="3" t="s">
        <v>953</v>
      </c>
      <c r="G1107" s="4">
        <v>9</v>
      </c>
      <c r="H1107" s="12">
        <v>1454.588</v>
      </c>
      <c r="I1107" s="12">
        <v>-55.02775</v>
      </c>
      <c r="J1107" s="13">
        <v>-0.0378304715</v>
      </c>
      <c r="K1107" s="13">
        <v>-0.0378304715</v>
      </c>
      <c r="L1107" s="12">
        <v>23.7677777777</v>
      </c>
      <c r="M1107" s="13">
        <v>0.1635661665</v>
      </c>
      <c r="N1107" s="13">
        <v>0.0402972415</v>
      </c>
      <c r="O1107" s="13">
        <v>0.3034921228</v>
      </c>
      <c r="P1107" s="13">
        <v>0.1121499696</v>
      </c>
      <c r="Q1107" s="13">
        <v>0.0155263669</v>
      </c>
      <c r="R1107" s="13">
        <v>0.2735353859</v>
      </c>
      <c r="S1107" s="13">
        <v>0</v>
      </c>
      <c r="T1107" s="13">
        <v>0.109298303</v>
      </c>
      <c r="U1107" s="13">
        <v>0.0168677625</v>
      </c>
      <c r="V1107" s="13">
        <v>0</v>
      </c>
      <c r="W1107" s="13">
        <v>0</v>
      </c>
      <c r="X1107" s="13">
        <v>0</v>
      </c>
      <c r="Y1107" s="13">
        <v>0</v>
      </c>
      <c r="Z1107" s="13">
        <v>0.0030971525</v>
      </c>
    </row>
    <row r="1108" s="2" customFormat="1" hidden="1" spans="1:26">
      <c r="A1108" s="11" t="s">
        <v>935</v>
      </c>
      <c r="B1108" s="11" t="s">
        <v>937</v>
      </c>
      <c r="C1108" s="14" t="s">
        <v>973</v>
      </c>
      <c r="D1108" s="14" t="s">
        <v>938</v>
      </c>
      <c r="E1108" s="14" t="s">
        <v>939</v>
      </c>
      <c r="F1108" s="3" t="s">
        <v>956</v>
      </c>
      <c r="G1108" s="4">
        <v>68</v>
      </c>
      <c r="H1108" s="12">
        <v>10195.376</v>
      </c>
      <c r="I1108" s="12">
        <v>867.731227</v>
      </c>
      <c r="J1108" s="13">
        <v>0.0851102722</v>
      </c>
      <c r="K1108" s="13">
        <v>0.0851102722</v>
      </c>
      <c r="L1108" s="12">
        <v>22.0488235294</v>
      </c>
      <c r="M1108" s="13">
        <v>0.1779680723</v>
      </c>
      <c r="N1108" s="13">
        <v>0.0265385572</v>
      </c>
      <c r="O1108" s="13">
        <v>0.3422284769</v>
      </c>
      <c r="P1108" s="13">
        <v>0.0146666488</v>
      </c>
      <c r="Q1108" s="13">
        <v>0.0538678382</v>
      </c>
      <c r="R1108" s="13">
        <v>0.1951352215</v>
      </c>
      <c r="S1108" s="13">
        <v>0</v>
      </c>
      <c r="T1108" s="13">
        <v>0.11864712</v>
      </c>
      <c r="U1108" s="13">
        <v>0.01835296</v>
      </c>
      <c r="V1108" s="13">
        <v>-0.0330629885</v>
      </c>
      <c r="W1108" s="13">
        <v>0</v>
      </c>
      <c r="X1108" s="13">
        <v>0</v>
      </c>
      <c r="Y1108" s="13">
        <v>0</v>
      </c>
      <c r="Z1108" s="13">
        <v>0.0005478209</v>
      </c>
    </row>
    <row r="1109" s="2" customFormat="1" hidden="1" spans="1:26">
      <c r="A1109" s="11" t="s">
        <v>935</v>
      </c>
      <c r="B1109" s="11" t="s">
        <v>937</v>
      </c>
      <c r="C1109" s="14" t="s">
        <v>973</v>
      </c>
      <c r="D1109" s="14" t="s">
        <v>938</v>
      </c>
      <c r="E1109" s="14" t="s">
        <v>939</v>
      </c>
      <c r="F1109" s="3" t="s">
        <v>957</v>
      </c>
      <c r="G1109" s="4">
        <v>58</v>
      </c>
      <c r="H1109" s="12">
        <v>9767.724</v>
      </c>
      <c r="I1109" s="12">
        <v>2273.070636</v>
      </c>
      <c r="J1109" s="13">
        <v>0.2327124144</v>
      </c>
      <c r="K1109" s="13">
        <v>0.2327124144</v>
      </c>
      <c r="L1109" s="12">
        <v>24.7660344827</v>
      </c>
      <c r="M1109" s="13">
        <v>0.1584422657</v>
      </c>
      <c r="N1109" s="13">
        <v>0.0255057219</v>
      </c>
      <c r="O1109" s="13">
        <v>0.2869266166</v>
      </c>
      <c r="P1109" s="13">
        <v>0.0501033812</v>
      </c>
      <c r="Q1109" s="13">
        <v>0.0245576161</v>
      </c>
      <c r="R1109" s="13">
        <v>0.0924367083</v>
      </c>
      <c r="S1109" s="13">
        <v>0</v>
      </c>
      <c r="T1109" s="13">
        <v>0.1152440425</v>
      </c>
      <c r="U1109" s="13">
        <v>0.0163393609</v>
      </c>
      <c r="V1109" s="13">
        <v>0.0004260562</v>
      </c>
      <c r="W1109" s="13">
        <v>-0.003171517</v>
      </c>
      <c r="X1109" s="13">
        <v>0</v>
      </c>
      <c r="Y1109" s="13">
        <v>0</v>
      </c>
      <c r="Z1109" s="13">
        <v>0.0004773325</v>
      </c>
    </row>
    <row r="1110" s="2" customFormat="1" hidden="1" spans="1:26">
      <c r="A1110" s="11" t="s">
        <v>935</v>
      </c>
      <c r="B1110" s="11" t="s">
        <v>937</v>
      </c>
      <c r="C1110" s="14" t="s">
        <v>973</v>
      </c>
      <c r="D1110" s="14" t="s">
        <v>938</v>
      </c>
      <c r="E1110" s="14" t="s">
        <v>939</v>
      </c>
      <c r="F1110" s="3" t="s">
        <v>940</v>
      </c>
      <c r="G1110" s="4">
        <v>62</v>
      </c>
      <c r="H1110" s="12">
        <v>9634.988</v>
      </c>
      <c r="I1110" s="12">
        <v>963.659955</v>
      </c>
      <c r="J1110" s="13">
        <v>0.100016726</v>
      </c>
      <c r="K1110" s="13">
        <v>0.100016726</v>
      </c>
      <c r="L1110" s="12">
        <v>22.8533870967</v>
      </c>
      <c r="M1110" s="13">
        <v>0.1689332305</v>
      </c>
      <c r="N1110" s="13">
        <v>0.0271411528</v>
      </c>
      <c r="O1110" s="13">
        <v>0.3002237262</v>
      </c>
      <c r="P1110" s="13">
        <v>0.0507936283</v>
      </c>
      <c r="Q1110" s="13">
        <v>0.0139796946</v>
      </c>
      <c r="R1110" s="13">
        <v>0.2143142123</v>
      </c>
      <c r="S1110" s="13">
        <v>0</v>
      </c>
      <c r="T1110" s="13">
        <v>0.1117996203</v>
      </c>
      <c r="U1110" s="13">
        <v>0.0174212418</v>
      </c>
      <c r="V1110" s="13">
        <v>-0.0017502875</v>
      </c>
      <c r="W1110" s="13">
        <v>-0.0032143341</v>
      </c>
      <c r="X1110" s="13">
        <v>0</v>
      </c>
      <c r="Y1110" s="13">
        <v>0</v>
      </c>
      <c r="Z1110" s="13">
        <v>0.0003413885</v>
      </c>
    </row>
    <row r="1111" s="2" customFormat="1" hidden="1" spans="1:26">
      <c r="A1111" s="11" t="s">
        <v>935</v>
      </c>
      <c r="B1111" s="11" t="s">
        <v>937</v>
      </c>
      <c r="C1111" s="14" t="s">
        <v>973</v>
      </c>
      <c r="D1111" s="14" t="s">
        <v>938</v>
      </c>
      <c r="E1111" s="14" t="s">
        <v>939</v>
      </c>
      <c r="F1111" s="3" t="s">
        <v>941</v>
      </c>
      <c r="G1111" s="4">
        <v>265</v>
      </c>
      <c r="H1111" s="12">
        <v>40540.444</v>
      </c>
      <c r="I1111" s="12">
        <v>5149.84411</v>
      </c>
      <c r="J1111" s="13">
        <v>0.1270297905</v>
      </c>
      <c r="K1111" s="13">
        <v>0.1270297905</v>
      </c>
      <c r="L1111" s="12">
        <v>22.4974716981</v>
      </c>
      <c r="M1111" s="13">
        <v>0.1691535251</v>
      </c>
      <c r="N1111" s="13">
        <v>0.0271765458</v>
      </c>
      <c r="O1111" s="13">
        <v>0.3165504551</v>
      </c>
      <c r="P1111" s="13">
        <v>0.0197171002</v>
      </c>
      <c r="Q1111" s="13">
        <v>0.0070374178</v>
      </c>
      <c r="R1111" s="13">
        <v>0.2012296172</v>
      </c>
      <c r="S1111" s="13">
        <v>0</v>
      </c>
      <c r="T1111" s="13">
        <v>0.1130844052</v>
      </c>
      <c r="U1111" s="13">
        <v>0.0174439597</v>
      </c>
      <c r="V1111" s="13">
        <v>-0.0037605902</v>
      </c>
      <c r="W1111" s="13">
        <v>0</v>
      </c>
      <c r="X1111" s="13">
        <v>0</v>
      </c>
      <c r="Y1111" s="13">
        <v>0</v>
      </c>
      <c r="Z1111" s="13">
        <v>0.0053377732</v>
      </c>
    </row>
    <row r="1112" s="2" customFormat="1" hidden="1" spans="1:26">
      <c r="A1112" s="11" t="s">
        <v>935</v>
      </c>
      <c r="B1112" s="11" t="s">
        <v>937</v>
      </c>
      <c r="C1112" s="14" t="s">
        <v>973</v>
      </c>
      <c r="D1112" s="14" t="s">
        <v>938</v>
      </c>
      <c r="E1112" s="14" t="s">
        <v>939</v>
      </c>
      <c r="F1112" s="3" t="s">
        <v>942</v>
      </c>
      <c r="G1112" s="4">
        <v>258</v>
      </c>
      <c r="H1112" s="12">
        <v>41695.288</v>
      </c>
      <c r="I1112" s="12">
        <v>7231.587481</v>
      </c>
      <c r="J1112" s="13">
        <v>0.1734389622</v>
      </c>
      <c r="K1112" s="13">
        <v>0.1734389622</v>
      </c>
      <c r="L1112" s="12">
        <v>23.766124031</v>
      </c>
      <c r="M1112" s="13">
        <v>0.1644684409</v>
      </c>
      <c r="N1112" s="13">
        <v>0.0280851814</v>
      </c>
      <c r="O1112" s="13">
        <v>0.289967154</v>
      </c>
      <c r="P1112" s="13">
        <v>0.0152585107</v>
      </c>
      <c r="Q1112" s="13">
        <v>0.0128766599</v>
      </c>
      <c r="R1112" s="13">
        <v>0.174560769</v>
      </c>
      <c r="S1112" s="13">
        <v>0</v>
      </c>
      <c r="T1112" s="13">
        <v>0.1185356004</v>
      </c>
      <c r="U1112" s="13">
        <v>0.0169608103</v>
      </c>
      <c r="V1112" s="13">
        <v>0.0001108998</v>
      </c>
      <c r="W1112" s="13">
        <v>-0.0007492358</v>
      </c>
      <c r="X1112" s="13">
        <v>0</v>
      </c>
      <c r="Y1112" s="13">
        <v>0</v>
      </c>
      <c r="Z1112" s="13">
        <v>0.0064862466</v>
      </c>
    </row>
    <row r="1113" s="2" customFormat="1" hidden="1" spans="1:26">
      <c r="A1113" s="11" t="s">
        <v>935</v>
      </c>
      <c r="B1113" s="11" t="s">
        <v>937</v>
      </c>
      <c r="C1113" s="14" t="s">
        <v>973</v>
      </c>
      <c r="D1113" s="14" t="s">
        <v>938</v>
      </c>
      <c r="E1113" s="14" t="s">
        <v>939</v>
      </c>
      <c r="F1113" s="3" t="s">
        <v>943</v>
      </c>
      <c r="G1113" s="4">
        <v>118</v>
      </c>
      <c r="H1113" s="12">
        <v>20058.776</v>
      </c>
      <c r="I1113" s="12">
        <v>3614.176706</v>
      </c>
      <c r="J1113" s="13">
        <v>0.1801793243</v>
      </c>
      <c r="K1113" s="13">
        <v>0.1801793243</v>
      </c>
      <c r="L1113" s="12">
        <v>24.9984745762</v>
      </c>
      <c r="M1113" s="13">
        <v>0.1569690424</v>
      </c>
      <c r="N1113" s="13">
        <v>0.0283636306</v>
      </c>
      <c r="O1113" s="13">
        <v>0.2734065129</v>
      </c>
      <c r="P1113" s="13">
        <v>0.0338868134</v>
      </c>
      <c r="Q1113" s="13">
        <v>0.0114348464</v>
      </c>
      <c r="R1113" s="13">
        <v>0.1826835566</v>
      </c>
      <c r="S1113" s="13">
        <v>0</v>
      </c>
      <c r="T1113" s="13">
        <v>0.116793567</v>
      </c>
      <c r="U1113" s="13">
        <v>0.0161874347</v>
      </c>
      <c r="V1113" s="13">
        <v>-0.0127485744</v>
      </c>
      <c r="W1113" s="13">
        <v>-0.0015706158</v>
      </c>
      <c r="X1113" s="13">
        <v>0.0015390769</v>
      </c>
      <c r="Y1113" s="13">
        <v>0</v>
      </c>
      <c r="Z1113" s="13">
        <v>0.0128753846</v>
      </c>
    </row>
    <row r="1114" s="2" customFormat="1" spans="1:26">
      <c r="A1114" s="11" t="s">
        <v>935</v>
      </c>
      <c r="B1114" s="11" t="s">
        <v>937</v>
      </c>
      <c r="C1114" s="14" t="s">
        <v>973</v>
      </c>
      <c r="D1114" s="14" t="s">
        <v>938</v>
      </c>
      <c r="E1114" s="14" t="s">
        <v>939</v>
      </c>
      <c r="F1114" s="3" t="s">
        <v>944</v>
      </c>
      <c r="G1114" s="4">
        <v>95</v>
      </c>
      <c r="H1114" s="12">
        <v>16782.74</v>
      </c>
      <c r="I1114" s="12">
        <v>5488.98996</v>
      </c>
      <c r="J1114" s="13">
        <v>0.3270616097</v>
      </c>
      <c r="K1114" s="13">
        <v>0.3270616097</v>
      </c>
      <c r="L1114" s="12">
        <v>25.9794736842</v>
      </c>
      <c r="M1114" s="13">
        <v>0.1512649909</v>
      </c>
      <c r="N1114" s="13">
        <v>0.0267115745</v>
      </c>
      <c r="O1114" s="13">
        <v>0.2604323251</v>
      </c>
      <c r="P1114" s="13">
        <v>0.0311865642</v>
      </c>
      <c r="Q1114" s="13">
        <v>0.0073137935</v>
      </c>
      <c r="R1114" s="13">
        <v>0.0755015874</v>
      </c>
      <c r="S1114" s="13">
        <v>0</v>
      </c>
      <c r="T1114" s="13">
        <v>0.1170478718</v>
      </c>
      <c r="U1114" s="13">
        <v>0.0155992043</v>
      </c>
      <c r="V1114" s="13">
        <v>-0.0134904074</v>
      </c>
      <c r="W1114" s="13">
        <v>-0.0018734375</v>
      </c>
      <c r="X1114" s="13">
        <v>0.0018395089</v>
      </c>
      <c r="Y1114" s="13">
        <v>0</v>
      </c>
      <c r="Z1114" s="13">
        <v>0.0014048142</v>
      </c>
    </row>
    <row r="1115" s="2" customFormat="1" hidden="1" spans="1:26">
      <c r="A1115" s="11" t="s">
        <v>935</v>
      </c>
      <c r="B1115" s="11" t="s">
        <v>937</v>
      </c>
      <c r="C1115" s="14" t="s">
        <v>973</v>
      </c>
      <c r="D1115" s="14" t="s">
        <v>938</v>
      </c>
      <c r="E1115" s="14" t="s">
        <v>939</v>
      </c>
      <c r="F1115" s="3" t="s">
        <v>945</v>
      </c>
      <c r="G1115" s="4">
        <v>8</v>
      </c>
      <c r="H1115" s="12">
        <v>1413.856</v>
      </c>
      <c r="I1115" s="12">
        <v>532.635922</v>
      </c>
      <c r="J1115" s="13">
        <v>0.3767257217</v>
      </c>
      <c r="K1115" s="13">
        <v>0.3767257217</v>
      </c>
      <c r="L1115" s="12">
        <v>25.99</v>
      </c>
      <c r="M1115" s="13">
        <v>0.1512037265</v>
      </c>
      <c r="N1115" s="13">
        <v>0.0267007559</v>
      </c>
      <c r="O1115" s="13">
        <v>0.2601000384</v>
      </c>
      <c r="P1115" s="13">
        <v>0</v>
      </c>
      <c r="Q1115" s="13">
        <v>0</v>
      </c>
      <c r="R1115" s="13">
        <v>0.0496306993</v>
      </c>
      <c r="S1115" s="13">
        <v>0</v>
      </c>
      <c r="T1115" s="13">
        <v>0.1200461716</v>
      </c>
      <c r="U1115" s="13">
        <v>0.0155928864</v>
      </c>
      <c r="V1115" s="13">
        <v>0</v>
      </c>
      <c r="W1115" s="13">
        <v>0</v>
      </c>
      <c r="X1115" s="13">
        <v>0</v>
      </c>
      <c r="Y1115" s="13">
        <v>0</v>
      </c>
      <c r="Z1115" s="13">
        <v>0</v>
      </c>
    </row>
    <row r="1116" s="2" customFormat="1" hidden="1" spans="1:26">
      <c r="A1116" s="11" t="s">
        <v>935</v>
      </c>
      <c r="B1116" s="11" t="s">
        <v>937</v>
      </c>
      <c r="C1116" s="14" t="s">
        <v>974</v>
      </c>
      <c r="D1116" s="14" t="s">
        <v>938</v>
      </c>
      <c r="E1116" s="14" t="s">
        <v>939</v>
      </c>
      <c r="F1116" s="3" t="s">
        <v>936</v>
      </c>
      <c r="G1116" s="4">
        <v>313</v>
      </c>
      <c r="H1116" s="12">
        <v>50975.384</v>
      </c>
      <c r="I1116" s="12">
        <v>6178.401462</v>
      </c>
      <c r="J1116" s="13">
        <v>0.1212036276</v>
      </c>
      <c r="K1116" s="13">
        <v>0.1212036276</v>
      </c>
      <c r="L1116" s="12">
        <v>23.9500958466</v>
      </c>
      <c r="M1116" s="13">
        <v>0.1653537293</v>
      </c>
      <c r="N1116" s="13">
        <v>0.0261902135</v>
      </c>
      <c r="O1116" s="13">
        <v>0.3120092631</v>
      </c>
      <c r="P1116" s="13">
        <v>0.015734261</v>
      </c>
      <c r="Q1116" s="13">
        <v>0.0335842702</v>
      </c>
      <c r="R1116" s="13">
        <v>0.2047325811</v>
      </c>
      <c r="S1116" s="13">
        <v>0</v>
      </c>
      <c r="T1116" s="13">
        <v>0.1112577003</v>
      </c>
      <c r="U1116" s="13">
        <v>0.0170521053</v>
      </c>
      <c r="V1116" s="13">
        <v>-0.0105480245</v>
      </c>
      <c r="W1116" s="13">
        <v>-0.0012210178</v>
      </c>
      <c r="X1116" s="13">
        <v>0.0003028128</v>
      </c>
      <c r="Y1116" s="13">
        <v>0</v>
      </c>
      <c r="Z1116" s="13">
        <v>0.0043484776</v>
      </c>
    </row>
    <row r="1117" s="2" customFormat="1" hidden="1" spans="1:26">
      <c r="A1117" s="11" t="s">
        <v>935</v>
      </c>
      <c r="B1117" s="11" t="s">
        <v>937</v>
      </c>
      <c r="C1117" s="14" t="s">
        <v>974</v>
      </c>
      <c r="D1117" s="14" t="s">
        <v>938</v>
      </c>
      <c r="E1117" s="14" t="s">
        <v>939</v>
      </c>
      <c r="F1117" s="3" t="s">
        <v>947</v>
      </c>
      <c r="G1117" s="4">
        <v>0</v>
      </c>
      <c r="H1117" s="12">
        <v>0</v>
      </c>
      <c r="I1117" s="12">
        <v>-149.328</v>
      </c>
      <c r="J1117" s="13"/>
      <c r="K1117" s="13"/>
      <c r="L1117" s="12"/>
      <c r="M1117" s="13"/>
      <c r="N1117" s="13"/>
      <c r="O1117" s="13"/>
      <c r="P1117" s="13"/>
      <c r="Q1117" s="13"/>
      <c r="R1117" s="13"/>
      <c r="S1117" s="13"/>
      <c r="T1117" s="13"/>
      <c r="U1117" s="13"/>
      <c r="V1117" s="13"/>
      <c r="W1117" s="13"/>
      <c r="X1117" s="13"/>
      <c r="Y1117" s="13"/>
      <c r="Z1117" s="13"/>
    </row>
    <row r="1118" s="2" customFormat="1" hidden="1" spans="1:26">
      <c r="A1118" s="11" t="s">
        <v>935</v>
      </c>
      <c r="B1118" s="11" t="s">
        <v>937</v>
      </c>
      <c r="C1118" s="14" t="s">
        <v>974</v>
      </c>
      <c r="D1118" s="14" t="s">
        <v>938</v>
      </c>
      <c r="E1118" s="14" t="s">
        <v>939</v>
      </c>
      <c r="F1118" s="3" t="s">
        <v>953</v>
      </c>
      <c r="G1118" s="4">
        <v>35</v>
      </c>
      <c r="H1118" s="12">
        <v>5342.42</v>
      </c>
      <c r="I1118" s="12">
        <v>155.144348</v>
      </c>
      <c r="J1118" s="13">
        <v>0.0290400881</v>
      </c>
      <c r="K1118" s="13">
        <v>0.0290400881</v>
      </c>
      <c r="L1118" s="12">
        <v>22.4471428571</v>
      </c>
      <c r="M1118" s="13">
        <v>0.1769904865</v>
      </c>
      <c r="N1118" s="13">
        <v>0.0383012782</v>
      </c>
      <c r="O1118" s="13">
        <v>0.3465919938</v>
      </c>
      <c r="P1118" s="13">
        <v>0.0279895627</v>
      </c>
      <c r="Q1118" s="13">
        <v>0.0579247114</v>
      </c>
      <c r="R1118" s="13">
        <v>0.2010196075</v>
      </c>
      <c r="S1118" s="13">
        <v>0</v>
      </c>
      <c r="T1118" s="13">
        <v>0.1097053395</v>
      </c>
      <c r="U1118" s="13">
        <v>0.018252146</v>
      </c>
      <c r="V1118" s="13">
        <v>-0.0089123655</v>
      </c>
      <c r="W1118" s="13">
        <v>0</v>
      </c>
      <c r="X1118" s="13">
        <v>0</v>
      </c>
      <c r="Y1118" s="13">
        <v>0</v>
      </c>
      <c r="Z1118" s="13">
        <v>0.0030971512</v>
      </c>
    </row>
    <row r="1119" s="2" customFormat="1" hidden="1" spans="1:26">
      <c r="A1119" s="11" t="s">
        <v>935</v>
      </c>
      <c r="B1119" s="11" t="s">
        <v>937</v>
      </c>
      <c r="C1119" s="14" t="s">
        <v>974</v>
      </c>
      <c r="D1119" s="14" t="s">
        <v>938</v>
      </c>
      <c r="E1119" s="14" t="s">
        <v>939</v>
      </c>
      <c r="F1119" s="3" t="s">
        <v>956</v>
      </c>
      <c r="G1119" s="4">
        <v>38</v>
      </c>
      <c r="H1119" s="12">
        <v>6032.552</v>
      </c>
      <c r="I1119" s="12">
        <v>733.104821</v>
      </c>
      <c r="J1119" s="13">
        <v>0.1215248241</v>
      </c>
      <c r="K1119" s="13">
        <v>0.1215248241</v>
      </c>
      <c r="L1119" s="12">
        <v>23.3457894736</v>
      </c>
      <c r="M1119" s="13">
        <v>0.1701776133</v>
      </c>
      <c r="N1119" s="13">
        <v>0.020468529</v>
      </c>
      <c r="O1119" s="13">
        <v>0.3260702933</v>
      </c>
      <c r="P1119" s="13">
        <v>0.0247875194</v>
      </c>
      <c r="Q1119" s="13">
        <v>0.0919740519</v>
      </c>
      <c r="R1119" s="13">
        <v>0.1177625541</v>
      </c>
      <c r="S1119" s="13">
        <v>0</v>
      </c>
      <c r="T1119" s="13">
        <v>0.1179069819</v>
      </c>
      <c r="U1119" s="13">
        <v>0.0175495684</v>
      </c>
      <c r="V1119" s="13">
        <v>-0.0087697544</v>
      </c>
      <c r="W1119" s="13">
        <v>0</v>
      </c>
      <c r="X1119" s="13">
        <v>0</v>
      </c>
      <c r="Y1119" s="13">
        <v>0</v>
      </c>
      <c r="Z1119" s="13">
        <v>0.0005478187</v>
      </c>
    </row>
    <row r="1120" s="2" customFormat="1" hidden="1" spans="1:26">
      <c r="A1120" s="11" t="s">
        <v>935</v>
      </c>
      <c r="B1120" s="11" t="s">
        <v>937</v>
      </c>
      <c r="C1120" s="14" t="s">
        <v>974</v>
      </c>
      <c r="D1120" s="14" t="s">
        <v>938</v>
      </c>
      <c r="E1120" s="14" t="s">
        <v>939</v>
      </c>
      <c r="F1120" s="3" t="s">
        <v>957</v>
      </c>
      <c r="G1120" s="4">
        <v>15</v>
      </c>
      <c r="H1120" s="12">
        <v>2634.116</v>
      </c>
      <c r="I1120" s="12">
        <v>484.053315</v>
      </c>
      <c r="J1120" s="13">
        <v>0.1837630973</v>
      </c>
      <c r="K1120" s="13">
        <v>0.1837630973</v>
      </c>
      <c r="L1120" s="12">
        <v>25.8246666666</v>
      </c>
      <c r="M1120" s="13">
        <v>0.1538424788</v>
      </c>
      <c r="N1120" s="13">
        <v>0.0185037807</v>
      </c>
      <c r="O1120" s="13">
        <v>0.2822882515</v>
      </c>
      <c r="P1120" s="13">
        <v>0</v>
      </c>
      <c r="Q1120" s="13">
        <v>0.0350855281</v>
      </c>
      <c r="R1120" s="13">
        <v>0.2217081601</v>
      </c>
      <c r="S1120" s="13">
        <v>0</v>
      </c>
      <c r="T1120" s="13">
        <v>0.1200402715</v>
      </c>
      <c r="U1120" s="13">
        <v>0.0158650074</v>
      </c>
      <c r="V1120" s="13">
        <v>-0.0200841572</v>
      </c>
      <c r="W1120" s="13">
        <v>-0.0114897506</v>
      </c>
      <c r="X1120" s="13">
        <v>0</v>
      </c>
      <c r="Y1120" s="13">
        <v>0</v>
      </c>
      <c r="Z1120" s="13">
        <v>0.000477332</v>
      </c>
    </row>
    <row r="1121" s="2" customFormat="1" hidden="1" spans="1:26">
      <c r="A1121" s="11" t="s">
        <v>935</v>
      </c>
      <c r="B1121" s="11" t="s">
        <v>937</v>
      </c>
      <c r="C1121" s="14" t="s">
        <v>974</v>
      </c>
      <c r="D1121" s="14" t="s">
        <v>938</v>
      </c>
      <c r="E1121" s="14" t="s">
        <v>939</v>
      </c>
      <c r="F1121" s="3" t="s">
        <v>940</v>
      </c>
      <c r="G1121" s="4">
        <v>12</v>
      </c>
      <c r="H1121" s="12">
        <v>2120.784</v>
      </c>
      <c r="I1121" s="12">
        <v>277.625808</v>
      </c>
      <c r="J1121" s="13">
        <v>0.1309071588</v>
      </c>
      <c r="K1121" s="13">
        <v>0.1309071588</v>
      </c>
      <c r="L1121" s="12">
        <v>25.99</v>
      </c>
      <c r="M1121" s="13">
        <v>0.152863822</v>
      </c>
      <c r="N1121" s="13">
        <v>0.0183860704</v>
      </c>
      <c r="O1121" s="13">
        <v>0.2804924971</v>
      </c>
      <c r="P1121" s="13">
        <v>0</v>
      </c>
      <c r="Q1121" s="13">
        <v>0.024619403</v>
      </c>
      <c r="R1121" s="13">
        <v>0.2626073588</v>
      </c>
      <c r="S1121" s="13">
        <v>0</v>
      </c>
      <c r="T1121" s="13">
        <v>0.1140182121</v>
      </c>
      <c r="U1121" s="13">
        <v>0.0157640834</v>
      </c>
      <c r="V1121" s="13">
        <v>0</v>
      </c>
      <c r="W1121" s="13">
        <v>0</v>
      </c>
      <c r="X1121" s="13">
        <v>0</v>
      </c>
      <c r="Y1121" s="13">
        <v>0</v>
      </c>
      <c r="Z1121" s="13">
        <v>0.000341394</v>
      </c>
    </row>
    <row r="1122" s="2" customFormat="1" hidden="1" spans="1:26">
      <c r="A1122" s="11" t="s">
        <v>935</v>
      </c>
      <c r="B1122" s="11" t="s">
        <v>937</v>
      </c>
      <c r="C1122" s="14" t="s">
        <v>974</v>
      </c>
      <c r="D1122" s="14" t="s">
        <v>938</v>
      </c>
      <c r="E1122" s="14" t="s">
        <v>939</v>
      </c>
      <c r="F1122" s="3" t="s">
        <v>941</v>
      </c>
      <c r="G1122" s="4">
        <v>50</v>
      </c>
      <c r="H1122" s="12">
        <v>8044.06</v>
      </c>
      <c r="I1122" s="12">
        <v>1380.611482</v>
      </c>
      <c r="J1122" s="13">
        <v>0.1716311765</v>
      </c>
      <c r="K1122" s="13">
        <v>0.1716311765</v>
      </c>
      <c r="L1122" s="12">
        <v>23.659</v>
      </c>
      <c r="M1122" s="13">
        <v>0.1645662166</v>
      </c>
      <c r="N1122" s="13">
        <v>0.0197936045</v>
      </c>
      <c r="O1122" s="13">
        <v>0.3089986897</v>
      </c>
      <c r="P1122" s="13">
        <v>0</v>
      </c>
      <c r="Q1122" s="13">
        <v>0.0083135151</v>
      </c>
      <c r="R1122" s="13">
        <v>0.1989652447</v>
      </c>
      <c r="S1122" s="13">
        <v>0</v>
      </c>
      <c r="T1122" s="13">
        <v>0.1115347225</v>
      </c>
      <c r="U1122" s="13">
        <v>0.016970893</v>
      </c>
      <c r="V1122" s="13">
        <v>-0.006111839</v>
      </c>
      <c r="W1122" s="13">
        <v>0</v>
      </c>
      <c r="X1122" s="13">
        <v>0</v>
      </c>
      <c r="Y1122" s="13">
        <v>0</v>
      </c>
      <c r="Z1122" s="13">
        <v>0.0053377759</v>
      </c>
    </row>
    <row r="1123" s="2" customFormat="1" hidden="1" spans="1:26">
      <c r="A1123" s="11" t="s">
        <v>935</v>
      </c>
      <c r="B1123" s="11" t="s">
        <v>937</v>
      </c>
      <c r="C1123" s="14" t="s">
        <v>974</v>
      </c>
      <c r="D1123" s="14" t="s">
        <v>938</v>
      </c>
      <c r="E1123" s="14" t="s">
        <v>939</v>
      </c>
      <c r="F1123" s="3" t="s">
        <v>942</v>
      </c>
      <c r="G1123" s="4">
        <v>48</v>
      </c>
      <c r="H1123" s="12">
        <v>7826.936</v>
      </c>
      <c r="I1123" s="12">
        <v>61.639922</v>
      </c>
      <c r="J1123" s="13">
        <v>0.0078753578</v>
      </c>
      <c r="K1123" s="13">
        <v>0.0078753578</v>
      </c>
      <c r="L1123" s="12">
        <v>23.9795833333</v>
      </c>
      <c r="M1123" s="13">
        <v>0.1656797234</v>
      </c>
      <c r="N1123" s="13">
        <v>0.0262100234</v>
      </c>
      <c r="O1123" s="13">
        <v>0.3148511754</v>
      </c>
      <c r="P1123" s="13">
        <v>0.0208423832</v>
      </c>
      <c r="Q1123" s="13">
        <v>0.0282975679</v>
      </c>
      <c r="R1123" s="13">
        <v>0.3150627181</v>
      </c>
      <c r="S1123" s="13">
        <v>0</v>
      </c>
      <c r="T1123" s="13">
        <v>0.0976090771</v>
      </c>
      <c r="U1123" s="13">
        <v>0.0170857234</v>
      </c>
      <c r="V1123" s="13">
        <v>0</v>
      </c>
      <c r="W1123" s="13">
        <v>0</v>
      </c>
      <c r="X1123" s="13">
        <v>0</v>
      </c>
      <c r="Y1123" s="13">
        <v>0</v>
      </c>
      <c r="Z1123" s="13">
        <v>0.0064862497</v>
      </c>
    </row>
    <row r="1124" s="2" customFormat="1" hidden="1" spans="1:26">
      <c r="A1124" s="11" t="s">
        <v>935</v>
      </c>
      <c r="B1124" s="11" t="s">
        <v>937</v>
      </c>
      <c r="C1124" s="14" t="s">
        <v>974</v>
      </c>
      <c r="D1124" s="14" t="s">
        <v>938</v>
      </c>
      <c r="E1124" s="14" t="s">
        <v>939</v>
      </c>
      <c r="F1124" s="3" t="s">
        <v>943</v>
      </c>
      <c r="G1124" s="4">
        <v>43</v>
      </c>
      <c r="H1124" s="12">
        <v>7028.276</v>
      </c>
      <c r="I1124" s="12">
        <v>1147.717954</v>
      </c>
      <c r="J1124" s="13">
        <v>0.1633000687</v>
      </c>
      <c r="K1124" s="13">
        <v>0.1633000687</v>
      </c>
      <c r="L1124" s="12">
        <v>24.0365116278</v>
      </c>
      <c r="M1124" s="13">
        <v>0.165287326</v>
      </c>
      <c r="N1124" s="13">
        <v>0.0281285983</v>
      </c>
      <c r="O1124" s="13">
        <v>0.3108159099</v>
      </c>
      <c r="P1124" s="13">
        <v>0</v>
      </c>
      <c r="Q1124" s="13">
        <v>0.028144285</v>
      </c>
      <c r="R1124" s="13">
        <v>0.155104536</v>
      </c>
      <c r="S1124" s="13">
        <v>0</v>
      </c>
      <c r="T1124" s="13">
        <v>0.1177859264</v>
      </c>
      <c r="U1124" s="13">
        <v>0.0170452574</v>
      </c>
      <c r="V1124" s="13">
        <v>0</v>
      </c>
      <c r="W1124" s="13">
        <v>0</v>
      </c>
      <c r="X1124" s="13">
        <v>0.0015127174</v>
      </c>
      <c r="Y1124" s="13">
        <v>0</v>
      </c>
      <c r="Z1124" s="13">
        <v>0.0128753742</v>
      </c>
    </row>
    <row r="1125" s="2" customFormat="1" spans="1:26">
      <c r="A1125" s="11" t="s">
        <v>935</v>
      </c>
      <c r="B1125" s="11" t="s">
        <v>937</v>
      </c>
      <c r="C1125" s="14" t="s">
        <v>974</v>
      </c>
      <c r="D1125" s="14" t="s">
        <v>938</v>
      </c>
      <c r="E1125" s="14" t="s">
        <v>939</v>
      </c>
      <c r="F1125" s="3" t="s">
        <v>944</v>
      </c>
      <c r="G1125" s="4">
        <v>67</v>
      </c>
      <c r="H1125" s="12">
        <v>11130.58</v>
      </c>
      <c r="I1125" s="12">
        <v>1792.453662</v>
      </c>
      <c r="J1125" s="13">
        <v>0.1610386576</v>
      </c>
      <c r="K1125" s="13">
        <v>0.1610386576</v>
      </c>
      <c r="L1125" s="12">
        <v>24.4305970149</v>
      </c>
      <c r="M1125" s="13">
        <v>0.1626211071</v>
      </c>
      <c r="N1125" s="13">
        <v>0.0298600429</v>
      </c>
      <c r="O1125" s="13">
        <v>0.302080215</v>
      </c>
      <c r="P1125" s="13">
        <v>0.0305342578</v>
      </c>
      <c r="Q1125" s="13">
        <v>0.0194850068</v>
      </c>
      <c r="R1125" s="13">
        <v>0.1898604383</v>
      </c>
      <c r="S1125" s="13">
        <v>0</v>
      </c>
      <c r="T1125" s="13">
        <v>0.1104255124</v>
      </c>
      <c r="U1125" s="13">
        <v>0.0167703036</v>
      </c>
      <c r="V1125" s="13">
        <v>-0.0216391239</v>
      </c>
      <c r="W1125" s="13">
        <v>-0.0028728529</v>
      </c>
      <c r="X1125" s="13">
        <v>0.0004316219</v>
      </c>
      <c r="Y1125" s="13">
        <v>0</v>
      </c>
      <c r="Z1125" s="13">
        <v>0.0014048129</v>
      </c>
    </row>
    <row r="1126" s="2" customFormat="1" hidden="1" spans="1:26">
      <c r="A1126" s="11" t="s">
        <v>935</v>
      </c>
      <c r="B1126" s="11" t="s">
        <v>937</v>
      </c>
      <c r="C1126" s="14" t="s">
        <v>974</v>
      </c>
      <c r="D1126" s="14" t="s">
        <v>938</v>
      </c>
      <c r="E1126" s="14" t="s">
        <v>939</v>
      </c>
      <c r="F1126" s="3" t="s">
        <v>945</v>
      </c>
      <c r="G1126" s="4">
        <v>5</v>
      </c>
      <c r="H1126" s="12">
        <v>815.66</v>
      </c>
      <c r="I1126" s="12">
        <v>295.37815</v>
      </c>
      <c r="J1126" s="13">
        <v>0.362133916</v>
      </c>
      <c r="K1126" s="13">
        <v>0.362133916</v>
      </c>
      <c r="L1126" s="12">
        <v>23.99</v>
      </c>
      <c r="M1126" s="13">
        <v>0.1656077838</v>
      </c>
      <c r="N1126" s="13">
        <v>0.0304084483</v>
      </c>
      <c r="O1126" s="13">
        <v>0.3076281784</v>
      </c>
      <c r="P1126" s="13">
        <v>0</v>
      </c>
      <c r="Q1126" s="13">
        <v>0</v>
      </c>
      <c r="R1126" s="13">
        <v>0.1126414927</v>
      </c>
      <c r="S1126" s="13">
        <v>0</v>
      </c>
      <c r="T1126" s="13">
        <v>0.1200500208</v>
      </c>
      <c r="U1126" s="13">
        <v>0.0170783046</v>
      </c>
      <c r="V1126" s="13">
        <v>-0.115548145</v>
      </c>
      <c r="W1126" s="13">
        <v>0</v>
      </c>
      <c r="X1126" s="13">
        <v>0</v>
      </c>
      <c r="Y1126" s="13">
        <v>0</v>
      </c>
      <c r="Z1126" s="13">
        <v>0</v>
      </c>
    </row>
    <row r="1127" s="2" customFormat="1" hidden="1" spans="1:26">
      <c r="A1127" s="11" t="s">
        <v>935</v>
      </c>
      <c r="B1127" s="11" t="s">
        <v>937</v>
      </c>
      <c r="C1127" s="14" t="s">
        <v>975</v>
      </c>
      <c r="D1127" s="14" t="s">
        <v>938</v>
      </c>
      <c r="E1127" s="14" t="s">
        <v>939</v>
      </c>
      <c r="F1127" s="3" t="s">
        <v>936</v>
      </c>
      <c r="G1127" s="4">
        <v>423</v>
      </c>
      <c r="H1127" s="12">
        <v>69425.008</v>
      </c>
      <c r="I1127" s="12">
        <v>12452.692817</v>
      </c>
      <c r="J1127" s="13">
        <v>0.1793689792</v>
      </c>
      <c r="K1127" s="13">
        <v>0.1793689792</v>
      </c>
      <c r="L1127" s="12">
        <v>24.1360756501</v>
      </c>
      <c r="M1127" s="13">
        <v>0.1627934352</v>
      </c>
      <c r="N1127" s="13">
        <v>0.0349770166</v>
      </c>
      <c r="O1127" s="13">
        <v>0.301564416</v>
      </c>
      <c r="P1127" s="13">
        <v>0.0217746896</v>
      </c>
      <c r="Q1127" s="13">
        <v>0.0173038217</v>
      </c>
      <c r="R1127" s="13">
        <v>0.1593163</v>
      </c>
      <c r="S1127" s="13">
        <v>0</v>
      </c>
      <c r="T1127" s="13">
        <v>0.1151264109</v>
      </c>
      <c r="U1127" s="13">
        <v>0.0167880747</v>
      </c>
      <c r="V1127" s="13">
        <v>-0.0125936867</v>
      </c>
      <c r="W1127" s="13">
        <v>-0.0009609801</v>
      </c>
      <c r="X1127" s="13">
        <v>0.0002223406</v>
      </c>
      <c r="Y1127" s="13">
        <v>0</v>
      </c>
      <c r="Z1127" s="13">
        <v>0.0043191818</v>
      </c>
    </row>
    <row r="1128" s="2" customFormat="1" hidden="1" spans="1:26">
      <c r="A1128" s="11" t="s">
        <v>935</v>
      </c>
      <c r="B1128" s="11" t="s">
        <v>937</v>
      </c>
      <c r="C1128" s="14" t="s">
        <v>975</v>
      </c>
      <c r="D1128" s="14" t="s">
        <v>938</v>
      </c>
      <c r="E1128" s="14" t="s">
        <v>939</v>
      </c>
      <c r="F1128" s="3" t="s">
        <v>960</v>
      </c>
      <c r="G1128" s="4">
        <v>48</v>
      </c>
      <c r="H1128" s="12">
        <v>6388.804</v>
      </c>
      <c r="I1128" s="12">
        <v>487.196773</v>
      </c>
      <c r="J1128" s="13">
        <v>0.0762578994</v>
      </c>
      <c r="K1128" s="13">
        <v>0.0762578994</v>
      </c>
      <c r="L1128" s="12">
        <v>19.5735416666</v>
      </c>
      <c r="M1128" s="13">
        <v>0.1954348062</v>
      </c>
      <c r="N1128" s="13">
        <v>0.044942361</v>
      </c>
      <c r="O1128" s="13">
        <v>0.3106553276</v>
      </c>
      <c r="P1128" s="13">
        <v>0.0212765957</v>
      </c>
      <c r="Q1128" s="13">
        <v>0.0218182556</v>
      </c>
      <c r="R1128" s="13">
        <v>0.2043644229</v>
      </c>
      <c r="S1128" s="13">
        <v>0</v>
      </c>
      <c r="T1128" s="13">
        <v>0.118016455</v>
      </c>
      <c r="U1128" s="13">
        <v>0.0201542172</v>
      </c>
      <c r="V1128" s="13">
        <v>-0.0133918022</v>
      </c>
      <c r="W1128" s="13">
        <v>0</v>
      </c>
      <c r="X1128" s="13">
        <v>0</v>
      </c>
      <c r="Y1128" s="13">
        <v>0</v>
      </c>
      <c r="Z1128" s="13">
        <v>0.0004714611</v>
      </c>
    </row>
    <row r="1129" s="2" customFormat="1" hidden="1" spans="1:26">
      <c r="A1129" s="11" t="s">
        <v>935</v>
      </c>
      <c r="B1129" s="11" t="s">
        <v>937</v>
      </c>
      <c r="C1129" s="14" t="s">
        <v>975</v>
      </c>
      <c r="D1129" s="14" t="s">
        <v>938</v>
      </c>
      <c r="E1129" s="14" t="s">
        <v>939</v>
      </c>
      <c r="F1129" s="3" t="s">
        <v>961</v>
      </c>
      <c r="G1129" s="4">
        <v>46</v>
      </c>
      <c r="H1129" s="12">
        <v>7028.072</v>
      </c>
      <c r="I1129" s="12">
        <v>2016.452298</v>
      </c>
      <c r="J1129" s="13">
        <v>0.2869140068</v>
      </c>
      <c r="K1129" s="13">
        <v>0.2869140068</v>
      </c>
      <c r="L1129" s="12">
        <v>22.4682608695</v>
      </c>
      <c r="M1129" s="13">
        <v>0.1702557816</v>
      </c>
      <c r="N1129" s="13">
        <v>0.0283649996</v>
      </c>
      <c r="O1129" s="13">
        <v>0.2763898833</v>
      </c>
      <c r="P1129" s="13">
        <v>0.0222439383</v>
      </c>
      <c r="Q1129" s="13">
        <v>0.0165575903</v>
      </c>
      <c r="R1129" s="13">
        <v>0.0629549142</v>
      </c>
      <c r="S1129" s="13">
        <v>0</v>
      </c>
      <c r="T1129" s="13">
        <v>0.1179151266</v>
      </c>
      <c r="U1129" s="13">
        <v>0.01755763</v>
      </c>
      <c r="V1129" s="13">
        <v>0</v>
      </c>
      <c r="W1129" s="13">
        <v>0</v>
      </c>
      <c r="X1129" s="13">
        <v>0</v>
      </c>
      <c r="Y1129" s="13">
        <v>0</v>
      </c>
      <c r="Z1129" s="13">
        <v>0.0008461289</v>
      </c>
    </row>
    <row r="1130" s="2" customFormat="1" hidden="1" spans="1:26">
      <c r="A1130" s="11" t="s">
        <v>935</v>
      </c>
      <c r="B1130" s="11" t="s">
        <v>937</v>
      </c>
      <c r="C1130" s="14" t="s">
        <v>975</v>
      </c>
      <c r="D1130" s="14" t="s">
        <v>938</v>
      </c>
      <c r="E1130" s="14" t="s">
        <v>939</v>
      </c>
      <c r="F1130" s="3" t="s">
        <v>947</v>
      </c>
      <c r="G1130" s="4">
        <v>0</v>
      </c>
      <c r="H1130" s="12">
        <v>0</v>
      </c>
      <c r="I1130" s="12">
        <v>-56.4944</v>
      </c>
      <c r="J1130" s="13"/>
      <c r="K1130" s="13"/>
      <c r="L1130" s="12"/>
      <c r="M1130" s="13"/>
      <c r="N1130" s="13"/>
      <c r="O1130" s="13"/>
      <c r="P1130" s="13"/>
      <c r="Q1130" s="13"/>
      <c r="R1130" s="13"/>
      <c r="S1130" s="13"/>
      <c r="T1130" s="13"/>
      <c r="U1130" s="13"/>
      <c r="V1130" s="13"/>
      <c r="W1130" s="13"/>
      <c r="X1130" s="13"/>
      <c r="Y1130" s="13"/>
      <c r="Z1130" s="13"/>
    </row>
    <row r="1131" s="2" customFormat="1" hidden="1" spans="1:26">
      <c r="A1131" s="11" t="s">
        <v>935</v>
      </c>
      <c r="B1131" s="11" t="s">
        <v>937</v>
      </c>
      <c r="C1131" s="14" t="s">
        <v>975</v>
      </c>
      <c r="D1131" s="14" t="s">
        <v>938</v>
      </c>
      <c r="E1131" s="14" t="s">
        <v>939</v>
      </c>
      <c r="F1131" s="3" t="s">
        <v>953</v>
      </c>
      <c r="G1131" s="4">
        <v>1</v>
      </c>
      <c r="H1131" s="12">
        <v>176.732</v>
      </c>
      <c r="I1131" s="12">
        <v>74.100059</v>
      </c>
      <c r="J1131" s="13">
        <v>0.419279242</v>
      </c>
      <c r="K1131" s="13">
        <v>0.419279242</v>
      </c>
      <c r="L1131" s="12">
        <v>25.99</v>
      </c>
      <c r="M1131" s="13">
        <v>0.1528742389</v>
      </c>
      <c r="N1131" s="13">
        <v>0.0245214392</v>
      </c>
      <c r="O1131" s="13">
        <v>0.2543285879</v>
      </c>
      <c r="P1131" s="13">
        <v>0</v>
      </c>
      <c r="Q1131" s="13">
        <v>0.0071335524</v>
      </c>
      <c r="R1131" s="13">
        <v>0.0029544564</v>
      </c>
      <c r="S1131" s="13">
        <v>0</v>
      </c>
      <c r="T1131" s="13">
        <v>0.1200461716</v>
      </c>
      <c r="U1131" s="13">
        <v>0.0157651585</v>
      </c>
      <c r="V1131" s="13">
        <v>0</v>
      </c>
      <c r="W1131" s="13">
        <v>0</v>
      </c>
      <c r="X1131" s="13">
        <v>0</v>
      </c>
      <c r="Y1131" s="13">
        <v>0</v>
      </c>
      <c r="Z1131" s="13">
        <v>0.0030971527</v>
      </c>
    </row>
    <row r="1132" s="2" customFormat="1" hidden="1" spans="1:26">
      <c r="A1132" s="11" t="s">
        <v>935</v>
      </c>
      <c r="B1132" s="11" t="s">
        <v>937</v>
      </c>
      <c r="C1132" s="14" t="s">
        <v>975</v>
      </c>
      <c r="D1132" s="14" t="s">
        <v>938</v>
      </c>
      <c r="E1132" s="14" t="s">
        <v>939</v>
      </c>
      <c r="F1132" s="3" t="s">
        <v>956</v>
      </c>
      <c r="G1132" s="4">
        <v>4</v>
      </c>
      <c r="H1132" s="12">
        <v>538.492</v>
      </c>
      <c r="I1132" s="12">
        <v>78.534388</v>
      </c>
      <c r="J1132" s="13">
        <v>0.1458413272</v>
      </c>
      <c r="K1132" s="13">
        <v>0.1458413272</v>
      </c>
      <c r="L1132" s="12">
        <v>19.7975</v>
      </c>
      <c r="M1132" s="13">
        <v>0.1505190606</v>
      </c>
      <c r="N1132" s="13">
        <v>0.0241436623</v>
      </c>
      <c r="O1132" s="13">
        <v>0.2371511554</v>
      </c>
      <c r="P1132" s="13">
        <v>0</v>
      </c>
      <c r="Q1132" s="13">
        <v>0.0114383444</v>
      </c>
      <c r="R1132" s="13">
        <v>0.2899468422</v>
      </c>
      <c r="S1132" s="13">
        <v>0</v>
      </c>
      <c r="T1132" s="13">
        <v>0.118196742</v>
      </c>
      <c r="U1132" s="13">
        <v>0.0155222807</v>
      </c>
      <c r="V1132" s="13">
        <v>0.0066927642</v>
      </c>
      <c r="W1132" s="13">
        <v>0</v>
      </c>
      <c r="X1132" s="13">
        <v>0</v>
      </c>
      <c r="Y1132" s="13">
        <v>0</v>
      </c>
      <c r="Z1132" s="13">
        <v>0.0005478205</v>
      </c>
    </row>
    <row r="1133" s="2" customFormat="1" hidden="1" spans="1:26">
      <c r="A1133" s="11" t="s">
        <v>935</v>
      </c>
      <c r="B1133" s="11" t="s">
        <v>937</v>
      </c>
      <c r="C1133" s="14" t="s">
        <v>975</v>
      </c>
      <c r="D1133" s="14" t="s">
        <v>938</v>
      </c>
      <c r="E1133" s="14" t="s">
        <v>939</v>
      </c>
      <c r="F1133" s="3" t="s">
        <v>957</v>
      </c>
      <c r="G1133" s="4">
        <v>20</v>
      </c>
      <c r="H1133" s="12">
        <v>3360.628</v>
      </c>
      <c r="I1133" s="12">
        <v>823.558238</v>
      </c>
      <c r="J1133" s="13">
        <v>0.2450608154</v>
      </c>
      <c r="K1133" s="13">
        <v>0.2450608154</v>
      </c>
      <c r="L1133" s="12">
        <v>24.7105</v>
      </c>
      <c r="M1133" s="13">
        <v>0.1527505067</v>
      </c>
      <c r="N1133" s="13">
        <v>0.0238869101</v>
      </c>
      <c r="O1133" s="13">
        <v>0.2711802674</v>
      </c>
      <c r="P1133" s="13">
        <v>0</v>
      </c>
      <c r="Q1133" s="13">
        <v>0.0118836333</v>
      </c>
      <c r="R1133" s="13">
        <v>0.1645021552</v>
      </c>
      <c r="S1133" s="13">
        <v>0</v>
      </c>
      <c r="T1133" s="13">
        <v>0.1136763723</v>
      </c>
      <c r="U1133" s="13">
        <v>0.0157523986</v>
      </c>
      <c r="V1133" s="13">
        <v>0.0008296068</v>
      </c>
      <c r="W1133" s="13">
        <v>0</v>
      </c>
      <c r="X1133" s="13">
        <v>0</v>
      </c>
      <c r="Y1133" s="13">
        <v>0</v>
      </c>
      <c r="Z1133" s="13">
        <v>0.0004773337</v>
      </c>
    </row>
    <row r="1134" s="2" customFormat="1" hidden="1" spans="1:26">
      <c r="A1134" s="11" t="s">
        <v>935</v>
      </c>
      <c r="B1134" s="11" t="s">
        <v>937</v>
      </c>
      <c r="C1134" s="14" t="s">
        <v>975</v>
      </c>
      <c r="D1134" s="14" t="s">
        <v>938</v>
      </c>
      <c r="E1134" s="14" t="s">
        <v>939</v>
      </c>
      <c r="F1134" s="3" t="s">
        <v>940</v>
      </c>
      <c r="G1134" s="4">
        <v>55</v>
      </c>
      <c r="H1134" s="12">
        <v>9720.26</v>
      </c>
      <c r="I1134" s="12">
        <v>1641.566568</v>
      </c>
      <c r="J1134" s="13">
        <v>0.1688809319</v>
      </c>
      <c r="K1134" s="13">
        <v>0.1688809319</v>
      </c>
      <c r="L1134" s="12">
        <v>25.99</v>
      </c>
      <c r="M1134" s="13">
        <v>0.1528742389</v>
      </c>
      <c r="N1134" s="13">
        <v>0.0284291922</v>
      </c>
      <c r="O1134" s="13">
        <v>0.283570604</v>
      </c>
      <c r="P1134" s="13">
        <v>0.0181818181</v>
      </c>
      <c r="Q1134" s="13">
        <v>0.0267764121</v>
      </c>
      <c r="R1134" s="13">
        <v>0.1973345804</v>
      </c>
      <c r="S1134" s="13">
        <v>0</v>
      </c>
      <c r="T1134" s="13">
        <v>0.1078456749</v>
      </c>
      <c r="U1134" s="13">
        <v>0.0157651585</v>
      </c>
      <c r="V1134" s="13">
        <v>0</v>
      </c>
      <c r="W1134" s="13">
        <v>0</v>
      </c>
      <c r="X1134" s="13">
        <v>0</v>
      </c>
      <c r="Y1134" s="13">
        <v>0</v>
      </c>
      <c r="Z1134" s="13">
        <v>0.0003413885</v>
      </c>
    </row>
    <row r="1135" s="2" customFormat="1" hidden="1" spans="1:26">
      <c r="A1135" s="11" t="s">
        <v>935</v>
      </c>
      <c r="B1135" s="11" t="s">
        <v>937</v>
      </c>
      <c r="C1135" s="14" t="s">
        <v>975</v>
      </c>
      <c r="D1135" s="14" t="s">
        <v>938</v>
      </c>
      <c r="E1135" s="14" t="s">
        <v>939</v>
      </c>
      <c r="F1135" s="3" t="s">
        <v>941</v>
      </c>
      <c r="G1135" s="4">
        <v>64</v>
      </c>
      <c r="H1135" s="12">
        <v>11027.968</v>
      </c>
      <c r="I1135" s="12">
        <v>2196.403292</v>
      </c>
      <c r="J1135" s="13">
        <v>0.1991666363</v>
      </c>
      <c r="K1135" s="13">
        <v>0.1991666363</v>
      </c>
      <c r="L1135" s="12">
        <v>25.34</v>
      </c>
      <c r="M1135" s="13">
        <v>0.1578556629</v>
      </c>
      <c r="N1135" s="13">
        <v>0.0291584335</v>
      </c>
      <c r="O1135" s="13">
        <v>0.2948525059</v>
      </c>
      <c r="P1135" s="13">
        <v>0</v>
      </c>
      <c r="Q1135" s="13">
        <v>0.0191932292</v>
      </c>
      <c r="R1135" s="13">
        <v>0.16439777</v>
      </c>
      <c r="S1135" s="13">
        <v>0</v>
      </c>
      <c r="T1135" s="13">
        <v>0.1137591258</v>
      </c>
      <c r="U1135" s="13">
        <v>0.0162788662</v>
      </c>
      <c r="V1135" s="13">
        <v>0</v>
      </c>
      <c r="W1135" s="13">
        <v>0</v>
      </c>
      <c r="X1135" s="13">
        <v>0</v>
      </c>
      <c r="Y1135" s="13">
        <v>0</v>
      </c>
      <c r="Z1135" s="13">
        <v>0.0053377697</v>
      </c>
    </row>
    <row r="1136" s="2" customFormat="1" hidden="1" spans="1:26">
      <c r="A1136" s="11" t="s">
        <v>935</v>
      </c>
      <c r="B1136" s="11" t="s">
        <v>937</v>
      </c>
      <c r="C1136" s="14" t="s">
        <v>975</v>
      </c>
      <c r="D1136" s="14" t="s">
        <v>938</v>
      </c>
      <c r="E1136" s="14" t="s">
        <v>939</v>
      </c>
      <c r="F1136" s="3" t="s">
        <v>942</v>
      </c>
      <c r="G1136" s="4">
        <v>17</v>
      </c>
      <c r="H1136" s="12">
        <v>2840.292</v>
      </c>
      <c r="I1136" s="12">
        <v>525.885458</v>
      </c>
      <c r="J1136" s="13">
        <v>0.1851518991</v>
      </c>
      <c r="K1136" s="13">
        <v>0.1851518991</v>
      </c>
      <c r="L1136" s="12">
        <v>24.57</v>
      </c>
      <c r="M1136" s="13">
        <v>0.1532260767</v>
      </c>
      <c r="N1136" s="13">
        <v>0.0283032758</v>
      </c>
      <c r="O1136" s="13">
        <v>0.2922741746</v>
      </c>
      <c r="P1136" s="13">
        <v>0.1804448275</v>
      </c>
      <c r="Q1136" s="13">
        <v>0.0258176933</v>
      </c>
      <c r="R1136" s="13">
        <v>0.1962860131</v>
      </c>
      <c r="S1136" s="13">
        <v>0</v>
      </c>
      <c r="T1136" s="13">
        <v>0.1021571021</v>
      </c>
      <c r="U1136" s="13">
        <v>0.0158014401</v>
      </c>
      <c r="V1136" s="13">
        <v>-0.1746031746</v>
      </c>
      <c r="W1136" s="13">
        <v>-0.0113455845</v>
      </c>
      <c r="X1136" s="13">
        <v>0</v>
      </c>
      <c r="Y1136" s="13">
        <v>0</v>
      </c>
      <c r="Z1136" s="13">
        <v>0.0064862563</v>
      </c>
    </row>
    <row r="1137" s="2" customFormat="1" hidden="1" spans="1:26">
      <c r="A1137" s="11" t="s">
        <v>935</v>
      </c>
      <c r="B1137" s="11" t="s">
        <v>937</v>
      </c>
      <c r="C1137" s="14" t="s">
        <v>975</v>
      </c>
      <c r="D1137" s="14" t="s">
        <v>938</v>
      </c>
      <c r="E1137" s="14" t="s">
        <v>939</v>
      </c>
      <c r="F1137" s="3" t="s">
        <v>943</v>
      </c>
      <c r="G1137" s="4">
        <v>91</v>
      </c>
      <c r="H1137" s="12">
        <v>14735.396</v>
      </c>
      <c r="I1137" s="12">
        <v>2320.400489</v>
      </c>
      <c r="J1137" s="13">
        <v>0.1574711998</v>
      </c>
      <c r="K1137" s="13">
        <v>0.1574711998</v>
      </c>
      <c r="L1137" s="12">
        <v>23.8128571428</v>
      </c>
      <c r="M1137" s="13">
        <v>0.1679791079</v>
      </c>
      <c r="N1137" s="13">
        <v>0.0450254417</v>
      </c>
      <c r="O1137" s="13">
        <v>0.3338163426</v>
      </c>
      <c r="P1137" s="13">
        <v>0.0239874109</v>
      </c>
      <c r="Q1137" s="13">
        <v>0.0039201567</v>
      </c>
      <c r="R1137" s="13">
        <v>0.153878176</v>
      </c>
      <c r="S1137" s="13">
        <v>0</v>
      </c>
      <c r="T1137" s="13">
        <v>0.1176389151</v>
      </c>
      <c r="U1137" s="13">
        <v>0.0173228465</v>
      </c>
      <c r="V1137" s="13">
        <v>-0.0322957862</v>
      </c>
      <c r="W1137" s="13">
        <v>-0.0023407093</v>
      </c>
      <c r="X1137" s="13">
        <v>0.0007215141</v>
      </c>
      <c r="Y1137" s="13">
        <v>0</v>
      </c>
      <c r="Z1137" s="13">
        <v>0.0128753838</v>
      </c>
    </row>
    <row r="1138" s="2" customFormat="1" spans="1:26">
      <c r="A1138" s="11" t="s">
        <v>935</v>
      </c>
      <c r="B1138" s="11" t="s">
        <v>937</v>
      </c>
      <c r="C1138" s="14" t="s">
        <v>975</v>
      </c>
      <c r="D1138" s="14" t="s">
        <v>938</v>
      </c>
      <c r="E1138" s="14" t="s">
        <v>939</v>
      </c>
      <c r="F1138" s="3" t="s">
        <v>944</v>
      </c>
      <c r="G1138" s="4">
        <v>73</v>
      </c>
      <c r="H1138" s="12">
        <v>12901.436</v>
      </c>
      <c r="I1138" s="12">
        <v>2133.92557</v>
      </c>
      <c r="J1138" s="13">
        <v>0.1654021746</v>
      </c>
      <c r="K1138" s="13">
        <v>0.1654021746</v>
      </c>
      <c r="L1138" s="12">
        <v>25.99</v>
      </c>
      <c r="M1138" s="13">
        <v>0.1541781397</v>
      </c>
      <c r="N1138" s="13">
        <v>0.0369211065</v>
      </c>
      <c r="O1138" s="13">
        <v>0.3062716429</v>
      </c>
      <c r="P1138" s="13">
        <v>0.0136986301</v>
      </c>
      <c r="Q1138" s="13">
        <v>0.0210825801</v>
      </c>
      <c r="R1138" s="13">
        <v>0.1506393469</v>
      </c>
      <c r="S1138" s="13">
        <v>0</v>
      </c>
      <c r="T1138" s="13">
        <v>0.1187284888</v>
      </c>
      <c r="U1138" s="13">
        <v>0.015899622</v>
      </c>
      <c r="V1138" s="13">
        <v>0.0154010762</v>
      </c>
      <c r="W1138" s="13">
        <v>0</v>
      </c>
      <c r="X1138" s="13">
        <v>0.0003723773</v>
      </c>
      <c r="Y1138" s="13">
        <v>0</v>
      </c>
      <c r="Z1138" s="13">
        <v>0.0014048143</v>
      </c>
    </row>
    <row r="1139" s="2" customFormat="1" hidden="1" spans="1:26">
      <c r="A1139" s="11" t="s">
        <v>935</v>
      </c>
      <c r="B1139" s="11" t="s">
        <v>937</v>
      </c>
      <c r="C1139" s="14" t="s">
        <v>975</v>
      </c>
      <c r="D1139" s="14" t="s">
        <v>938</v>
      </c>
      <c r="E1139" s="14" t="s">
        <v>939</v>
      </c>
      <c r="F1139" s="3" t="s">
        <v>945</v>
      </c>
      <c r="G1139" s="4">
        <v>4</v>
      </c>
      <c r="H1139" s="12">
        <v>706.928</v>
      </c>
      <c r="I1139" s="12">
        <v>211.164084</v>
      </c>
      <c r="J1139" s="13">
        <v>0.2987066349</v>
      </c>
      <c r="K1139" s="13">
        <v>0.2987066349</v>
      </c>
      <c r="L1139" s="12">
        <v>25.99</v>
      </c>
      <c r="M1139" s="13">
        <v>0.1541781397</v>
      </c>
      <c r="N1139" s="13">
        <v>0.0369211065</v>
      </c>
      <c r="O1139" s="13">
        <v>0.3062716429</v>
      </c>
      <c r="P1139" s="13">
        <v>0</v>
      </c>
      <c r="Q1139" s="13">
        <v>0</v>
      </c>
      <c r="R1139" s="13">
        <v>0.0679766822</v>
      </c>
      <c r="S1139" s="13">
        <v>0</v>
      </c>
      <c r="T1139" s="13">
        <v>0.1200461716</v>
      </c>
      <c r="U1139" s="13">
        <v>0.015899622</v>
      </c>
      <c r="V1139" s="13">
        <v>0</v>
      </c>
      <c r="W1139" s="13">
        <v>0</v>
      </c>
      <c r="X1139" s="13">
        <v>0</v>
      </c>
      <c r="Y1139" s="13">
        <v>0</v>
      </c>
      <c r="Z1139" s="13">
        <v>0</v>
      </c>
    </row>
    <row r="1140" s="2" customFormat="1" hidden="1" spans="1:26">
      <c r="A1140" s="11" t="s">
        <v>935</v>
      </c>
      <c r="B1140" s="11" t="s">
        <v>937</v>
      </c>
      <c r="C1140" s="14" t="s">
        <v>976</v>
      </c>
      <c r="D1140" s="14" t="s">
        <v>938</v>
      </c>
      <c r="E1140" s="14" t="s">
        <v>939</v>
      </c>
      <c r="F1140" s="3" t="s">
        <v>936</v>
      </c>
      <c r="G1140" s="4">
        <v>583</v>
      </c>
      <c r="H1140" s="12">
        <v>86408.96</v>
      </c>
      <c r="I1140" s="12">
        <v>15926.509017</v>
      </c>
      <c r="J1140" s="13">
        <v>0.1843154809</v>
      </c>
      <c r="K1140" s="13">
        <v>0.1843154809</v>
      </c>
      <c r="L1140" s="12">
        <v>21.796226415</v>
      </c>
      <c r="M1140" s="13">
        <v>0.1344381458</v>
      </c>
      <c r="N1140" s="13">
        <v>0.0319918897</v>
      </c>
      <c r="O1140" s="13">
        <v>0.2665189813</v>
      </c>
      <c r="P1140" s="13">
        <v>0.0577365588</v>
      </c>
      <c r="Q1140" s="13">
        <v>0.0204620127</v>
      </c>
      <c r="R1140" s="13">
        <v>0.1922653934</v>
      </c>
      <c r="S1140" s="13">
        <v>0</v>
      </c>
      <c r="T1140" s="13">
        <v>0.1076940632</v>
      </c>
      <c r="U1140" s="13">
        <v>0.013863935</v>
      </c>
      <c r="V1140" s="13">
        <v>-0.0094112786</v>
      </c>
      <c r="W1140" s="13">
        <v>-0.0029773834</v>
      </c>
      <c r="X1140" s="13">
        <v>0.0003572777</v>
      </c>
      <c r="Y1140" s="13">
        <v>0</v>
      </c>
      <c r="Z1140" s="13">
        <v>0.0027449231</v>
      </c>
    </row>
    <row r="1141" s="2" customFormat="1" hidden="1" spans="1:26">
      <c r="A1141" s="11" t="s">
        <v>935</v>
      </c>
      <c r="B1141" s="11" t="s">
        <v>937</v>
      </c>
      <c r="C1141" s="14" t="s">
        <v>976</v>
      </c>
      <c r="D1141" s="14" t="s">
        <v>938</v>
      </c>
      <c r="E1141" s="14" t="s">
        <v>939</v>
      </c>
      <c r="F1141" s="3" t="s">
        <v>969</v>
      </c>
      <c r="G1141" s="4">
        <v>2</v>
      </c>
      <c r="H1141" s="12">
        <v>251.464</v>
      </c>
      <c r="I1141" s="12">
        <v>-230.168286</v>
      </c>
      <c r="J1141" s="13">
        <v>-0.9153130706</v>
      </c>
      <c r="K1141" s="13">
        <v>-0.9153130706</v>
      </c>
      <c r="L1141" s="12">
        <v>18.49</v>
      </c>
      <c r="M1141" s="13">
        <v>0.1642600372</v>
      </c>
      <c r="N1141" s="13">
        <v>0.0281664413</v>
      </c>
      <c r="O1141" s="13">
        <v>0.2985397512</v>
      </c>
      <c r="P1141" s="13">
        <v>0.4864791779</v>
      </c>
      <c r="Q1141" s="13">
        <v>0.0196083574</v>
      </c>
      <c r="R1141" s="13">
        <v>0.8338163673</v>
      </c>
      <c r="S1141" s="13">
        <v>0</v>
      </c>
      <c r="T1141" s="13">
        <v>0.0670632774</v>
      </c>
      <c r="U1141" s="13">
        <v>0.0169393153</v>
      </c>
      <c r="V1141" s="13">
        <v>0</v>
      </c>
      <c r="W1141" s="13">
        <v>0</v>
      </c>
      <c r="X1141" s="13">
        <v>0</v>
      </c>
      <c r="Y1141" s="13">
        <v>0</v>
      </c>
      <c r="Z1141" s="13">
        <v>0.0004403453</v>
      </c>
    </row>
    <row r="1142" s="2" customFormat="1" hidden="1" spans="1:26">
      <c r="A1142" s="11" t="s">
        <v>935</v>
      </c>
      <c r="B1142" s="11" t="s">
        <v>937</v>
      </c>
      <c r="C1142" s="14" t="s">
        <v>976</v>
      </c>
      <c r="D1142" s="14" t="s">
        <v>938</v>
      </c>
      <c r="E1142" s="14" t="s">
        <v>939</v>
      </c>
      <c r="F1142" s="3" t="s">
        <v>960</v>
      </c>
      <c r="G1142" s="4">
        <v>78</v>
      </c>
      <c r="H1142" s="12">
        <v>10854.296</v>
      </c>
      <c r="I1142" s="12">
        <v>2341.180596</v>
      </c>
      <c r="J1142" s="13">
        <v>0.2156916115</v>
      </c>
      <c r="K1142" s="13">
        <v>0.2156916115</v>
      </c>
      <c r="L1142" s="12">
        <v>20.4643589743</v>
      </c>
      <c r="M1142" s="13">
        <v>0.1484125695</v>
      </c>
      <c r="N1142" s="13">
        <v>0.0376757254</v>
      </c>
      <c r="O1142" s="13">
        <v>0.2817969954</v>
      </c>
      <c r="P1142" s="13">
        <v>0.0256731528</v>
      </c>
      <c r="Q1142" s="13">
        <v>0.0246073207</v>
      </c>
      <c r="R1142" s="13">
        <v>0.150850387</v>
      </c>
      <c r="S1142" s="13">
        <v>0</v>
      </c>
      <c r="T1142" s="13">
        <v>0.113317713</v>
      </c>
      <c r="U1142" s="13">
        <v>0.0153050453</v>
      </c>
      <c r="V1142" s="13">
        <v>-0.0138019821</v>
      </c>
      <c r="W1142" s="13">
        <v>0</v>
      </c>
      <c r="X1142" s="13">
        <v>0</v>
      </c>
      <c r="Y1142" s="13">
        <v>0</v>
      </c>
      <c r="Z1142" s="13">
        <v>0.0004714612</v>
      </c>
    </row>
    <row r="1143" s="2" customFormat="1" hidden="1" spans="1:26">
      <c r="A1143" s="11" t="s">
        <v>935</v>
      </c>
      <c r="B1143" s="11" t="s">
        <v>937</v>
      </c>
      <c r="C1143" s="14" t="s">
        <v>976</v>
      </c>
      <c r="D1143" s="14" t="s">
        <v>938</v>
      </c>
      <c r="E1143" s="14" t="s">
        <v>939</v>
      </c>
      <c r="F1143" s="3" t="s">
        <v>961</v>
      </c>
      <c r="G1143" s="4">
        <v>13</v>
      </c>
      <c r="H1143" s="12">
        <v>1930.316</v>
      </c>
      <c r="I1143" s="12">
        <v>417.724688</v>
      </c>
      <c r="J1143" s="13">
        <v>0.2164022305</v>
      </c>
      <c r="K1143" s="13">
        <v>0.2164022305</v>
      </c>
      <c r="L1143" s="12">
        <v>21.8361538461</v>
      </c>
      <c r="M1143" s="13">
        <v>0.1308165357</v>
      </c>
      <c r="N1143" s="13">
        <v>0.0353088535</v>
      </c>
      <c r="O1143" s="13">
        <v>0.2642406735</v>
      </c>
      <c r="P1143" s="13">
        <v>0.239440589</v>
      </c>
      <c r="Q1143" s="13">
        <v>0.0184955126</v>
      </c>
      <c r="R1143" s="13">
        <v>0.0514650248</v>
      </c>
      <c r="S1143" s="13">
        <v>0</v>
      </c>
      <c r="T1143" s="13">
        <v>0.0970866946</v>
      </c>
      <c r="U1143" s="13">
        <v>0.0134904575</v>
      </c>
      <c r="V1143" s="13">
        <v>-0.0548138232</v>
      </c>
      <c r="W1143" s="13">
        <v>-0.0127788761</v>
      </c>
      <c r="X1143" s="13">
        <v>0</v>
      </c>
      <c r="Y1143" s="13">
        <v>0</v>
      </c>
      <c r="Z1143" s="13">
        <v>0.0008461272</v>
      </c>
    </row>
    <row r="1144" s="2" customFormat="1" hidden="1" spans="1:26">
      <c r="A1144" s="11" t="s">
        <v>935</v>
      </c>
      <c r="B1144" s="11" t="s">
        <v>937</v>
      </c>
      <c r="C1144" s="14" t="s">
        <v>976</v>
      </c>
      <c r="D1144" s="14" t="s">
        <v>938</v>
      </c>
      <c r="E1144" s="14" t="s">
        <v>939</v>
      </c>
      <c r="F1144" s="3" t="s">
        <v>947</v>
      </c>
      <c r="G1144" s="4">
        <v>2</v>
      </c>
      <c r="H1144" s="12">
        <v>269.144</v>
      </c>
      <c r="I1144" s="12">
        <v>88.289536</v>
      </c>
      <c r="J1144" s="13">
        <v>0.3280382843</v>
      </c>
      <c r="K1144" s="13">
        <v>0.3280382843</v>
      </c>
      <c r="L1144" s="12">
        <v>19.79</v>
      </c>
      <c r="M1144" s="13">
        <v>0.1518456811</v>
      </c>
      <c r="N1144" s="13">
        <v>0.0389595532</v>
      </c>
      <c r="O1144" s="13">
        <v>0.308236483</v>
      </c>
      <c r="P1144" s="13">
        <v>0</v>
      </c>
      <c r="Q1144" s="13">
        <v>0.0263724809</v>
      </c>
      <c r="R1144" s="13">
        <v>0.0096875167</v>
      </c>
      <c r="S1144" s="13">
        <v>0</v>
      </c>
      <c r="T1144" s="13">
        <v>0.1200101061</v>
      </c>
      <c r="U1144" s="13">
        <v>0.0156590895</v>
      </c>
      <c r="V1144" s="13">
        <v>0</v>
      </c>
      <c r="W1144" s="13">
        <v>0</v>
      </c>
      <c r="X1144" s="13">
        <v>0</v>
      </c>
      <c r="Y1144" s="13">
        <v>0</v>
      </c>
      <c r="Z1144" s="13">
        <v>0.0011908049</v>
      </c>
    </row>
    <row r="1145" s="2" customFormat="1" hidden="1" spans="1:26">
      <c r="A1145" s="11" t="s">
        <v>935</v>
      </c>
      <c r="B1145" s="11" t="s">
        <v>937</v>
      </c>
      <c r="C1145" s="14" t="s">
        <v>976</v>
      </c>
      <c r="D1145" s="14" t="s">
        <v>938</v>
      </c>
      <c r="E1145" s="14" t="s">
        <v>939</v>
      </c>
      <c r="F1145" s="3" t="s">
        <v>953</v>
      </c>
      <c r="G1145" s="4">
        <v>1</v>
      </c>
      <c r="H1145" s="12">
        <v>135.932</v>
      </c>
      <c r="I1145" s="12">
        <v>-16.388716</v>
      </c>
      <c r="J1145" s="13">
        <v>-0.1205655474</v>
      </c>
      <c r="K1145" s="13">
        <v>-0.1205655474</v>
      </c>
      <c r="L1145" s="12">
        <v>19.99</v>
      </c>
      <c r="M1145" s="13">
        <v>0.1503264647</v>
      </c>
      <c r="N1145" s="13">
        <v>0.0385697628</v>
      </c>
      <c r="O1145" s="13">
        <v>0.3051525762</v>
      </c>
      <c r="P1145" s="13">
        <v>0</v>
      </c>
      <c r="Q1145" s="13">
        <v>0.0056630447</v>
      </c>
      <c r="R1145" s="13">
        <v>0.4821941044</v>
      </c>
      <c r="S1145" s="13">
        <v>0</v>
      </c>
      <c r="T1145" s="13">
        <v>0.12006003</v>
      </c>
      <c r="U1145" s="13">
        <v>0.0155024203</v>
      </c>
      <c r="V1145" s="13">
        <v>0</v>
      </c>
      <c r="W1145" s="13">
        <v>0</v>
      </c>
      <c r="X1145" s="13">
        <v>0</v>
      </c>
      <c r="Y1145" s="13">
        <v>0</v>
      </c>
      <c r="Z1145" s="13">
        <v>0.0030971441</v>
      </c>
    </row>
    <row r="1146" s="2" customFormat="1" hidden="1" spans="1:26">
      <c r="A1146" s="11" t="s">
        <v>935</v>
      </c>
      <c r="B1146" s="11" t="s">
        <v>937</v>
      </c>
      <c r="C1146" s="14" t="s">
        <v>976</v>
      </c>
      <c r="D1146" s="14" t="s">
        <v>938</v>
      </c>
      <c r="E1146" s="14" t="s">
        <v>939</v>
      </c>
      <c r="F1146" s="3" t="s">
        <v>956</v>
      </c>
      <c r="G1146" s="4">
        <v>32</v>
      </c>
      <c r="H1146" s="12">
        <v>4479.908</v>
      </c>
      <c r="I1146" s="12">
        <v>607.919821</v>
      </c>
      <c r="J1146" s="13">
        <v>0.1356991752</v>
      </c>
      <c r="K1146" s="13">
        <v>0.1356991752</v>
      </c>
      <c r="L1146" s="12">
        <v>20.5878125</v>
      </c>
      <c r="M1146" s="13">
        <v>0.1368388167</v>
      </c>
      <c r="N1146" s="13">
        <v>0.0248379051</v>
      </c>
      <c r="O1146" s="13">
        <v>0.275223509</v>
      </c>
      <c r="P1146" s="13">
        <v>0.100135092</v>
      </c>
      <c r="Q1146" s="13">
        <v>0.0441813258</v>
      </c>
      <c r="R1146" s="13">
        <v>0.1421213618</v>
      </c>
      <c r="S1146" s="13">
        <v>0</v>
      </c>
      <c r="T1146" s="13">
        <v>0.1097281462</v>
      </c>
      <c r="U1146" s="13">
        <v>0.0141115063</v>
      </c>
      <c r="V1146" s="13">
        <v>0.0165753403</v>
      </c>
      <c r="W1146" s="13">
        <v>0</v>
      </c>
      <c r="X1146" s="13">
        <v>0</v>
      </c>
      <c r="Y1146" s="13">
        <v>0</v>
      </c>
      <c r="Z1146" s="13">
        <v>0.000547821</v>
      </c>
    </row>
    <row r="1147" s="2" customFormat="1" hidden="1" spans="1:26">
      <c r="A1147" s="11" t="s">
        <v>935</v>
      </c>
      <c r="B1147" s="11" t="s">
        <v>937</v>
      </c>
      <c r="C1147" s="14" t="s">
        <v>976</v>
      </c>
      <c r="D1147" s="14" t="s">
        <v>938</v>
      </c>
      <c r="E1147" s="14" t="s">
        <v>939</v>
      </c>
      <c r="F1147" s="3" t="s">
        <v>957</v>
      </c>
      <c r="G1147" s="4">
        <v>70</v>
      </c>
      <c r="H1147" s="12">
        <v>11101.136</v>
      </c>
      <c r="I1147" s="12">
        <v>2152.942111</v>
      </c>
      <c r="J1147" s="13">
        <v>0.1939389005</v>
      </c>
      <c r="K1147" s="13">
        <v>0.1939389005</v>
      </c>
      <c r="L1147" s="12">
        <v>23.3217142857</v>
      </c>
      <c r="M1147" s="13">
        <v>0.1251695354</v>
      </c>
      <c r="N1147" s="13">
        <v>0.0261480471</v>
      </c>
      <c r="O1147" s="13">
        <v>0.2540857079</v>
      </c>
      <c r="P1147" s="13">
        <v>0.042860118</v>
      </c>
      <c r="Q1147" s="13">
        <v>0.0241855839</v>
      </c>
      <c r="R1147" s="13">
        <v>0.2234729061</v>
      </c>
      <c r="S1147" s="13">
        <v>0</v>
      </c>
      <c r="T1147" s="13">
        <v>0.1089052507</v>
      </c>
      <c r="U1147" s="13">
        <v>0.0129081113</v>
      </c>
      <c r="V1147" s="13">
        <v>-0.0077009776</v>
      </c>
      <c r="W1147" s="13">
        <v>-0.0044505171</v>
      </c>
      <c r="X1147" s="13">
        <v>0</v>
      </c>
      <c r="Y1147" s="13">
        <v>0</v>
      </c>
      <c r="Z1147" s="13">
        <v>0.0004773331</v>
      </c>
    </row>
    <row r="1148" s="2" customFormat="1" hidden="1" spans="1:26">
      <c r="A1148" s="11" t="s">
        <v>935</v>
      </c>
      <c r="B1148" s="11" t="s">
        <v>937</v>
      </c>
      <c r="C1148" s="14" t="s">
        <v>976</v>
      </c>
      <c r="D1148" s="14" t="s">
        <v>938</v>
      </c>
      <c r="E1148" s="14" t="s">
        <v>939</v>
      </c>
      <c r="F1148" s="3" t="s">
        <v>940</v>
      </c>
      <c r="G1148" s="4">
        <v>114</v>
      </c>
      <c r="H1148" s="12">
        <v>18065.016</v>
      </c>
      <c r="I1148" s="12">
        <v>2679.62101</v>
      </c>
      <c r="J1148" s="13">
        <v>0.1483320584</v>
      </c>
      <c r="K1148" s="13">
        <v>0.1483320584</v>
      </c>
      <c r="L1148" s="12">
        <v>23.3036842105</v>
      </c>
      <c r="M1148" s="13">
        <v>0.1273855996</v>
      </c>
      <c r="N1148" s="13">
        <v>0.026443161</v>
      </c>
      <c r="O1148" s="13">
        <v>0.2488839201</v>
      </c>
      <c r="P1148" s="13">
        <v>0.0812724439</v>
      </c>
      <c r="Q1148" s="13">
        <v>0.0161178778</v>
      </c>
      <c r="R1148" s="13">
        <v>0.2542053507</v>
      </c>
      <c r="S1148" s="13">
        <v>0</v>
      </c>
      <c r="T1148" s="13">
        <v>0.100059474</v>
      </c>
      <c r="U1148" s="13">
        <v>0.0131366428</v>
      </c>
      <c r="V1148" s="13">
        <v>-0.0134309762</v>
      </c>
      <c r="W1148" s="13">
        <v>-0.0027469421</v>
      </c>
      <c r="X1148" s="13">
        <v>0</v>
      </c>
      <c r="Y1148" s="13">
        <v>0</v>
      </c>
      <c r="Z1148" s="13">
        <v>0.0003413894</v>
      </c>
    </row>
    <row r="1149" s="2" customFormat="1" hidden="1" spans="1:26">
      <c r="A1149" s="11" t="s">
        <v>935</v>
      </c>
      <c r="B1149" s="11" t="s">
        <v>937</v>
      </c>
      <c r="C1149" s="14" t="s">
        <v>976</v>
      </c>
      <c r="D1149" s="14" t="s">
        <v>938</v>
      </c>
      <c r="E1149" s="14" t="s">
        <v>939</v>
      </c>
      <c r="F1149" s="3" t="s">
        <v>941</v>
      </c>
      <c r="G1149" s="4">
        <v>86</v>
      </c>
      <c r="H1149" s="12">
        <v>11629.836</v>
      </c>
      <c r="I1149" s="12">
        <v>2038.342004</v>
      </c>
      <c r="J1149" s="13">
        <v>0.175268336</v>
      </c>
      <c r="K1149" s="13">
        <v>0.175268336</v>
      </c>
      <c r="L1149" s="12">
        <v>19.8868604651</v>
      </c>
      <c r="M1149" s="13">
        <v>0.1361149452</v>
      </c>
      <c r="N1149" s="13">
        <v>0.0282390988</v>
      </c>
      <c r="O1149" s="13">
        <v>0.2687178047</v>
      </c>
      <c r="P1149" s="13">
        <v>0.0140270249</v>
      </c>
      <c r="Q1149" s="13">
        <v>0.0157792342</v>
      </c>
      <c r="R1149" s="13">
        <v>0.2293798281</v>
      </c>
      <c r="S1149" s="13">
        <v>0</v>
      </c>
      <c r="T1149" s="13">
        <v>0.1099709402</v>
      </c>
      <c r="U1149" s="13">
        <v>0.0140368543</v>
      </c>
      <c r="V1149" s="13">
        <v>0.003128161</v>
      </c>
      <c r="W1149" s="13">
        <v>0</v>
      </c>
      <c r="X1149" s="13">
        <v>0</v>
      </c>
      <c r="Y1149" s="13">
        <v>0</v>
      </c>
      <c r="Z1149" s="13">
        <v>0.0053377721</v>
      </c>
    </row>
    <row r="1150" s="2" customFormat="1" hidden="1" spans="1:26">
      <c r="A1150" s="11" t="s">
        <v>935</v>
      </c>
      <c r="B1150" s="11" t="s">
        <v>937</v>
      </c>
      <c r="C1150" s="14" t="s">
        <v>976</v>
      </c>
      <c r="D1150" s="14" t="s">
        <v>938</v>
      </c>
      <c r="E1150" s="14" t="s">
        <v>939</v>
      </c>
      <c r="F1150" s="3" t="s">
        <v>942</v>
      </c>
      <c r="G1150" s="4">
        <v>29</v>
      </c>
      <c r="H1150" s="12">
        <v>4643.652</v>
      </c>
      <c r="I1150" s="12">
        <v>1196.711103</v>
      </c>
      <c r="J1150" s="13">
        <v>0.2577090408</v>
      </c>
      <c r="K1150" s="13">
        <v>0.2577090408</v>
      </c>
      <c r="L1150" s="12">
        <v>23.5479310344</v>
      </c>
      <c r="M1150" s="13">
        <v>0.1195343643</v>
      </c>
      <c r="N1150" s="13">
        <v>0.0247992071</v>
      </c>
      <c r="O1150" s="13">
        <v>0.242366999</v>
      </c>
      <c r="P1150" s="13">
        <v>0.0948469006</v>
      </c>
      <c r="Q1150" s="13">
        <v>0.0178408797</v>
      </c>
      <c r="R1150" s="13">
        <v>0.1606399107</v>
      </c>
      <c r="S1150" s="13">
        <v>0</v>
      </c>
      <c r="T1150" s="13">
        <v>0.1103838099</v>
      </c>
      <c r="U1150" s="13">
        <v>0.0123269818</v>
      </c>
      <c r="V1150" s="13">
        <v>-0.0469343525</v>
      </c>
      <c r="W1150" s="13">
        <v>0</v>
      </c>
      <c r="X1150" s="13">
        <v>0</v>
      </c>
      <c r="Y1150" s="13">
        <v>0</v>
      </c>
      <c r="Z1150" s="13">
        <v>0.006486258</v>
      </c>
    </row>
    <row r="1151" s="2" customFormat="1" hidden="1" spans="1:26">
      <c r="A1151" s="11" t="s">
        <v>935</v>
      </c>
      <c r="B1151" s="11" t="s">
        <v>937</v>
      </c>
      <c r="C1151" s="14" t="s">
        <v>976</v>
      </c>
      <c r="D1151" s="14" t="s">
        <v>938</v>
      </c>
      <c r="E1151" s="14" t="s">
        <v>939</v>
      </c>
      <c r="F1151" s="3" t="s">
        <v>943</v>
      </c>
      <c r="G1151" s="4">
        <v>54</v>
      </c>
      <c r="H1151" s="12">
        <v>7995.848</v>
      </c>
      <c r="I1151" s="12">
        <v>1940.009793</v>
      </c>
      <c r="J1151" s="13">
        <v>0.2426271476</v>
      </c>
      <c r="K1151" s="13">
        <v>0.2426271476</v>
      </c>
      <c r="L1151" s="12">
        <v>21.7751851851</v>
      </c>
      <c r="M1151" s="13">
        <v>0.138841056</v>
      </c>
      <c r="N1151" s="13">
        <v>0.037519928</v>
      </c>
      <c r="O1151" s="13">
        <v>0.2815131053</v>
      </c>
      <c r="P1151" s="13">
        <v>0.0351912642</v>
      </c>
      <c r="Q1151" s="13">
        <v>0.0146140645</v>
      </c>
      <c r="R1151" s="13">
        <v>0.1102675515</v>
      </c>
      <c r="S1151" s="13">
        <v>0</v>
      </c>
      <c r="T1151" s="13">
        <v>0.1135679417</v>
      </c>
      <c r="U1151" s="13">
        <v>0.0143179845</v>
      </c>
      <c r="V1151" s="13">
        <v>0</v>
      </c>
      <c r="W1151" s="13">
        <v>-0.0032659441</v>
      </c>
      <c r="X1151" s="13">
        <v>0.001930502</v>
      </c>
      <c r="Y1151" s="13">
        <v>0</v>
      </c>
      <c r="Z1151" s="13">
        <v>0.0128753983</v>
      </c>
    </row>
    <row r="1152" s="2" customFormat="1" spans="1:26">
      <c r="A1152" s="11" t="s">
        <v>935</v>
      </c>
      <c r="B1152" s="11" t="s">
        <v>937</v>
      </c>
      <c r="C1152" s="14" t="s">
        <v>976</v>
      </c>
      <c r="D1152" s="14" t="s">
        <v>938</v>
      </c>
      <c r="E1152" s="14" t="s">
        <v>939</v>
      </c>
      <c r="F1152" s="3" t="s">
        <v>944</v>
      </c>
      <c r="G1152" s="4">
        <v>99</v>
      </c>
      <c r="H1152" s="12">
        <v>14603.816</v>
      </c>
      <c r="I1152" s="12">
        <v>2616.279977</v>
      </c>
      <c r="J1152" s="13">
        <v>0.1791504341</v>
      </c>
      <c r="K1152" s="13">
        <v>0.1791504341</v>
      </c>
      <c r="L1152" s="12">
        <v>21.6931313131</v>
      </c>
      <c r="M1152" s="13">
        <v>0.1394773894</v>
      </c>
      <c r="N1152" s="13">
        <v>0.0426451736</v>
      </c>
      <c r="O1152" s="13">
        <v>0.279723601</v>
      </c>
      <c r="P1152" s="13">
        <v>0.058082901</v>
      </c>
      <c r="Q1152" s="13">
        <v>0.02134451</v>
      </c>
      <c r="R1152" s="13">
        <v>0.1716351889</v>
      </c>
      <c r="S1152" s="13">
        <v>0</v>
      </c>
      <c r="T1152" s="13">
        <v>0.1069090434</v>
      </c>
      <c r="U1152" s="13">
        <v>0.0143836054</v>
      </c>
      <c r="V1152" s="13">
        <v>-0.0083655395</v>
      </c>
      <c r="W1152" s="13">
        <v>-0.0073584873</v>
      </c>
      <c r="X1152" s="13">
        <v>0.0009673653</v>
      </c>
      <c r="Y1152" s="13">
        <v>0</v>
      </c>
      <c r="Z1152" s="13">
        <v>0.0014048142</v>
      </c>
    </row>
    <row r="1153" s="2" customFormat="1" hidden="1" spans="1:26">
      <c r="A1153" s="11" t="s">
        <v>935</v>
      </c>
      <c r="B1153" s="11" t="s">
        <v>937</v>
      </c>
      <c r="C1153" s="14" t="s">
        <v>976</v>
      </c>
      <c r="D1153" s="14" t="s">
        <v>938</v>
      </c>
      <c r="E1153" s="14" t="s">
        <v>939</v>
      </c>
      <c r="F1153" s="3" t="s">
        <v>945</v>
      </c>
      <c r="G1153" s="4">
        <v>3</v>
      </c>
      <c r="H1153" s="12">
        <v>448.596</v>
      </c>
      <c r="I1153" s="12">
        <v>94.04538</v>
      </c>
      <c r="J1153" s="13">
        <v>0.209643822</v>
      </c>
      <c r="K1153" s="13">
        <v>0.209643822</v>
      </c>
      <c r="L1153" s="12">
        <v>21.99</v>
      </c>
      <c r="M1153" s="13">
        <v>0.1375944212</v>
      </c>
      <c r="N1153" s="13">
        <v>0.0420694567</v>
      </c>
      <c r="O1153" s="13">
        <v>0.2787630741</v>
      </c>
      <c r="P1153" s="13">
        <v>0</v>
      </c>
      <c r="Q1153" s="13">
        <v>0</v>
      </c>
      <c r="R1153" s="13">
        <v>0.194767742</v>
      </c>
      <c r="S1153" s="13">
        <v>0</v>
      </c>
      <c r="T1153" s="13">
        <v>0.1200545702</v>
      </c>
      <c r="U1153" s="13">
        <v>0.0141894243</v>
      </c>
      <c r="V1153" s="13">
        <v>0</v>
      </c>
      <c r="W1153" s="13">
        <v>0</v>
      </c>
      <c r="X1153" s="13">
        <v>0.0029174892</v>
      </c>
      <c r="Y1153" s="13">
        <v>0</v>
      </c>
      <c r="Z1153" s="13">
        <v>0</v>
      </c>
    </row>
    <row r="1154" s="2" customFormat="1" hidden="1" spans="1:26">
      <c r="A1154" s="11" t="s">
        <v>935</v>
      </c>
      <c r="B1154" s="11" t="s">
        <v>937</v>
      </c>
      <c r="C1154" s="14" t="s">
        <v>977</v>
      </c>
      <c r="D1154" s="14" t="s">
        <v>938</v>
      </c>
      <c r="E1154" s="14" t="s">
        <v>939</v>
      </c>
      <c r="F1154" s="3" t="s">
        <v>936</v>
      </c>
      <c r="G1154" s="4">
        <v>196</v>
      </c>
      <c r="H1154" s="12">
        <v>30415.992</v>
      </c>
      <c r="I1154" s="12">
        <v>2062.696836</v>
      </c>
      <c r="J1154" s="13">
        <v>0.0678161947</v>
      </c>
      <c r="K1154" s="13">
        <v>0.0678161947</v>
      </c>
      <c r="L1154" s="12">
        <v>22.8211224489</v>
      </c>
      <c r="M1154" s="13">
        <v>0.1278195834</v>
      </c>
      <c r="N1154" s="13">
        <v>0.0361451881</v>
      </c>
      <c r="O1154" s="13">
        <v>0.2898675144</v>
      </c>
      <c r="P1154" s="13">
        <v>0.0357550067</v>
      </c>
      <c r="Q1154" s="13">
        <v>0.0239721131</v>
      </c>
      <c r="R1154" s="13">
        <v>0.3127887168</v>
      </c>
      <c r="S1154" s="13">
        <v>0</v>
      </c>
      <c r="T1154" s="13">
        <v>0.1132230702</v>
      </c>
      <c r="U1154" s="13">
        <v>0.0131813966</v>
      </c>
      <c r="V1154" s="13">
        <v>-0.0207503342</v>
      </c>
      <c r="W1154" s="13">
        <v>-0.0025767315</v>
      </c>
      <c r="X1154" s="13">
        <v>0.0005074961</v>
      </c>
      <c r="Y1154" s="13">
        <v>0</v>
      </c>
      <c r="Z1154" s="13">
        <v>0.0022507851</v>
      </c>
    </row>
    <row r="1155" s="2" customFormat="1" hidden="1" spans="1:26">
      <c r="A1155" s="11" t="s">
        <v>935</v>
      </c>
      <c r="B1155" s="11" t="s">
        <v>937</v>
      </c>
      <c r="C1155" s="14" t="s">
        <v>977</v>
      </c>
      <c r="D1155" s="14" t="s">
        <v>938</v>
      </c>
      <c r="E1155" s="14" t="s">
        <v>939</v>
      </c>
      <c r="F1155" s="3" t="s">
        <v>969</v>
      </c>
      <c r="G1155" s="4">
        <v>0</v>
      </c>
      <c r="H1155" s="12">
        <v>0</v>
      </c>
      <c r="I1155" s="12">
        <v>-52.156</v>
      </c>
      <c r="J1155" s="13"/>
      <c r="K1155" s="13"/>
      <c r="L1155" s="12"/>
      <c r="M1155" s="13"/>
      <c r="N1155" s="13"/>
      <c r="O1155" s="13"/>
      <c r="P1155" s="13"/>
      <c r="Q1155" s="13"/>
      <c r="R1155" s="13"/>
      <c r="S1155" s="13"/>
      <c r="T1155" s="13"/>
      <c r="U1155" s="13"/>
      <c r="V1155" s="13"/>
      <c r="W1155" s="13"/>
      <c r="X1155" s="13"/>
      <c r="Y1155" s="13"/>
      <c r="Z1155" s="13"/>
    </row>
    <row r="1156" s="2" customFormat="1" hidden="1" spans="1:26">
      <c r="A1156" s="11" t="s">
        <v>935</v>
      </c>
      <c r="B1156" s="11" t="s">
        <v>937</v>
      </c>
      <c r="C1156" s="14" t="s">
        <v>977</v>
      </c>
      <c r="D1156" s="14" t="s">
        <v>938</v>
      </c>
      <c r="E1156" s="14" t="s">
        <v>939</v>
      </c>
      <c r="F1156" s="3" t="s">
        <v>960</v>
      </c>
      <c r="G1156" s="4">
        <v>26</v>
      </c>
      <c r="H1156" s="12">
        <v>3683.832</v>
      </c>
      <c r="I1156" s="12">
        <v>510.613822</v>
      </c>
      <c r="J1156" s="13">
        <v>0.1386094213</v>
      </c>
      <c r="K1156" s="13">
        <v>0.1386094213</v>
      </c>
      <c r="L1156" s="12">
        <v>20.8361538461</v>
      </c>
      <c r="M1156" s="13">
        <v>0.1425864159</v>
      </c>
      <c r="N1156" s="13">
        <v>0.0506989243</v>
      </c>
      <c r="O1156" s="13">
        <v>0.2817218591</v>
      </c>
      <c r="P1156" s="13">
        <v>0.0350537158</v>
      </c>
      <c r="Q1156" s="13">
        <v>0.025916308</v>
      </c>
      <c r="R1156" s="13">
        <v>0.2192290646</v>
      </c>
      <c r="S1156" s="13">
        <v>0</v>
      </c>
      <c r="T1156" s="13">
        <v>0.1114556798</v>
      </c>
      <c r="U1156" s="13">
        <v>0.014704228</v>
      </c>
      <c r="V1156" s="13">
        <v>-0.0204470779</v>
      </c>
      <c r="W1156" s="13">
        <v>0</v>
      </c>
      <c r="X1156" s="13">
        <v>0</v>
      </c>
      <c r="Y1156" s="13">
        <v>0</v>
      </c>
      <c r="Z1156" s="13">
        <v>0.0004714604</v>
      </c>
    </row>
    <row r="1157" s="2" customFormat="1" hidden="1" spans="1:26">
      <c r="A1157" s="11" t="s">
        <v>935</v>
      </c>
      <c r="B1157" s="11" t="s">
        <v>937</v>
      </c>
      <c r="C1157" s="14" t="s">
        <v>977</v>
      </c>
      <c r="D1157" s="14" t="s">
        <v>938</v>
      </c>
      <c r="E1157" s="14" t="s">
        <v>939</v>
      </c>
      <c r="F1157" s="3" t="s">
        <v>961</v>
      </c>
      <c r="G1157" s="4">
        <v>13</v>
      </c>
      <c r="H1157" s="12">
        <v>1937.116</v>
      </c>
      <c r="I1157" s="12">
        <v>601.481471</v>
      </c>
      <c r="J1157" s="13">
        <v>0.3105035893</v>
      </c>
      <c r="K1157" s="13">
        <v>0.3105035893</v>
      </c>
      <c r="L1157" s="12">
        <v>21.913076923</v>
      </c>
      <c r="M1157" s="13">
        <v>0.1355789746</v>
      </c>
      <c r="N1157" s="13">
        <v>0.0482073143</v>
      </c>
      <c r="O1157" s="13">
        <v>0.2678765752</v>
      </c>
      <c r="P1157" s="13">
        <v>0.0736827324</v>
      </c>
      <c r="Q1157" s="13">
        <v>0.0131222967</v>
      </c>
      <c r="R1157" s="13">
        <v>0.0373744003</v>
      </c>
      <c r="S1157" s="13">
        <v>0</v>
      </c>
      <c r="T1157" s="13">
        <v>0.112963808</v>
      </c>
      <c r="U1157" s="13">
        <v>0.0139815855</v>
      </c>
      <c r="V1157" s="13">
        <v>0</v>
      </c>
      <c r="W1157" s="13">
        <v>-0.0141374068</v>
      </c>
      <c r="X1157" s="13">
        <v>0</v>
      </c>
      <c r="Y1157" s="13">
        <v>0</v>
      </c>
      <c r="Z1157" s="13">
        <v>0.00084613</v>
      </c>
    </row>
    <row r="1158" s="2" customFormat="1" hidden="1" spans="1:26">
      <c r="A1158" s="11" t="s">
        <v>935</v>
      </c>
      <c r="B1158" s="11" t="s">
        <v>937</v>
      </c>
      <c r="C1158" s="14" t="s">
        <v>977</v>
      </c>
      <c r="D1158" s="14" t="s">
        <v>938</v>
      </c>
      <c r="E1158" s="14" t="s">
        <v>939</v>
      </c>
      <c r="F1158" s="3" t="s">
        <v>947</v>
      </c>
      <c r="G1158" s="4">
        <v>0</v>
      </c>
      <c r="H1158" s="12">
        <v>0</v>
      </c>
      <c r="I1158" s="12">
        <v>-40.15673</v>
      </c>
      <c r="J1158" s="13"/>
      <c r="K1158" s="13"/>
      <c r="L1158" s="12"/>
      <c r="M1158" s="13"/>
      <c r="N1158" s="13"/>
      <c r="O1158" s="13"/>
      <c r="P1158" s="13"/>
      <c r="Q1158" s="13"/>
      <c r="R1158" s="13"/>
      <c r="S1158" s="13"/>
      <c r="T1158" s="13"/>
      <c r="U1158" s="13"/>
      <c r="V1158" s="13"/>
      <c r="W1158" s="13"/>
      <c r="X1158" s="13"/>
      <c r="Y1158" s="13"/>
      <c r="Z1158" s="13"/>
    </row>
    <row r="1159" s="2" customFormat="1" hidden="1" spans="1:26">
      <c r="A1159" s="11" t="s">
        <v>935</v>
      </c>
      <c r="B1159" s="11" t="s">
        <v>937</v>
      </c>
      <c r="C1159" s="14" t="s">
        <v>977</v>
      </c>
      <c r="D1159" s="14" t="s">
        <v>938</v>
      </c>
      <c r="E1159" s="14" t="s">
        <v>939</v>
      </c>
      <c r="F1159" s="3" t="s">
        <v>956</v>
      </c>
      <c r="G1159" s="4">
        <v>17</v>
      </c>
      <c r="H1159" s="12">
        <v>2773.244</v>
      </c>
      <c r="I1159" s="12">
        <v>-14.494568</v>
      </c>
      <c r="J1159" s="13">
        <v>-0.005226575</v>
      </c>
      <c r="K1159" s="13">
        <v>-0.005226575</v>
      </c>
      <c r="L1159" s="12">
        <v>23.99</v>
      </c>
      <c r="M1159" s="13">
        <v>0.1225946779</v>
      </c>
      <c r="N1159" s="13">
        <v>0.0440337885</v>
      </c>
      <c r="O1159" s="13">
        <v>0.2962754088</v>
      </c>
      <c r="P1159" s="13">
        <v>0</v>
      </c>
      <c r="Q1159" s="13">
        <v>0.0549896157</v>
      </c>
      <c r="R1159" s="13">
        <v>0.3397974895</v>
      </c>
      <c r="S1159" s="13">
        <v>0</v>
      </c>
      <c r="T1159" s="13">
        <v>0.1200500208</v>
      </c>
      <c r="U1159" s="13">
        <v>0.0126425777</v>
      </c>
      <c r="V1159" s="13">
        <v>0.014295172</v>
      </c>
      <c r="W1159" s="13">
        <v>0</v>
      </c>
      <c r="X1159" s="13">
        <v>0</v>
      </c>
      <c r="Y1159" s="13">
        <v>0</v>
      </c>
      <c r="Z1159" s="13">
        <v>0.0005478237</v>
      </c>
    </row>
    <row r="1160" s="2" customFormat="1" hidden="1" spans="1:26">
      <c r="A1160" s="11" t="s">
        <v>935</v>
      </c>
      <c r="B1160" s="11" t="s">
        <v>937</v>
      </c>
      <c r="C1160" s="14" t="s">
        <v>977</v>
      </c>
      <c r="D1160" s="14" t="s">
        <v>938</v>
      </c>
      <c r="E1160" s="14" t="s">
        <v>939</v>
      </c>
      <c r="F1160" s="3" t="s">
        <v>957</v>
      </c>
      <c r="G1160" s="4">
        <v>29</v>
      </c>
      <c r="H1160" s="12">
        <v>4660.584</v>
      </c>
      <c r="I1160" s="12">
        <v>632.038456</v>
      </c>
      <c r="J1160" s="13">
        <v>0.1356135746</v>
      </c>
      <c r="K1160" s="13">
        <v>0.1356135746</v>
      </c>
      <c r="L1160" s="12">
        <v>23.6337931034</v>
      </c>
      <c r="M1160" s="13">
        <v>0.1201512986</v>
      </c>
      <c r="N1160" s="13">
        <v>0.0330124894</v>
      </c>
      <c r="O1160" s="13">
        <v>0.2880154075</v>
      </c>
      <c r="P1160" s="13">
        <v>0.0350024803</v>
      </c>
      <c r="Q1160" s="13">
        <v>0.0315483671</v>
      </c>
      <c r="R1160" s="13">
        <v>0.2265833901</v>
      </c>
      <c r="S1160" s="13">
        <v>0</v>
      </c>
      <c r="T1160" s="13">
        <v>0.1164025795</v>
      </c>
      <c r="U1160" s="13">
        <v>0.0123906042</v>
      </c>
      <c r="V1160" s="13">
        <v>0.0008024745</v>
      </c>
      <c r="W1160" s="13">
        <v>0</v>
      </c>
      <c r="X1160" s="13">
        <v>0</v>
      </c>
      <c r="Y1160" s="13">
        <v>0</v>
      </c>
      <c r="Z1160" s="13">
        <v>0.0004773337</v>
      </c>
    </row>
    <row r="1161" s="2" customFormat="1" hidden="1" spans="1:26">
      <c r="A1161" s="11" t="s">
        <v>935</v>
      </c>
      <c r="B1161" s="11" t="s">
        <v>937</v>
      </c>
      <c r="C1161" s="14" t="s">
        <v>977</v>
      </c>
      <c r="D1161" s="14" t="s">
        <v>938</v>
      </c>
      <c r="E1161" s="14" t="s">
        <v>939</v>
      </c>
      <c r="F1161" s="3" t="s">
        <v>940</v>
      </c>
      <c r="G1161" s="4">
        <v>31</v>
      </c>
      <c r="H1161" s="12">
        <v>4903.888</v>
      </c>
      <c r="I1161" s="12">
        <v>390.227179</v>
      </c>
      <c r="J1161" s="13">
        <v>0.0795750594</v>
      </c>
      <c r="K1161" s="13">
        <v>0.0795750594</v>
      </c>
      <c r="L1161" s="12">
        <v>23.2632258064</v>
      </c>
      <c r="M1161" s="13">
        <v>0.122346483</v>
      </c>
      <c r="N1161" s="13">
        <v>0.0336156331</v>
      </c>
      <c r="O1161" s="13">
        <v>0.2932774973</v>
      </c>
      <c r="P1161" s="13">
        <v>0</v>
      </c>
      <c r="Q1161" s="13">
        <v>0.021944357</v>
      </c>
      <c r="R1161" s="13">
        <v>0.3280391022</v>
      </c>
      <c r="S1161" s="13">
        <v>0</v>
      </c>
      <c r="T1161" s="13">
        <v>0.1126518387</v>
      </c>
      <c r="U1161" s="13">
        <v>0.0126169826</v>
      </c>
      <c r="V1161" s="13">
        <v>0.0007903932</v>
      </c>
      <c r="W1161" s="13">
        <v>-0.0051987372</v>
      </c>
      <c r="X1161" s="13">
        <v>0</v>
      </c>
      <c r="Y1161" s="13">
        <v>0</v>
      </c>
      <c r="Z1161" s="13">
        <v>0.0003413903</v>
      </c>
    </row>
    <row r="1162" s="2" customFormat="1" hidden="1" spans="1:26">
      <c r="A1162" s="11" t="s">
        <v>935</v>
      </c>
      <c r="B1162" s="11" t="s">
        <v>937</v>
      </c>
      <c r="C1162" s="14" t="s">
        <v>977</v>
      </c>
      <c r="D1162" s="14" t="s">
        <v>938</v>
      </c>
      <c r="E1162" s="14" t="s">
        <v>939</v>
      </c>
      <c r="F1162" s="3" t="s">
        <v>941</v>
      </c>
      <c r="G1162" s="4">
        <v>29</v>
      </c>
      <c r="H1162" s="12">
        <v>4687.308</v>
      </c>
      <c r="I1162" s="12">
        <v>663.785898</v>
      </c>
      <c r="J1162" s="13">
        <v>0.1416134587</v>
      </c>
      <c r="K1162" s="13">
        <v>0.1416134587</v>
      </c>
      <c r="L1162" s="12">
        <v>23.7693103448</v>
      </c>
      <c r="M1162" s="13">
        <v>0.1237329262</v>
      </c>
      <c r="N1162" s="13">
        <v>0.033996569</v>
      </c>
      <c r="O1162" s="13">
        <v>0.3034918976</v>
      </c>
      <c r="P1162" s="13">
        <v>0</v>
      </c>
      <c r="Q1162" s="13">
        <v>0.0132851924</v>
      </c>
      <c r="R1162" s="13">
        <v>0.2457636562</v>
      </c>
      <c r="S1162" s="13">
        <v>0</v>
      </c>
      <c r="T1162" s="13">
        <v>0.1200185692</v>
      </c>
      <c r="U1162" s="13">
        <v>0.0127599596</v>
      </c>
      <c r="V1162" s="13">
        <v>0</v>
      </c>
      <c r="W1162" s="13">
        <v>0</v>
      </c>
      <c r="X1162" s="13">
        <v>0</v>
      </c>
      <c r="Y1162" s="13">
        <v>0</v>
      </c>
      <c r="Z1162" s="13">
        <v>0.0053377706</v>
      </c>
    </row>
    <row r="1163" s="2" customFormat="1" hidden="1" spans="1:26">
      <c r="A1163" s="11" t="s">
        <v>935</v>
      </c>
      <c r="B1163" s="11" t="s">
        <v>937</v>
      </c>
      <c r="C1163" s="14" t="s">
        <v>977</v>
      </c>
      <c r="D1163" s="14" t="s">
        <v>938</v>
      </c>
      <c r="E1163" s="14" t="s">
        <v>939</v>
      </c>
      <c r="F1163" s="3" t="s">
        <v>942</v>
      </c>
      <c r="G1163" s="4">
        <v>5</v>
      </c>
      <c r="H1163" s="12">
        <v>846.804</v>
      </c>
      <c r="I1163" s="12">
        <v>-280.940033</v>
      </c>
      <c r="J1163" s="13">
        <v>-0.3317651227</v>
      </c>
      <c r="K1163" s="13">
        <v>-0.3317651227</v>
      </c>
      <c r="L1163" s="12">
        <v>24.906</v>
      </c>
      <c r="M1163" s="13">
        <v>0.1180858557</v>
      </c>
      <c r="N1163" s="13">
        <v>0.0324449931</v>
      </c>
      <c r="O1163" s="13">
        <v>0.2931020637</v>
      </c>
      <c r="P1163" s="13">
        <v>0.2087047297</v>
      </c>
      <c r="Q1163" s="13">
        <v>0.034132967</v>
      </c>
      <c r="R1163" s="13">
        <v>0.6410297967</v>
      </c>
      <c r="S1163" s="13">
        <v>0</v>
      </c>
      <c r="T1163" s="13">
        <v>0.0999759094</v>
      </c>
      <c r="U1163" s="13">
        <v>0.0121776054</v>
      </c>
      <c r="V1163" s="13">
        <v>-0.0842688508</v>
      </c>
      <c r="W1163" s="13">
        <v>-0.0301061697</v>
      </c>
      <c r="X1163" s="13">
        <v>0</v>
      </c>
      <c r="Y1163" s="13">
        <v>0</v>
      </c>
      <c r="Z1163" s="13">
        <v>0.0064862223</v>
      </c>
    </row>
    <row r="1164" s="2" customFormat="1" hidden="1" spans="1:26">
      <c r="A1164" s="11" t="s">
        <v>935</v>
      </c>
      <c r="B1164" s="11" t="s">
        <v>937</v>
      </c>
      <c r="C1164" s="14" t="s">
        <v>977</v>
      </c>
      <c r="D1164" s="14" t="s">
        <v>938</v>
      </c>
      <c r="E1164" s="14" t="s">
        <v>939</v>
      </c>
      <c r="F1164" s="3" t="s">
        <v>943</v>
      </c>
      <c r="G1164" s="4">
        <v>12</v>
      </c>
      <c r="H1164" s="12">
        <v>1730.328</v>
      </c>
      <c r="I1164" s="12">
        <v>-389.345191</v>
      </c>
      <c r="J1164" s="13">
        <v>-0.2250123623</v>
      </c>
      <c r="K1164" s="13">
        <v>-0.2250123623</v>
      </c>
      <c r="L1164" s="12">
        <v>21.205</v>
      </c>
      <c r="M1164" s="13">
        <v>0.1386958888</v>
      </c>
      <c r="N1164" s="13">
        <v>0.0381077576</v>
      </c>
      <c r="O1164" s="13">
        <v>0.3006366423</v>
      </c>
      <c r="P1164" s="13">
        <v>0.1021378605</v>
      </c>
      <c r="Q1164" s="13">
        <v>0.0050384181</v>
      </c>
      <c r="R1164" s="13">
        <v>0.5039526227</v>
      </c>
      <c r="S1164" s="13">
        <v>0</v>
      </c>
      <c r="T1164" s="13">
        <v>0.1031203332</v>
      </c>
      <c r="U1164" s="13">
        <v>0.0143030153</v>
      </c>
      <c r="V1164" s="13">
        <v>0</v>
      </c>
      <c r="W1164" s="13">
        <v>0</v>
      </c>
      <c r="X1164" s="13">
        <v>0.0061443818</v>
      </c>
      <c r="Y1164" s="13">
        <v>0</v>
      </c>
      <c r="Z1164" s="13">
        <v>0.0128754415</v>
      </c>
    </row>
    <row r="1165" s="2" customFormat="1" spans="1:26">
      <c r="A1165" s="11" t="s">
        <v>935</v>
      </c>
      <c r="B1165" s="11" t="s">
        <v>937</v>
      </c>
      <c r="C1165" s="14" t="s">
        <v>977</v>
      </c>
      <c r="D1165" s="14" t="s">
        <v>938</v>
      </c>
      <c r="E1165" s="14" t="s">
        <v>939</v>
      </c>
      <c r="F1165" s="3" t="s">
        <v>944</v>
      </c>
      <c r="G1165" s="4">
        <v>32</v>
      </c>
      <c r="H1165" s="12">
        <v>4893.824</v>
      </c>
      <c r="I1165" s="12">
        <v>-53.335243</v>
      </c>
      <c r="J1165" s="13">
        <v>-0.01089848</v>
      </c>
      <c r="K1165" s="13">
        <v>-0.01089848</v>
      </c>
      <c r="L1165" s="12">
        <v>22.49</v>
      </c>
      <c r="M1165" s="13">
        <v>0.1307712905</v>
      </c>
      <c r="N1165" s="13">
        <v>0.0241659103</v>
      </c>
      <c r="O1165" s="13">
        <v>0.2820975989</v>
      </c>
      <c r="P1165" s="13">
        <v>0.0611104935</v>
      </c>
      <c r="Q1165" s="13">
        <v>0.0205753604</v>
      </c>
      <c r="R1165" s="13">
        <v>0.4857875256</v>
      </c>
      <c r="S1165" s="13">
        <v>0</v>
      </c>
      <c r="T1165" s="13">
        <v>0.1072698977</v>
      </c>
      <c r="U1165" s="13">
        <v>0.013485791</v>
      </c>
      <c r="V1165" s="13">
        <v>-0.1167518897</v>
      </c>
      <c r="W1165" s="13">
        <v>0</v>
      </c>
      <c r="X1165" s="13">
        <v>0.0009816869</v>
      </c>
      <c r="Y1165" s="13">
        <v>0</v>
      </c>
      <c r="Z1165" s="13">
        <v>0.0014048145</v>
      </c>
    </row>
    <row r="1166" s="2" customFormat="1" hidden="1" spans="1:26">
      <c r="A1166" s="11" t="s">
        <v>935</v>
      </c>
      <c r="B1166" s="11" t="s">
        <v>937</v>
      </c>
      <c r="C1166" s="14" t="s">
        <v>977</v>
      </c>
      <c r="D1166" s="14" t="s">
        <v>938</v>
      </c>
      <c r="E1166" s="14" t="s">
        <v>939</v>
      </c>
      <c r="F1166" s="3" t="s">
        <v>945</v>
      </c>
      <c r="G1166" s="4">
        <v>2</v>
      </c>
      <c r="H1166" s="12">
        <v>299.064</v>
      </c>
      <c r="I1166" s="12">
        <v>94.977775</v>
      </c>
      <c r="J1166" s="13">
        <v>0.3175834436</v>
      </c>
      <c r="K1166" s="13">
        <v>0.3175834436</v>
      </c>
      <c r="L1166" s="12">
        <v>21.99</v>
      </c>
      <c r="M1166" s="13">
        <v>0.1337447168</v>
      </c>
      <c r="N1166" s="13">
        <v>0.0247153853</v>
      </c>
      <c r="O1166" s="13">
        <v>0.2883128694</v>
      </c>
      <c r="P1166" s="13">
        <v>0</v>
      </c>
      <c r="Q1166" s="13">
        <v>0</v>
      </c>
      <c r="R1166" s="13">
        <v>0.1017965886</v>
      </c>
      <c r="S1166" s="13">
        <v>0</v>
      </c>
      <c r="T1166" s="13">
        <v>0.1200545702</v>
      </c>
      <c r="U1166" s="13">
        <v>0.0137924257</v>
      </c>
      <c r="V1166" s="13">
        <v>0</v>
      </c>
      <c r="W1166" s="13">
        <v>0</v>
      </c>
      <c r="X1166" s="13">
        <v>0</v>
      </c>
      <c r="Y1166" s="13">
        <v>0</v>
      </c>
      <c r="Z1166" s="13">
        <v>0</v>
      </c>
    </row>
    <row r="1167" s="2" customFormat="1" hidden="1" spans="1:26">
      <c r="A1167" s="11" t="s">
        <v>935</v>
      </c>
      <c r="B1167" s="11" t="s">
        <v>937</v>
      </c>
      <c r="C1167" s="14" t="s">
        <v>978</v>
      </c>
      <c r="D1167" s="14" t="s">
        <v>938</v>
      </c>
      <c r="E1167" s="14" t="s">
        <v>939</v>
      </c>
      <c r="F1167" s="3" t="s">
        <v>936</v>
      </c>
      <c r="G1167" s="4">
        <v>190</v>
      </c>
      <c r="H1167" s="12">
        <v>29504.248</v>
      </c>
      <c r="I1167" s="12">
        <v>4358.123908</v>
      </c>
      <c r="J1167" s="13">
        <v>0.1477117433</v>
      </c>
      <c r="K1167" s="13">
        <v>0.1477117433</v>
      </c>
      <c r="L1167" s="12">
        <v>22.8361052631</v>
      </c>
      <c r="M1167" s="13">
        <v>0.1286867284</v>
      </c>
      <c r="N1167" s="13">
        <v>0.0335315973</v>
      </c>
      <c r="O1167" s="13">
        <v>0.3120497089</v>
      </c>
      <c r="P1167" s="13">
        <v>0.0115191548</v>
      </c>
      <c r="Q1167" s="13">
        <v>0.0355045535</v>
      </c>
      <c r="R1167" s="13">
        <v>0.2138548617</v>
      </c>
      <c r="S1167" s="13">
        <v>0</v>
      </c>
      <c r="T1167" s="13">
        <v>0.1139930765</v>
      </c>
      <c r="U1167" s="13">
        <v>0.0132708191</v>
      </c>
      <c r="V1167" s="13">
        <v>-0.0133106392</v>
      </c>
      <c r="W1167" s="13">
        <v>-0.0017083357</v>
      </c>
      <c r="X1167" s="13">
        <v>0</v>
      </c>
      <c r="Y1167" s="13">
        <v>0</v>
      </c>
      <c r="Z1167" s="13">
        <v>0.0048967311</v>
      </c>
    </row>
    <row r="1168" s="2" customFormat="1" hidden="1" spans="1:26">
      <c r="A1168" s="11" t="s">
        <v>935</v>
      </c>
      <c r="B1168" s="11" t="s">
        <v>937</v>
      </c>
      <c r="C1168" s="14" t="s">
        <v>978</v>
      </c>
      <c r="D1168" s="14" t="s">
        <v>938</v>
      </c>
      <c r="E1168" s="14" t="s">
        <v>939</v>
      </c>
      <c r="F1168" s="3" t="s">
        <v>953</v>
      </c>
      <c r="G1168" s="4">
        <v>1</v>
      </c>
      <c r="H1168" s="12">
        <v>149.532</v>
      </c>
      <c r="I1168" s="12">
        <v>-444.274317</v>
      </c>
      <c r="J1168" s="13">
        <v>-2.9710986076</v>
      </c>
      <c r="K1168" s="13">
        <v>-2.9710986076</v>
      </c>
      <c r="L1168" s="12">
        <v>21.99</v>
      </c>
      <c r="M1168" s="13">
        <v>0.1336381844</v>
      </c>
      <c r="N1168" s="13">
        <v>0.0351143166</v>
      </c>
      <c r="O1168" s="13">
        <v>0.3465211459</v>
      </c>
      <c r="P1168" s="13">
        <v>0</v>
      </c>
      <c r="Q1168" s="13">
        <v>0.0044323355</v>
      </c>
      <c r="R1168" s="13">
        <v>3.3144594334</v>
      </c>
      <c r="S1168" s="13">
        <v>0</v>
      </c>
      <c r="T1168" s="13">
        <v>0.1200545702</v>
      </c>
      <c r="U1168" s="13">
        <v>0.013781438</v>
      </c>
      <c r="V1168" s="13">
        <v>0</v>
      </c>
      <c r="W1168" s="13">
        <v>0</v>
      </c>
      <c r="X1168" s="13">
        <v>0</v>
      </c>
      <c r="Y1168" s="13">
        <v>0</v>
      </c>
      <c r="Z1168" s="13">
        <v>0.0030971832</v>
      </c>
    </row>
    <row r="1169" s="2" customFormat="1" hidden="1" spans="1:26">
      <c r="A1169" s="11" t="s">
        <v>935</v>
      </c>
      <c r="B1169" s="11" t="s">
        <v>937</v>
      </c>
      <c r="C1169" s="14" t="s">
        <v>978</v>
      </c>
      <c r="D1169" s="14" t="s">
        <v>938</v>
      </c>
      <c r="E1169" s="14" t="s">
        <v>939</v>
      </c>
      <c r="F1169" s="3" t="s">
        <v>956</v>
      </c>
      <c r="G1169" s="4">
        <v>22</v>
      </c>
      <c r="H1169" s="12">
        <v>3289.704</v>
      </c>
      <c r="I1169" s="12">
        <v>235.475718</v>
      </c>
      <c r="J1169" s="13">
        <v>0.0715796065</v>
      </c>
      <c r="K1169" s="13">
        <v>0.0715796065</v>
      </c>
      <c r="L1169" s="12">
        <v>21.99</v>
      </c>
      <c r="M1169" s="13">
        <v>0.1336381844</v>
      </c>
      <c r="N1169" s="13">
        <v>0.0329312187</v>
      </c>
      <c r="O1169" s="13">
        <v>0.3359378229</v>
      </c>
      <c r="P1169" s="13">
        <v>0</v>
      </c>
      <c r="Q1169" s="13">
        <v>0.1119191267</v>
      </c>
      <c r="R1169" s="13">
        <v>0.1863074699</v>
      </c>
      <c r="S1169" s="13">
        <v>0</v>
      </c>
      <c r="T1169" s="13">
        <v>0.1133573111</v>
      </c>
      <c r="U1169" s="13">
        <v>0.013781438</v>
      </c>
      <c r="V1169" s="13">
        <v>0</v>
      </c>
      <c r="W1169" s="13">
        <v>0</v>
      </c>
      <c r="X1169" s="13">
        <v>0</v>
      </c>
      <c r="Y1169" s="13">
        <v>0</v>
      </c>
      <c r="Z1169" s="13">
        <v>0.0005478213</v>
      </c>
    </row>
    <row r="1170" s="2" customFormat="1" hidden="1" spans="1:26">
      <c r="A1170" s="11" t="s">
        <v>935</v>
      </c>
      <c r="B1170" s="11" t="s">
        <v>937</v>
      </c>
      <c r="C1170" s="14" t="s">
        <v>978</v>
      </c>
      <c r="D1170" s="14" t="s">
        <v>938</v>
      </c>
      <c r="E1170" s="14" t="s">
        <v>939</v>
      </c>
      <c r="F1170" s="3" t="s">
        <v>957</v>
      </c>
      <c r="G1170" s="4">
        <v>12</v>
      </c>
      <c r="H1170" s="12">
        <v>2090.592</v>
      </c>
      <c r="I1170" s="12">
        <v>573.808579</v>
      </c>
      <c r="J1170" s="13">
        <v>0.2744718142</v>
      </c>
      <c r="K1170" s="13">
        <v>0.2744718142</v>
      </c>
      <c r="L1170" s="12">
        <v>25.62</v>
      </c>
      <c r="M1170" s="13">
        <v>0.1147035002</v>
      </c>
      <c r="N1170" s="13">
        <v>0.02826532</v>
      </c>
      <c r="O1170" s="13">
        <v>0.269320843</v>
      </c>
      <c r="P1170" s="13">
        <v>0</v>
      </c>
      <c r="Q1170" s="13">
        <v>0.0384242759</v>
      </c>
      <c r="R1170" s="13">
        <v>0.1656436899</v>
      </c>
      <c r="S1170" s="13">
        <v>0</v>
      </c>
      <c r="T1170" s="13">
        <v>0.1200559458</v>
      </c>
      <c r="U1170" s="13">
        <v>0.0118287987</v>
      </c>
      <c r="V1170" s="13">
        <v>-0.023191517</v>
      </c>
      <c r="W1170" s="13">
        <v>0</v>
      </c>
      <c r="X1170" s="13">
        <v>0</v>
      </c>
      <c r="Y1170" s="13">
        <v>0</v>
      </c>
      <c r="Z1170" s="13">
        <v>0.0004773289</v>
      </c>
    </row>
    <row r="1171" s="2" customFormat="1" hidden="1" spans="1:26">
      <c r="A1171" s="11" t="s">
        <v>935</v>
      </c>
      <c r="B1171" s="11" t="s">
        <v>937</v>
      </c>
      <c r="C1171" s="14" t="s">
        <v>978</v>
      </c>
      <c r="D1171" s="14" t="s">
        <v>938</v>
      </c>
      <c r="E1171" s="14" t="s">
        <v>939</v>
      </c>
      <c r="F1171" s="3" t="s">
        <v>940</v>
      </c>
      <c r="G1171" s="4">
        <v>12</v>
      </c>
      <c r="H1171" s="12">
        <v>2120.784</v>
      </c>
      <c r="I1171" s="12">
        <v>203.80023</v>
      </c>
      <c r="J1171" s="13">
        <v>0.0960966463</v>
      </c>
      <c r="K1171" s="13">
        <v>0.0960966463</v>
      </c>
      <c r="L1171" s="12">
        <v>25.99</v>
      </c>
      <c r="M1171" s="13">
        <v>0.1130705531</v>
      </c>
      <c r="N1171" s="13">
        <v>0.027862928</v>
      </c>
      <c r="O1171" s="13">
        <v>0.2654867256</v>
      </c>
      <c r="P1171" s="13">
        <v>0.0833333333</v>
      </c>
      <c r="Q1171" s="13">
        <v>0.028128774</v>
      </c>
      <c r="R1171" s="13">
        <v>0.2928112834</v>
      </c>
      <c r="S1171" s="13">
        <v>0</v>
      </c>
      <c r="T1171" s="13">
        <v>0.0929524175</v>
      </c>
      <c r="U1171" s="13">
        <v>0.011660401</v>
      </c>
      <c r="V1171" s="13">
        <v>0</v>
      </c>
      <c r="W1171" s="13">
        <v>-0.0117444567</v>
      </c>
      <c r="X1171" s="13">
        <v>0</v>
      </c>
      <c r="Y1171" s="13">
        <v>0</v>
      </c>
      <c r="Z1171" s="13">
        <v>0.000341394</v>
      </c>
    </row>
    <row r="1172" s="2" customFormat="1" hidden="1" spans="1:26">
      <c r="A1172" s="11" t="s">
        <v>935</v>
      </c>
      <c r="B1172" s="11" t="s">
        <v>937</v>
      </c>
      <c r="C1172" s="14" t="s">
        <v>978</v>
      </c>
      <c r="D1172" s="14" t="s">
        <v>938</v>
      </c>
      <c r="E1172" s="14" t="s">
        <v>939</v>
      </c>
      <c r="F1172" s="3" t="s">
        <v>941</v>
      </c>
      <c r="G1172" s="4">
        <v>50</v>
      </c>
      <c r="H1172" s="12">
        <v>7857.4</v>
      </c>
      <c r="I1172" s="12">
        <v>1285.994242</v>
      </c>
      <c r="J1172" s="13">
        <v>0.163666638</v>
      </c>
      <c r="K1172" s="13">
        <v>0.163666638</v>
      </c>
      <c r="L1172" s="12">
        <v>23.11</v>
      </c>
      <c r="M1172" s="13">
        <v>0.127161561</v>
      </c>
      <c r="N1172" s="13">
        <v>0.0313352444</v>
      </c>
      <c r="O1172" s="13">
        <v>0.305711813</v>
      </c>
      <c r="P1172" s="13">
        <v>0.020761575</v>
      </c>
      <c r="Q1172" s="13">
        <v>0.0153434939</v>
      </c>
      <c r="R1172" s="13">
        <v>0.2041282969</v>
      </c>
      <c r="S1172" s="13">
        <v>0</v>
      </c>
      <c r="T1172" s="13">
        <v>0.1134400692</v>
      </c>
      <c r="U1172" s="13">
        <v>0.0131135362</v>
      </c>
      <c r="V1172" s="13">
        <v>0</v>
      </c>
      <c r="W1172" s="13">
        <v>0</v>
      </c>
      <c r="X1172" s="13">
        <v>0</v>
      </c>
      <c r="Y1172" s="13">
        <v>0</v>
      </c>
      <c r="Z1172" s="13">
        <v>0.0053377717</v>
      </c>
    </row>
    <row r="1173" s="2" customFormat="1" hidden="1" spans="1:26">
      <c r="A1173" s="11" t="s">
        <v>935</v>
      </c>
      <c r="B1173" s="11" t="s">
        <v>937</v>
      </c>
      <c r="C1173" s="14" t="s">
        <v>978</v>
      </c>
      <c r="D1173" s="14" t="s">
        <v>938</v>
      </c>
      <c r="E1173" s="14" t="s">
        <v>939</v>
      </c>
      <c r="F1173" s="3" t="s">
        <v>942</v>
      </c>
      <c r="G1173" s="4">
        <v>33</v>
      </c>
      <c r="H1173" s="12">
        <v>5318.076</v>
      </c>
      <c r="I1173" s="12">
        <v>1197.089551</v>
      </c>
      <c r="J1173" s="13">
        <v>0.2250982406</v>
      </c>
      <c r="K1173" s="13">
        <v>0.2250982406</v>
      </c>
      <c r="L1173" s="12">
        <v>23.699090909</v>
      </c>
      <c r="M1173" s="13">
        <v>0.1240006921</v>
      </c>
      <c r="N1173" s="13">
        <v>0.0342065801</v>
      </c>
      <c r="O1173" s="13">
        <v>0.3016993363</v>
      </c>
      <c r="P1173" s="13">
        <v>0</v>
      </c>
      <c r="Q1173" s="13">
        <v>0.0315736945</v>
      </c>
      <c r="R1173" s="13">
        <v>0.2154542533</v>
      </c>
      <c r="S1173" s="13">
        <v>0</v>
      </c>
      <c r="T1173" s="13">
        <v>0.1200404055</v>
      </c>
      <c r="U1173" s="13">
        <v>0.0127875716</v>
      </c>
      <c r="V1173" s="13">
        <v>-0.0665528661</v>
      </c>
      <c r="W1173" s="13">
        <v>-0.0047941597</v>
      </c>
      <c r="X1173" s="13">
        <v>0</v>
      </c>
      <c r="Y1173" s="13">
        <v>0</v>
      </c>
      <c r="Z1173" s="13">
        <v>0.0064862514</v>
      </c>
    </row>
    <row r="1174" s="2" customFormat="1" hidden="1" spans="1:26">
      <c r="A1174" s="11" t="s">
        <v>935</v>
      </c>
      <c r="B1174" s="11" t="s">
        <v>937</v>
      </c>
      <c r="C1174" s="14" t="s">
        <v>978</v>
      </c>
      <c r="D1174" s="14" t="s">
        <v>938</v>
      </c>
      <c r="E1174" s="14" t="s">
        <v>939</v>
      </c>
      <c r="F1174" s="3" t="s">
        <v>943</v>
      </c>
      <c r="G1174" s="4">
        <v>32</v>
      </c>
      <c r="H1174" s="12">
        <v>4521.184</v>
      </c>
      <c r="I1174" s="12">
        <v>619.740807</v>
      </c>
      <c r="J1174" s="13">
        <v>0.1370748916</v>
      </c>
      <c r="K1174" s="13">
        <v>0.1370748916</v>
      </c>
      <c r="L1174" s="12">
        <v>20.7775</v>
      </c>
      <c r="M1174" s="13">
        <v>0.1414368271</v>
      </c>
      <c r="N1174" s="13">
        <v>0.039016477</v>
      </c>
      <c r="O1174" s="13">
        <v>0.3441222476</v>
      </c>
      <c r="P1174" s="13">
        <v>0</v>
      </c>
      <c r="Q1174" s="13">
        <v>0.0232164618</v>
      </c>
      <c r="R1174" s="13">
        <v>0.1708539619</v>
      </c>
      <c r="S1174" s="13">
        <v>0</v>
      </c>
      <c r="T1174" s="13">
        <v>0.1168180724</v>
      </c>
      <c r="U1174" s="13">
        <v>0.0145856731</v>
      </c>
      <c r="V1174" s="13">
        <v>0</v>
      </c>
      <c r="W1174" s="13">
        <v>0</v>
      </c>
      <c r="X1174" s="13">
        <v>0</v>
      </c>
      <c r="Y1174" s="13">
        <v>0</v>
      </c>
      <c r="Z1174" s="13">
        <v>0.012875387</v>
      </c>
    </row>
    <row r="1175" s="2" customFormat="1" spans="1:26">
      <c r="A1175" s="11" t="s">
        <v>935</v>
      </c>
      <c r="B1175" s="11" t="s">
        <v>937</v>
      </c>
      <c r="C1175" s="14" t="s">
        <v>978</v>
      </c>
      <c r="D1175" s="14" t="s">
        <v>938</v>
      </c>
      <c r="E1175" s="14" t="s">
        <v>939</v>
      </c>
      <c r="F1175" s="3" t="s">
        <v>944</v>
      </c>
      <c r="G1175" s="4">
        <v>28</v>
      </c>
      <c r="H1175" s="12">
        <v>4156.976</v>
      </c>
      <c r="I1175" s="12">
        <v>748.898016</v>
      </c>
      <c r="J1175" s="13">
        <v>0.18015452</v>
      </c>
      <c r="K1175" s="13">
        <v>0.18015452</v>
      </c>
      <c r="L1175" s="12">
        <v>21.8328571428</v>
      </c>
      <c r="M1175" s="13">
        <v>0.1346000506</v>
      </c>
      <c r="N1175" s="13">
        <v>0.03681281</v>
      </c>
      <c r="O1175" s="13">
        <v>0.3274880586</v>
      </c>
      <c r="P1175" s="13">
        <v>0</v>
      </c>
      <c r="Q1175" s="13">
        <v>0.0349460444</v>
      </c>
      <c r="R1175" s="13">
        <v>0.1678438724</v>
      </c>
      <c r="S1175" s="13">
        <v>0</v>
      </c>
      <c r="T1175" s="13">
        <v>0.1121998298</v>
      </c>
      <c r="U1175" s="13">
        <v>0.0138806305</v>
      </c>
      <c r="V1175" s="13">
        <v>-0.0093306288</v>
      </c>
      <c r="W1175" s="13">
        <v>0</v>
      </c>
      <c r="X1175" s="13">
        <v>0</v>
      </c>
      <c r="Y1175" s="13">
        <v>0</v>
      </c>
      <c r="Z1175" s="13">
        <v>0.001404812</v>
      </c>
    </row>
    <row r="1176" s="2" customFormat="1" hidden="1" spans="1:26">
      <c r="A1176" s="11" t="s">
        <v>935</v>
      </c>
      <c r="B1176" s="11" t="s">
        <v>937</v>
      </c>
      <c r="C1176" s="14" t="s">
        <v>978</v>
      </c>
      <c r="D1176" s="14" t="s">
        <v>938</v>
      </c>
      <c r="E1176" s="14" t="s">
        <v>939</v>
      </c>
      <c r="F1176" s="3" t="s">
        <v>945</v>
      </c>
      <c r="G1176" s="4">
        <v>0</v>
      </c>
      <c r="H1176" s="12">
        <v>0</v>
      </c>
      <c r="I1176" s="12">
        <v>-62.408918</v>
      </c>
      <c r="J1176" s="13"/>
      <c r="K1176" s="13"/>
      <c r="L1176" s="12"/>
      <c r="M1176" s="13"/>
      <c r="N1176" s="13"/>
      <c r="O1176" s="13"/>
      <c r="P1176" s="13"/>
      <c r="Q1176" s="13"/>
      <c r="R1176" s="13"/>
      <c r="S1176" s="13"/>
      <c r="T1176" s="13"/>
      <c r="U1176" s="13"/>
      <c r="V1176" s="13"/>
      <c r="W1176" s="13"/>
      <c r="X1176" s="13"/>
      <c r="Y1176" s="13"/>
      <c r="Z1176" s="13"/>
    </row>
    <row r="1177" s="2" customFormat="1" hidden="1" spans="1:26">
      <c r="A1177" s="11" t="s">
        <v>935</v>
      </c>
      <c r="B1177" s="11" t="s">
        <v>937</v>
      </c>
      <c r="C1177" s="14" t="s">
        <v>979</v>
      </c>
      <c r="D1177" s="14" t="s">
        <v>938</v>
      </c>
      <c r="E1177" s="14" t="s">
        <v>939</v>
      </c>
      <c r="F1177" s="3" t="s">
        <v>936</v>
      </c>
      <c r="G1177" s="4">
        <v>836</v>
      </c>
      <c r="H1177" s="12">
        <v>131155.544</v>
      </c>
      <c r="I1177" s="12">
        <v>25378.451544</v>
      </c>
      <c r="J1177" s="13">
        <v>0.1934988851</v>
      </c>
      <c r="K1177" s="13">
        <v>0.1934988851</v>
      </c>
      <c r="L1177" s="12">
        <v>23.0712679425</v>
      </c>
      <c r="M1177" s="13">
        <v>0.1133534241</v>
      </c>
      <c r="N1177" s="13">
        <v>0.0349074412</v>
      </c>
      <c r="O1177" s="13">
        <v>0.2955451124</v>
      </c>
      <c r="P1177" s="13">
        <v>0.0320688235</v>
      </c>
      <c r="Q1177" s="13">
        <v>0.0141624592</v>
      </c>
      <c r="R1177" s="13">
        <v>0.1948062207</v>
      </c>
      <c r="S1177" s="13">
        <v>0</v>
      </c>
      <c r="T1177" s="13">
        <v>0.1141071093</v>
      </c>
      <c r="U1177" s="13">
        <v>0.0116895727</v>
      </c>
      <c r="V1177" s="13">
        <v>-0.0073310907</v>
      </c>
      <c r="W1177" s="13">
        <v>-0.0012237264</v>
      </c>
      <c r="X1177" s="13">
        <v>7.93256e-5</v>
      </c>
      <c r="Y1177" s="13">
        <v>0</v>
      </c>
      <c r="Z1177" s="13">
        <v>0.0043364429</v>
      </c>
    </row>
    <row r="1178" s="2" customFormat="1" hidden="1" spans="1:26">
      <c r="A1178" s="11" t="s">
        <v>935</v>
      </c>
      <c r="B1178" s="11" t="s">
        <v>937</v>
      </c>
      <c r="C1178" s="14" t="s">
        <v>979</v>
      </c>
      <c r="D1178" s="14" t="s">
        <v>938</v>
      </c>
      <c r="E1178" s="14" t="s">
        <v>939</v>
      </c>
      <c r="F1178" s="3" t="s">
        <v>969</v>
      </c>
      <c r="G1178" s="4">
        <v>0</v>
      </c>
      <c r="H1178" s="12">
        <v>0</v>
      </c>
      <c r="I1178" s="12">
        <v>-419.696</v>
      </c>
      <c r="J1178" s="13"/>
      <c r="K1178" s="13"/>
      <c r="L1178" s="12"/>
      <c r="M1178" s="13"/>
      <c r="N1178" s="13"/>
      <c r="O1178" s="13"/>
      <c r="P1178" s="13"/>
      <c r="Q1178" s="13"/>
      <c r="R1178" s="13"/>
      <c r="S1178" s="13"/>
      <c r="T1178" s="13"/>
      <c r="U1178" s="13"/>
      <c r="V1178" s="13"/>
      <c r="W1178" s="13"/>
      <c r="X1178" s="13"/>
      <c r="Y1178" s="13"/>
      <c r="Z1178" s="13"/>
    </row>
    <row r="1179" s="2" customFormat="1" hidden="1" spans="1:26">
      <c r="A1179" s="11" t="s">
        <v>935</v>
      </c>
      <c r="B1179" s="11" t="s">
        <v>937</v>
      </c>
      <c r="C1179" s="14" t="s">
        <v>979</v>
      </c>
      <c r="D1179" s="14" t="s">
        <v>938</v>
      </c>
      <c r="E1179" s="14" t="s">
        <v>939</v>
      </c>
      <c r="F1179" s="3" t="s">
        <v>960</v>
      </c>
      <c r="G1179" s="4">
        <v>68</v>
      </c>
      <c r="H1179" s="12">
        <v>8862.576</v>
      </c>
      <c r="I1179" s="12">
        <v>1413.474768</v>
      </c>
      <c r="J1179" s="13">
        <v>0.1594880278</v>
      </c>
      <c r="K1179" s="13">
        <v>0.1594880278</v>
      </c>
      <c r="L1179" s="12">
        <v>19.1664705882</v>
      </c>
      <c r="M1179" s="13">
        <v>0.1400154605</v>
      </c>
      <c r="N1179" s="13">
        <v>0.0504809409</v>
      </c>
      <c r="O1179" s="13">
        <v>0.3062640027</v>
      </c>
      <c r="P1179" s="13">
        <v>0.0444787158</v>
      </c>
      <c r="Q1179" s="13">
        <v>0.0251323976</v>
      </c>
      <c r="R1179" s="13">
        <v>0.1832309118</v>
      </c>
      <c r="S1179" s="13">
        <v>0</v>
      </c>
      <c r="T1179" s="13">
        <v>0.1095433201</v>
      </c>
      <c r="U1179" s="13">
        <v>0.014439094</v>
      </c>
      <c r="V1179" s="13">
        <v>-0.0335443329</v>
      </c>
      <c r="W1179" s="13">
        <v>0</v>
      </c>
      <c r="X1179" s="13">
        <v>0</v>
      </c>
      <c r="Y1179" s="13">
        <v>0</v>
      </c>
      <c r="Z1179" s="13">
        <v>0.0004714613</v>
      </c>
    </row>
    <row r="1180" s="2" customFormat="1" hidden="1" spans="1:26">
      <c r="A1180" s="11" t="s">
        <v>935</v>
      </c>
      <c r="B1180" s="11" t="s">
        <v>937</v>
      </c>
      <c r="C1180" s="14" t="s">
        <v>979</v>
      </c>
      <c r="D1180" s="14" t="s">
        <v>938</v>
      </c>
      <c r="E1180" s="14" t="s">
        <v>939</v>
      </c>
      <c r="F1180" s="3" t="s">
        <v>961</v>
      </c>
      <c r="G1180" s="4">
        <v>1</v>
      </c>
      <c r="H1180" s="12">
        <v>135.932</v>
      </c>
      <c r="I1180" s="12">
        <v>40.371209</v>
      </c>
      <c r="J1180" s="13">
        <v>0.2969956228</v>
      </c>
      <c r="K1180" s="13">
        <v>0.2969956228</v>
      </c>
      <c r="L1180" s="12">
        <v>19.99</v>
      </c>
      <c r="M1180" s="13">
        <v>0.1342472339</v>
      </c>
      <c r="N1180" s="13">
        <v>0.0484012741</v>
      </c>
      <c r="O1180" s="13">
        <v>0.2936468234</v>
      </c>
      <c r="P1180" s="13">
        <v>0</v>
      </c>
      <c r="Q1180" s="13">
        <v>0.0844927684</v>
      </c>
      <c r="R1180" s="13">
        <v>0.0074658726</v>
      </c>
      <c r="S1180" s="13">
        <v>0</v>
      </c>
      <c r="T1180" s="13">
        <v>0.12006003</v>
      </c>
      <c r="U1180" s="13">
        <v>0.0138442456</v>
      </c>
      <c r="V1180" s="13">
        <v>0</v>
      </c>
      <c r="W1180" s="13">
        <v>0</v>
      </c>
      <c r="X1180" s="13">
        <v>0</v>
      </c>
      <c r="Y1180" s="13">
        <v>0</v>
      </c>
      <c r="Z1180" s="13">
        <v>0.0008461289</v>
      </c>
    </row>
    <row r="1181" s="2" customFormat="1" hidden="1" spans="1:26">
      <c r="A1181" s="11" t="s">
        <v>935</v>
      </c>
      <c r="B1181" s="11" t="s">
        <v>937</v>
      </c>
      <c r="C1181" s="14" t="s">
        <v>979</v>
      </c>
      <c r="D1181" s="14" t="s">
        <v>938</v>
      </c>
      <c r="E1181" s="14" t="s">
        <v>939</v>
      </c>
      <c r="F1181" s="3" t="s">
        <v>947</v>
      </c>
      <c r="G1181" s="4">
        <v>0</v>
      </c>
      <c r="H1181" s="12">
        <v>0</v>
      </c>
      <c r="I1181" s="12">
        <v>102.01563</v>
      </c>
      <c r="J1181" s="13"/>
      <c r="K1181" s="13"/>
      <c r="L1181" s="12"/>
      <c r="M1181" s="13"/>
      <c r="N1181" s="13"/>
      <c r="O1181" s="13"/>
      <c r="P1181" s="13"/>
      <c r="Q1181" s="13"/>
      <c r="R1181" s="13"/>
      <c r="S1181" s="13"/>
      <c r="T1181" s="13"/>
      <c r="U1181" s="13"/>
      <c r="V1181" s="13"/>
      <c r="W1181" s="13"/>
      <c r="X1181" s="13"/>
      <c r="Y1181" s="13"/>
      <c r="Z1181" s="13"/>
    </row>
    <row r="1182" s="2" customFormat="1" hidden="1" spans="1:26">
      <c r="A1182" s="11" t="s">
        <v>935</v>
      </c>
      <c r="B1182" s="11" t="s">
        <v>937</v>
      </c>
      <c r="C1182" s="14" t="s">
        <v>979</v>
      </c>
      <c r="D1182" s="14" t="s">
        <v>938</v>
      </c>
      <c r="E1182" s="14" t="s">
        <v>939</v>
      </c>
      <c r="F1182" s="3" t="s">
        <v>953</v>
      </c>
      <c r="G1182" s="4">
        <v>0</v>
      </c>
      <c r="H1182" s="12">
        <v>0</v>
      </c>
      <c r="I1182" s="12">
        <v>-40.969312</v>
      </c>
      <c r="J1182" s="13"/>
      <c r="K1182" s="13"/>
      <c r="L1182" s="12"/>
      <c r="M1182" s="13"/>
      <c r="N1182" s="13"/>
      <c r="O1182" s="13"/>
      <c r="P1182" s="13"/>
      <c r="Q1182" s="13"/>
      <c r="R1182" s="13"/>
      <c r="S1182" s="13"/>
      <c r="T1182" s="13"/>
      <c r="U1182" s="13"/>
      <c r="V1182" s="13"/>
      <c r="W1182" s="13"/>
      <c r="X1182" s="13"/>
      <c r="Y1182" s="13"/>
      <c r="Z1182" s="13"/>
    </row>
    <row r="1183" s="2" customFormat="1" hidden="1" spans="1:26">
      <c r="A1183" s="11" t="s">
        <v>935</v>
      </c>
      <c r="B1183" s="11" t="s">
        <v>937</v>
      </c>
      <c r="C1183" s="14" t="s">
        <v>979</v>
      </c>
      <c r="D1183" s="14" t="s">
        <v>938</v>
      </c>
      <c r="E1183" s="14" t="s">
        <v>939</v>
      </c>
      <c r="F1183" s="3" t="s">
        <v>956</v>
      </c>
      <c r="G1183" s="4">
        <v>8</v>
      </c>
      <c r="H1183" s="12">
        <v>1016.396</v>
      </c>
      <c r="I1183" s="12">
        <v>177.4757</v>
      </c>
      <c r="J1183" s="13">
        <v>0.1746127493</v>
      </c>
      <c r="K1183" s="13">
        <v>0.1746127493</v>
      </c>
      <c r="L1183" s="12">
        <v>18.68375</v>
      </c>
      <c r="M1183" s="13">
        <v>0.1058393598</v>
      </c>
      <c r="N1183" s="13">
        <v>0.0388388895</v>
      </c>
      <c r="O1183" s="13">
        <v>0.2775807854</v>
      </c>
      <c r="P1183" s="13">
        <v>0</v>
      </c>
      <c r="Q1183" s="13">
        <v>0.0157178658</v>
      </c>
      <c r="R1183" s="13">
        <v>0.2511736498</v>
      </c>
      <c r="S1183" s="13">
        <v>0</v>
      </c>
      <c r="T1183" s="13">
        <v>0.1172141566</v>
      </c>
      <c r="U1183" s="13">
        <v>0.0109146828</v>
      </c>
      <c r="V1183" s="13">
        <v>0.0075600454</v>
      </c>
      <c r="W1183" s="13">
        <v>0</v>
      </c>
      <c r="X1183" s="13">
        <v>0</v>
      </c>
      <c r="Y1183" s="13">
        <v>0</v>
      </c>
      <c r="Z1183" s="13">
        <v>0.000547815</v>
      </c>
    </row>
    <row r="1184" s="2" customFormat="1" hidden="1" spans="1:26">
      <c r="A1184" s="11" t="s">
        <v>935</v>
      </c>
      <c r="B1184" s="11" t="s">
        <v>937</v>
      </c>
      <c r="C1184" s="14" t="s">
        <v>979</v>
      </c>
      <c r="D1184" s="14" t="s">
        <v>938</v>
      </c>
      <c r="E1184" s="14" t="s">
        <v>939</v>
      </c>
      <c r="F1184" s="3" t="s">
        <v>957</v>
      </c>
      <c r="G1184" s="4">
        <v>52</v>
      </c>
      <c r="H1184" s="12">
        <v>8360.532</v>
      </c>
      <c r="I1184" s="12">
        <v>702.369497</v>
      </c>
      <c r="J1184" s="13">
        <v>0.0840101439</v>
      </c>
      <c r="K1184" s="13">
        <v>0.0840101439</v>
      </c>
      <c r="L1184" s="12">
        <v>23.6440384615</v>
      </c>
      <c r="M1184" s="13">
        <v>0.1115137271</v>
      </c>
      <c r="N1184" s="13">
        <v>0.0284972592</v>
      </c>
      <c r="O1184" s="13">
        <v>0.292438328</v>
      </c>
      <c r="P1184" s="13">
        <v>0</v>
      </c>
      <c r="Q1184" s="13">
        <v>0.0440707419</v>
      </c>
      <c r="R1184" s="13">
        <v>0.340384953</v>
      </c>
      <c r="S1184" s="13">
        <v>0</v>
      </c>
      <c r="T1184" s="13">
        <v>0.117455205</v>
      </c>
      <c r="U1184" s="13">
        <v>0.0114998519</v>
      </c>
      <c r="V1184" s="13">
        <v>-0.0303475424</v>
      </c>
      <c r="W1184" s="13">
        <v>0</v>
      </c>
      <c r="X1184" s="13">
        <v>0</v>
      </c>
      <c r="Y1184" s="13">
        <v>0</v>
      </c>
      <c r="Z1184" s="13">
        <v>0.000477332</v>
      </c>
    </row>
    <row r="1185" s="2" customFormat="1" hidden="1" spans="1:26">
      <c r="A1185" s="11" t="s">
        <v>935</v>
      </c>
      <c r="B1185" s="11" t="s">
        <v>937</v>
      </c>
      <c r="C1185" s="14" t="s">
        <v>979</v>
      </c>
      <c r="D1185" s="14" t="s">
        <v>938</v>
      </c>
      <c r="E1185" s="14" t="s">
        <v>939</v>
      </c>
      <c r="F1185" s="3" t="s">
        <v>940</v>
      </c>
      <c r="G1185" s="4">
        <v>179</v>
      </c>
      <c r="H1185" s="12">
        <v>28883.136</v>
      </c>
      <c r="I1185" s="12">
        <v>4573.492789</v>
      </c>
      <c r="J1185" s="13">
        <v>0.1583447444</v>
      </c>
      <c r="K1185" s="13">
        <v>0.1583447444</v>
      </c>
      <c r="L1185" s="12">
        <v>23.7291620111</v>
      </c>
      <c r="M1185" s="13">
        <v>0.1098694673</v>
      </c>
      <c r="N1185" s="13">
        <v>0.0280531269</v>
      </c>
      <c r="O1185" s="13">
        <v>0.2942917278</v>
      </c>
      <c r="P1185" s="13">
        <v>0.0282400082</v>
      </c>
      <c r="Q1185" s="13">
        <v>0.01665275</v>
      </c>
      <c r="R1185" s="13">
        <v>0.2480830036</v>
      </c>
      <c r="S1185" s="13">
        <v>0</v>
      </c>
      <c r="T1185" s="13">
        <v>0.1097346216</v>
      </c>
      <c r="U1185" s="13">
        <v>0.0113302876</v>
      </c>
      <c r="V1185" s="13">
        <v>-0.0033826797</v>
      </c>
      <c r="W1185" s="13">
        <v>-0.0015584473</v>
      </c>
      <c r="X1185" s="13">
        <v>0</v>
      </c>
      <c r="Y1185" s="13">
        <v>0</v>
      </c>
      <c r="Z1185" s="13">
        <v>0.0003413892</v>
      </c>
    </row>
    <row r="1186" s="2" customFormat="1" hidden="1" spans="1:26">
      <c r="A1186" s="11" t="s">
        <v>935</v>
      </c>
      <c r="B1186" s="11" t="s">
        <v>937</v>
      </c>
      <c r="C1186" s="14" t="s">
        <v>979</v>
      </c>
      <c r="D1186" s="14" t="s">
        <v>938</v>
      </c>
      <c r="E1186" s="14" t="s">
        <v>939</v>
      </c>
      <c r="F1186" s="3" t="s">
        <v>941</v>
      </c>
      <c r="G1186" s="4">
        <v>88</v>
      </c>
      <c r="H1186" s="12">
        <v>14361.464</v>
      </c>
      <c r="I1186" s="12">
        <v>2203.584443</v>
      </c>
      <c r="J1186" s="13">
        <v>0.1534373127</v>
      </c>
      <c r="K1186" s="13">
        <v>0.1534373127</v>
      </c>
      <c r="L1186" s="12">
        <v>23.9997727272</v>
      </c>
      <c r="M1186" s="13">
        <v>0.1061126644</v>
      </c>
      <c r="N1186" s="13">
        <v>0.0270939651</v>
      </c>
      <c r="O1186" s="13">
        <v>0.2854525137</v>
      </c>
      <c r="P1186" s="13">
        <v>0.0454360363</v>
      </c>
      <c r="Q1186" s="13">
        <v>0.019197459</v>
      </c>
      <c r="R1186" s="13">
        <v>0.2482429776</v>
      </c>
      <c r="S1186" s="13">
        <v>0</v>
      </c>
      <c r="T1186" s="13">
        <v>0.1105266148</v>
      </c>
      <c r="U1186" s="13">
        <v>0.0109428711</v>
      </c>
      <c r="V1186" s="13">
        <v>-0.0086459152</v>
      </c>
      <c r="W1186" s="13">
        <v>-0.0031342736</v>
      </c>
      <c r="X1186" s="13">
        <v>0</v>
      </c>
      <c r="Y1186" s="13">
        <v>0</v>
      </c>
      <c r="Z1186" s="13">
        <v>0.0053377737</v>
      </c>
    </row>
    <row r="1187" s="2" customFormat="1" hidden="1" spans="1:26">
      <c r="A1187" s="11" t="s">
        <v>935</v>
      </c>
      <c r="B1187" s="11" t="s">
        <v>937</v>
      </c>
      <c r="C1187" s="14" t="s">
        <v>979</v>
      </c>
      <c r="D1187" s="14" t="s">
        <v>938</v>
      </c>
      <c r="E1187" s="14" t="s">
        <v>939</v>
      </c>
      <c r="F1187" s="3" t="s">
        <v>942</v>
      </c>
      <c r="G1187" s="4">
        <v>15</v>
      </c>
      <c r="H1187" s="12">
        <v>2477.172</v>
      </c>
      <c r="I1187" s="12">
        <v>543.495653</v>
      </c>
      <c r="J1187" s="13">
        <v>0.2194016616</v>
      </c>
      <c r="K1187" s="13">
        <v>0.2194016616</v>
      </c>
      <c r="L1187" s="12">
        <v>24.286</v>
      </c>
      <c r="M1187" s="13">
        <v>0.1013255292</v>
      </c>
      <c r="N1187" s="13">
        <v>0.025871656</v>
      </c>
      <c r="O1187" s="13">
        <v>0.280545719</v>
      </c>
      <c r="P1187" s="13">
        <v>0.0713442586</v>
      </c>
      <c r="Q1187" s="13">
        <v>0.0129337006</v>
      </c>
      <c r="R1187" s="13">
        <v>0.2206105793</v>
      </c>
      <c r="S1187" s="13">
        <v>0</v>
      </c>
      <c r="T1187" s="13">
        <v>0.1130418073</v>
      </c>
      <c r="U1187" s="13">
        <v>0.0104491977</v>
      </c>
      <c r="V1187" s="13">
        <v>-0.0529248675</v>
      </c>
      <c r="W1187" s="13">
        <v>-0.0090855132</v>
      </c>
      <c r="X1187" s="13">
        <v>0</v>
      </c>
      <c r="Y1187" s="13">
        <v>0</v>
      </c>
      <c r="Z1187" s="13">
        <v>0.006486271</v>
      </c>
    </row>
    <row r="1188" s="2" customFormat="1" hidden="1" spans="1:26">
      <c r="A1188" s="11" t="s">
        <v>935</v>
      </c>
      <c r="B1188" s="11" t="s">
        <v>937</v>
      </c>
      <c r="C1188" s="14" t="s">
        <v>979</v>
      </c>
      <c r="D1188" s="14" t="s">
        <v>938</v>
      </c>
      <c r="E1188" s="14" t="s">
        <v>939</v>
      </c>
      <c r="F1188" s="3" t="s">
        <v>943</v>
      </c>
      <c r="G1188" s="4">
        <v>209</v>
      </c>
      <c r="H1188" s="12">
        <v>32095.932</v>
      </c>
      <c r="I1188" s="12">
        <v>6907.10295</v>
      </c>
      <c r="J1188" s="13">
        <v>0.215201819</v>
      </c>
      <c r="K1188" s="13">
        <v>0.215201819</v>
      </c>
      <c r="L1188" s="12">
        <v>22.5836842105</v>
      </c>
      <c r="M1188" s="13">
        <v>0.1167451624</v>
      </c>
      <c r="N1188" s="13">
        <v>0.0302687482</v>
      </c>
      <c r="O1188" s="13">
        <v>0.3084116703</v>
      </c>
      <c r="P1188" s="13">
        <v>0.0243962381</v>
      </c>
      <c r="Q1188" s="13">
        <v>0.003557013</v>
      </c>
      <c r="R1188" s="13">
        <v>0.1595510057</v>
      </c>
      <c r="S1188" s="13">
        <v>0</v>
      </c>
      <c r="T1188" s="13">
        <v>0.1176570289</v>
      </c>
      <c r="U1188" s="13">
        <v>0.0120393462</v>
      </c>
      <c r="V1188" s="13">
        <v>0</v>
      </c>
      <c r="W1188" s="13">
        <v>-0.0007034158</v>
      </c>
      <c r="X1188" s="13">
        <v>0</v>
      </c>
      <c r="Y1188" s="13">
        <v>0</v>
      </c>
      <c r="Z1188" s="13">
        <v>0.0128753835</v>
      </c>
    </row>
    <row r="1189" s="2" customFormat="1" spans="1:26">
      <c r="A1189" s="11" t="s">
        <v>935</v>
      </c>
      <c r="B1189" s="11" t="s">
        <v>937</v>
      </c>
      <c r="C1189" s="14" t="s">
        <v>979</v>
      </c>
      <c r="D1189" s="14" t="s">
        <v>938</v>
      </c>
      <c r="E1189" s="14" t="s">
        <v>939</v>
      </c>
      <c r="F1189" s="3" t="s">
        <v>944</v>
      </c>
      <c r="G1189" s="4">
        <v>194</v>
      </c>
      <c r="H1189" s="12">
        <v>31373.5</v>
      </c>
      <c r="I1189" s="12">
        <v>7977.421885</v>
      </c>
      <c r="J1189" s="13">
        <v>0.2542726149</v>
      </c>
      <c r="K1189" s="13">
        <v>0.2542726149</v>
      </c>
      <c r="L1189" s="12">
        <v>23.7822164948</v>
      </c>
      <c r="M1189" s="13">
        <v>0.110861587</v>
      </c>
      <c r="N1189" s="13">
        <v>0.0461374648</v>
      </c>
      <c r="O1189" s="13">
        <v>0.2886372256</v>
      </c>
      <c r="P1189" s="13">
        <v>0.0441094554</v>
      </c>
      <c r="Q1189" s="13">
        <v>0.0105749748</v>
      </c>
      <c r="R1189" s="13">
        <v>0.1172603483</v>
      </c>
      <c r="S1189" s="13">
        <v>0</v>
      </c>
      <c r="T1189" s="13">
        <v>0.1158146843</v>
      </c>
      <c r="U1189" s="13">
        <v>0.0114326033</v>
      </c>
      <c r="V1189" s="13">
        <v>0</v>
      </c>
      <c r="W1189" s="13">
        <v>-0.0008092734</v>
      </c>
      <c r="X1189" s="13">
        <v>0.0003035005</v>
      </c>
      <c r="Y1189" s="13">
        <v>0</v>
      </c>
      <c r="Z1189" s="13">
        <v>0.001404814</v>
      </c>
    </row>
    <row r="1190" s="2" customFormat="1" hidden="1" spans="1:26">
      <c r="A1190" s="11" t="s">
        <v>935</v>
      </c>
      <c r="B1190" s="11" t="s">
        <v>937</v>
      </c>
      <c r="C1190" s="14" t="s">
        <v>979</v>
      </c>
      <c r="D1190" s="14" t="s">
        <v>938</v>
      </c>
      <c r="E1190" s="14" t="s">
        <v>939</v>
      </c>
      <c r="F1190" s="3" t="s">
        <v>945</v>
      </c>
      <c r="G1190" s="4">
        <v>22</v>
      </c>
      <c r="H1190" s="12">
        <v>3588.904</v>
      </c>
      <c r="I1190" s="12">
        <v>1198.312332</v>
      </c>
      <c r="J1190" s="13">
        <v>0.3338936711</v>
      </c>
      <c r="K1190" s="13">
        <v>0.3338936711</v>
      </c>
      <c r="L1190" s="12">
        <v>23.99</v>
      </c>
      <c r="M1190" s="13">
        <v>0.1099013866</v>
      </c>
      <c r="N1190" s="13">
        <v>0.0457378564</v>
      </c>
      <c r="O1190" s="13">
        <v>0.2876198416</v>
      </c>
      <c r="P1190" s="13">
        <v>0</v>
      </c>
      <c r="Q1190" s="13">
        <v>0</v>
      </c>
      <c r="R1190" s="13">
        <v>0.0912178484</v>
      </c>
      <c r="S1190" s="13">
        <v>0</v>
      </c>
      <c r="T1190" s="13">
        <v>0.1200500208</v>
      </c>
      <c r="U1190" s="13">
        <v>0.0113335826</v>
      </c>
      <c r="V1190" s="13">
        <v>0</v>
      </c>
      <c r="W1190" s="13">
        <v>0</v>
      </c>
      <c r="X1190" s="13">
        <v>0.0002457923</v>
      </c>
      <c r="Y1190" s="13">
        <v>0</v>
      </c>
      <c r="Z1190" s="13">
        <v>0</v>
      </c>
    </row>
    <row r="1191" s="2" customFormat="1" hidden="1" spans="1:26">
      <c r="A1191" s="11" t="s">
        <v>935</v>
      </c>
      <c r="B1191" s="11" t="s">
        <v>937</v>
      </c>
      <c r="C1191" s="14" t="s">
        <v>980</v>
      </c>
      <c r="D1191" s="14" t="s">
        <v>938</v>
      </c>
      <c r="E1191" s="14" t="s">
        <v>939</v>
      </c>
      <c r="F1191" s="3" t="s">
        <v>936</v>
      </c>
      <c r="G1191" s="4">
        <v>68</v>
      </c>
      <c r="H1191" s="12">
        <v>9793.02</v>
      </c>
      <c r="I1191" s="12">
        <v>1738.042824</v>
      </c>
      <c r="J1191" s="13">
        <v>0.1774777161</v>
      </c>
      <c r="K1191" s="13">
        <v>0.1774777161</v>
      </c>
      <c r="L1191" s="12">
        <v>21.1786764705</v>
      </c>
      <c r="M1191" s="13">
        <v>0.1375145696</v>
      </c>
      <c r="N1191" s="13">
        <v>0.0355355791</v>
      </c>
      <c r="O1191" s="13">
        <v>0.2831093983</v>
      </c>
      <c r="P1191" s="13">
        <v>0.0319272298</v>
      </c>
      <c r="Q1191" s="13">
        <v>0.0340143842</v>
      </c>
      <c r="R1191" s="13">
        <v>0.1855500824</v>
      </c>
      <c r="S1191" s="13">
        <v>0</v>
      </c>
      <c r="T1191" s="13">
        <v>0.1136478839</v>
      </c>
      <c r="U1191" s="13">
        <v>0.0141811932</v>
      </c>
      <c r="V1191" s="13">
        <v>-0.0167246467</v>
      </c>
      <c r="W1191" s="13">
        <v>0</v>
      </c>
      <c r="X1191" s="13">
        <v>0</v>
      </c>
      <c r="Y1191" s="13">
        <v>0</v>
      </c>
      <c r="Z1191" s="13">
        <v>0.0037666097</v>
      </c>
    </row>
    <row r="1192" s="2" customFormat="1" hidden="1" spans="1:26">
      <c r="A1192" s="11" t="s">
        <v>935</v>
      </c>
      <c r="B1192" s="11" t="s">
        <v>937</v>
      </c>
      <c r="C1192" s="14" t="s">
        <v>980</v>
      </c>
      <c r="D1192" s="14" t="s">
        <v>938</v>
      </c>
      <c r="E1192" s="14" t="s">
        <v>939</v>
      </c>
      <c r="F1192" s="3" t="s">
        <v>960</v>
      </c>
      <c r="G1192" s="4">
        <v>5</v>
      </c>
      <c r="H1192" s="12">
        <v>679.66</v>
      </c>
      <c r="I1192" s="12">
        <v>287.930288</v>
      </c>
      <c r="J1192" s="13">
        <v>0.4236387134</v>
      </c>
      <c r="K1192" s="13">
        <v>0.4236387134</v>
      </c>
      <c r="L1192" s="12">
        <v>19.99</v>
      </c>
      <c r="M1192" s="13">
        <v>0.1486219359</v>
      </c>
      <c r="N1192" s="13">
        <v>0.0409231306</v>
      </c>
      <c r="O1192" s="13">
        <v>0.276138069</v>
      </c>
      <c r="P1192" s="13">
        <v>0</v>
      </c>
      <c r="Q1192" s="13">
        <v>0.047758538</v>
      </c>
      <c r="R1192" s="13">
        <v>0.0552855883</v>
      </c>
      <c r="S1192" s="13">
        <v>0</v>
      </c>
      <c r="T1192" s="13">
        <v>0.12006003</v>
      </c>
      <c r="U1192" s="13">
        <v>0.0153266412</v>
      </c>
      <c r="V1192" s="13">
        <v>-0.128224112</v>
      </c>
      <c r="W1192" s="13">
        <v>0</v>
      </c>
      <c r="X1192" s="13">
        <v>0</v>
      </c>
      <c r="Y1192" s="13">
        <v>0</v>
      </c>
      <c r="Z1192" s="13">
        <v>0.0004714651</v>
      </c>
    </row>
    <row r="1193" s="2" customFormat="1" hidden="1" spans="1:26">
      <c r="A1193" s="11" t="s">
        <v>935</v>
      </c>
      <c r="B1193" s="11" t="s">
        <v>937</v>
      </c>
      <c r="C1193" s="14" t="s">
        <v>980</v>
      </c>
      <c r="D1193" s="14" t="s">
        <v>938</v>
      </c>
      <c r="E1193" s="14" t="s">
        <v>939</v>
      </c>
      <c r="F1193" s="3" t="s">
        <v>961</v>
      </c>
      <c r="G1193" s="4">
        <v>4</v>
      </c>
      <c r="H1193" s="12">
        <v>543.728</v>
      </c>
      <c r="I1193" s="12">
        <v>-138.519606</v>
      </c>
      <c r="J1193" s="13">
        <v>-0.2547590081</v>
      </c>
      <c r="K1193" s="13">
        <v>-0.2547590081</v>
      </c>
      <c r="L1193" s="12">
        <v>19.99</v>
      </c>
      <c r="M1193" s="13">
        <v>0.1486219359</v>
      </c>
      <c r="N1193" s="13">
        <v>0.0409231306</v>
      </c>
      <c r="O1193" s="13">
        <v>0.276138069</v>
      </c>
      <c r="P1193" s="13">
        <v>0.25</v>
      </c>
      <c r="Q1193" s="13">
        <v>0.0462024412</v>
      </c>
      <c r="R1193" s="13">
        <v>0.3806526424</v>
      </c>
      <c r="S1193" s="13">
        <v>0</v>
      </c>
      <c r="T1193" s="13">
        <v>0.096048024</v>
      </c>
      <c r="U1193" s="13">
        <v>0.0153266412</v>
      </c>
      <c r="V1193" s="13">
        <v>0</v>
      </c>
      <c r="W1193" s="13">
        <v>0</v>
      </c>
      <c r="X1193" s="13">
        <v>0</v>
      </c>
      <c r="Y1193" s="13">
        <v>0</v>
      </c>
      <c r="Z1193" s="13">
        <v>0.0008461234</v>
      </c>
    </row>
    <row r="1194" s="2" customFormat="1" hidden="1" spans="1:26">
      <c r="A1194" s="11" t="s">
        <v>935</v>
      </c>
      <c r="B1194" s="11" t="s">
        <v>937</v>
      </c>
      <c r="C1194" s="14" t="s">
        <v>980</v>
      </c>
      <c r="D1194" s="14" t="s">
        <v>938</v>
      </c>
      <c r="E1194" s="14" t="s">
        <v>939</v>
      </c>
      <c r="F1194" s="3" t="s">
        <v>947</v>
      </c>
      <c r="G1194" s="4">
        <v>4</v>
      </c>
      <c r="H1194" s="12">
        <v>543.728</v>
      </c>
      <c r="I1194" s="12">
        <v>-162.404963</v>
      </c>
      <c r="J1194" s="13">
        <v>-0.2986878788</v>
      </c>
      <c r="K1194" s="13">
        <v>-0.2986878788</v>
      </c>
      <c r="L1194" s="12">
        <v>19.99</v>
      </c>
      <c r="M1194" s="13">
        <v>0.1486219359</v>
      </c>
      <c r="N1194" s="13">
        <v>0.0409231306</v>
      </c>
      <c r="O1194" s="13">
        <v>0.292146073</v>
      </c>
      <c r="P1194" s="13">
        <v>0</v>
      </c>
      <c r="Q1194" s="13">
        <v>0.1142034712</v>
      </c>
      <c r="R1194" s="13">
        <v>0.5662158156</v>
      </c>
      <c r="S1194" s="13">
        <v>0</v>
      </c>
      <c r="T1194" s="13">
        <v>0.12006003</v>
      </c>
      <c r="U1194" s="13">
        <v>0.0153266412</v>
      </c>
      <c r="V1194" s="13">
        <v>0</v>
      </c>
      <c r="W1194" s="13">
        <v>0</v>
      </c>
      <c r="X1194" s="13">
        <v>0</v>
      </c>
      <c r="Y1194" s="13">
        <v>0</v>
      </c>
      <c r="Z1194" s="13">
        <v>0.001190781</v>
      </c>
    </row>
    <row r="1195" s="2" customFormat="1" hidden="1" spans="1:26">
      <c r="A1195" s="11" t="s">
        <v>935</v>
      </c>
      <c r="B1195" s="11" t="s">
        <v>937</v>
      </c>
      <c r="C1195" s="14" t="s">
        <v>980</v>
      </c>
      <c r="D1195" s="14" t="s">
        <v>938</v>
      </c>
      <c r="E1195" s="14" t="s">
        <v>939</v>
      </c>
      <c r="F1195" s="3" t="s">
        <v>953</v>
      </c>
      <c r="G1195" s="4">
        <v>11</v>
      </c>
      <c r="H1195" s="12">
        <v>1386.452</v>
      </c>
      <c r="I1195" s="12">
        <v>301.348075</v>
      </c>
      <c r="J1195" s="13">
        <v>0.217351971</v>
      </c>
      <c r="K1195" s="13">
        <v>0.217351971</v>
      </c>
      <c r="L1195" s="12">
        <v>18.5354545454</v>
      </c>
      <c r="M1195" s="13">
        <v>0.1602848472</v>
      </c>
      <c r="N1195" s="13">
        <v>0.0441345196</v>
      </c>
      <c r="O1195" s="13">
        <v>0.3150718524</v>
      </c>
      <c r="P1195" s="13">
        <v>0</v>
      </c>
      <c r="Q1195" s="13">
        <v>0.0376724257</v>
      </c>
      <c r="R1195" s="13">
        <v>0.1448445629</v>
      </c>
      <c r="S1195" s="13">
        <v>0</v>
      </c>
      <c r="T1195" s="13">
        <v>0.1186424052</v>
      </c>
      <c r="U1195" s="13">
        <v>0.0165293793</v>
      </c>
      <c r="V1195" s="13">
        <v>-0.0576291137</v>
      </c>
      <c r="W1195" s="13">
        <v>0</v>
      </c>
      <c r="X1195" s="13">
        <v>0</v>
      </c>
      <c r="Y1195" s="13">
        <v>0</v>
      </c>
      <c r="Z1195" s="13">
        <v>0.0030971501</v>
      </c>
    </row>
    <row r="1196" s="2" customFormat="1" hidden="1" spans="1:26">
      <c r="A1196" s="11" t="s">
        <v>935</v>
      </c>
      <c r="B1196" s="11" t="s">
        <v>937</v>
      </c>
      <c r="C1196" s="14" t="s">
        <v>980</v>
      </c>
      <c r="D1196" s="14" t="s">
        <v>938</v>
      </c>
      <c r="E1196" s="14" t="s">
        <v>939</v>
      </c>
      <c r="F1196" s="3" t="s">
        <v>956</v>
      </c>
      <c r="G1196" s="4">
        <v>8</v>
      </c>
      <c r="H1196" s="12">
        <v>1196.256</v>
      </c>
      <c r="I1196" s="12">
        <v>420.159318</v>
      </c>
      <c r="J1196" s="13">
        <v>0.3512285982</v>
      </c>
      <c r="K1196" s="13">
        <v>0.3512285982</v>
      </c>
      <c r="L1196" s="12">
        <v>21.99</v>
      </c>
      <c r="M1196" s="13">
        <v>0.1351047066</v>
      </c>
      <c r="N1196" s="13">
        <v>0.0372011542</v>
      </c>
      <c r="O1196" s="13">
        <v>0.2640404729</v>
      </c>
      <c r="P1196" s="13">
        <v>0</v>
      </c>
      <c r="Q1196" s="13">
        <v>0.0315790039</v>
      </c>
      <c r="R1196" s="13">
        <v>0.0463109944</v>
      </c>
      <c r="S1196" s="13">
        <v>0</v>
      </c>
      <c r="T1196" s="13">
        <v>0.1200545702</v>
      </c>
      <c r="U1196" s="13">
        <v>0.0139326766</v>
      </c>
      <c r="V1196" s="13">
        <v>0</v>
      </c>
      <c r="W1196" s="13">
        <v>0</v>
      </c>
      <c r="X1196" s="13">
        <v>0</v>
      </c>
      <c r="Y1196" s="13">
        <v>0</v>
      </c>
      <c r="Z1196" s="13">
        <v>0.0005478225</v>
      </c>
    </row>
    <row r="1197" s="2" customFormat="1" hidden="1" spans="1:26">
      <c r="A1197" s="11" t="s">
        <v>935</v>
      </c>
      <c r="B1197" s="11" t="s">
        <v>937</v>
      </c>
      <c r="C1197" s="14" t="s">
        <v>980</v>
      </c>
      <c r="D1197" s="14" t="s">
        <v>938</v>
      </c>
      <c r="E1197" s="14" t="s">
        <v>939</v>
      </c>
      <c r="F1197" s="3" t="s">
        <v>957</v>
      </c>
      <c r="G1197" s="4">
        <v>1</v>
      </c>
      <c r="H1197" s="12">
        <v>176.732</v>
      </c>
      <c r="I1197" s="12">
        <v>-83.603801</v>
      </c>
      <c r="J1197" s="13">
        <v>-0.4730541214</v>
      </c>
      <c r="K1197" s="13">
        <v>-0.4730541214</v>
      </c>
      <c r="L1197" s="12">
        <v>25.99</v>
      </c>
      <c r="M1197" s="13">
        <v>0.1143113697</v>
      </c>
      <c r="N1197" s="13">
        <v>0.0314756976</v>
      </c>
      <c r="O1197" s="13">
        <v>0.2143131973</v>
      </c>
      <c r="P1197" s="13">
        <v>1</v>
      </c>
      <c r="Q1197" s="13">
        <v>0.0190868829</v>
      </c>
      <c r="R1197" s="13">
        <v>0.0577459769</v>
      </c>
      <c r="S1197" s="13">
        <v>0</v>
      </c>
      <c r="T1197" s="13">
        <v>0.0238553289</v>
      </c>
      <c r="U1197" s="13">
        <v>0.0117883631</v>
      </c>
      <c r="V1197" s="13">
        <v>0</v>
      </c>
      <c r="W1197" s="13">
        <v>0</v>
      </c>
      <c r="X1197" s="13">
        <v>0</v>
      </c>
      <c r="Y1197" s="13">
        <v>0</v>
      </c>
      <c r="Z1197" s="13">
        <v>0.0004773046</v>
      </c>
    </row>
    <row r="1198" s="2" customFormat="1" hidden="1" spans="1:26">
      <c r="A1198" s="11" t="s">
        <v>935</v>
      </c>
      <c r="B1198" s="11" t="s">
        <v>937</v>
      </c>
      <c r="C1198" s="14" t="s">
        <v>980</v>
      </c>
      <c r="D1198" s="14" t="s">
        <v>938</v>
      </c>
      <c r="E1198" s="14" t="s">
        <v>939</v>
      </c>
      <c r="F1198" s="3" t="s">
        <v>940</v>
      </c>
      <c r="G1198" s="4">
        <v>0</v>
      </c>
      <c r="H1198" s="12">
        <v>0</v>
      </c>
      <c r="I1198" s="12">
        <v>-35.114531</v>
      </c>
      <c r="J1198" s="13"/>
      <c r="K1198" s="13"/>
      <c r="L1198" s="12"/>
      <c r="M1198" s="13"/>
      <c r="N1198" s="13"/>
      <c r="O1198" s="13"/>
      <c r="P1198" s="13"/>
      <c r="Q1198" s="13"/>
      <c r="R1198" s="13"/>
      <c r="S1198" s="13"/>
      <c r="T1198" s="13"/>
      <c r="U1198" s="13"/>
      <c r="V1198" s="13"/>
      <c r="W1198" s="13"/>
      <c r="X1198" s="13"/>
      <c r="Y1198" s="13"/>
      <c r="Z1198" s="13"/>
    </row>
    <row r="1199" s="2" customFormat="1" hidden="1" spans="1:26">
      <c r="A1199" s="11" t="s">
        <v>935</v>
      </c>
      <c r="B1199" s="11" t="s">
        <v>937</v>
      </c>
      <c r="C1199" s="14" t="s">
        <v>980</v>
      </c>
      <c r="D1199" s="14" t="s">
        <v>938</v>
      </c>
      <c r="E1199" s="14" t="s">
        <v>939</v>
      </c>
      <c r="F1199" s="3" t="s">
        <v>941</v>
      </c>
      <c r="G1199" s="4">
        <v>2</v>
      </c>
      <c r="H1199" s="12">
        <v>185.028</v>
      </c>
      <c r="I1199" s="12">
        <v>44.625467</v>
      </c>
      <c r="J1199" s="13">
        <v>0.2411822372</v>
      </c>
      <c r="K1199" s="13">
        <v>0.2411822372</v>
      </c>
      <c r="L1199" s="12">
        <v>13.605</v>
      </c>
      <c r="M1199" s="13">
        <v>0.1080919374</v>
      </c>
      <c r="N1199" s="13">
        <v>0.0300644388</v>
      </c>
      <c r="O1199" s="13">
        <v>0.2116868798</v>
      </c>
      <c r="P1199" s="13">
        <v>0</v>
      </c>
      <c r="Q1199" s="13">
        <v>0.014183556</v>
      </c>
      <c r="R1199" s="13">
        <v>0.246001978</v>
      </c>
      <c r="S1199" s="13">
        <v>0</v>
      </c>
      <c r="T1199" s="13">
        <v>0.1146637265</v>
      </c>
      <c r="U1199" s="13">
        <v>0.0111469831</v>
      </c>
      <c r="V1199" s="13">
        <v>0.0176405733</v>
      </c>
      <c r="W1199" s="13">
        <v>0</v>
      </c>
      <c r="X1199" s="13">
        <v>0</v>
      </c>
      <c r="Y1199" s="13">
        <v>0</v>
      </c>
      <c r="Z1199" s="13">
        <v>0.0053376894</v>
      </c>
    </row>
    <row r="1200" s="2" customFormat="1" hidden="1" spans="1:26">
      <c r="A1200" s="11" t="s">
        <v>935</v>
      </c>
      <c r="B1200" s="11" t="s">
        <v>937</v>
      </c>
      <c r="C1200" s="14" t="s">
        <v>980</v>
      </c>
      <c r="D1200" s="14" t="s">
        <v>938</v>
      </c>
      <c r="E1200" s="14" t="s">
        <v>939</v>
      </c>
      <c r="F1200" s="3" t="s">
        <v>942</v>
      </c>
      <c r="G1200" s="4">
        <v>0</v>
      </c>
      <c r="H1200" s="12">
        <v>0</v>
      </c>
      <c r="I1200" s="12">
        <v>-43.276537</v>
      </c>
      <c r="J1200" s="13"/>
      <c r="K1200" s="13"/>
      <c r="L1200" s="12"/>
      <c r="M1200" s="13"/>
      <c r="N1200" s="13"/>
      <c r="O1200" s="13"/>
      <c r="P1200" s="13"/>
      <c r="Q1200" s="13"/>
      <c r="R1200" s="13"/>
      <c r="S1200" s="13"/>
      <c r="T1200" s="13"/>
      <c r="U1200" s="13"/>
      <c r="V1200" s="13"/>
      <c r="W1200" s="13"/>
      <c r="X1200" s="13"/>
      <c r="Y1200" s="13"/>
      <c r="Z1200" s="13"/>
    </row>
    <row r="1201" s="2" customFormat="1" hidden="1" spans="1:26">
      <c r="A1201" s="11" t="s">
        <v>935</v>
      </c>
      <c r="B1201" s="11" t="s">
        <v>937</v>
      </c>
      <c r="C1201" s="14" t="s">
        <v>980</v>
      </c>
      <c r="D1201" s="14" t="s">
        <v>938</v>
      </c>
      <c r="E1201" s="14" t="s">
        <v>939</v>
      </c>
      <c r="F1201" s="3" t="s">
        <v>943</v>
      </c>
      <c r="G1201" s="4">
        <v>12</v>
      </c>
      <c r="H1201" s="12">
        <v>1943.984</v>
      </c>
      <c r="I1201" s="12">
        <v>560.03873</v>
      </c>
      <c r="J1201" s="13">
        <v>0.2880881375</v>
      </c>
      <c r="K1201" s="13">
        <v>0.2880881375</v>
      </c>
      <c r="L1201" s="12">
        <v>23.8233333333</v>
      </c>
      <c r="M1201" s="13">
        <v>0.1234580222</v>
      </c>
      <c r="N1201" s="13">
        <v>0.0343383258</v>
      </c>
      <c r="O1201" s="13">
        <v>0.2678746327</v>
      </c>
      <c r="P1201" s="13">
        <v>0</v>
      </c>
      <c r="Q1201" s="13">
        <v>0.0028610446</v>
      </c>
      <c r="R1201" s="13">
        <v>0.1416751289</v>
      </c>
      <c r="S1201" s="13">
        <v>0</v>
      </c>
      <c r="T1201" s="13">
        <v>0.1160976633</v>
      </c>
      <c r="U1201" s="13">
        <v>0.0127316109</v>
      </c>
      <c r="V1201" s="13">
        <v>0</v>
      </c>
      <c r="W1201" s="13">
        <v>0</v>
      </c>
      <c r="X1201" s="13">
        <v>0</v>
      </c>
      <c r="Y1201" s="13">
        <v>0</v>
      </c>
      <c r="Z1201" s="13">
        <v>0.0128754336</v>
      </c>
    </row>
    <row r="1202" s="2" customFormat="1" spans="1:26">
      <c r="A1202" s="11" t="s">
        <v>935</v>
      </c>
      <c r="B1202" s="11" t="s">
        <v>937</v>
      </c>
      <c r="C1202" s="14" t="s">
        <v>980</v>
      </c>
      <c r="D1202" s="14" t="s">
        <v>938</v>
      </c>
      <c r="E1202" s="14" t="s">
        <v>939</v>
      </c>
      <c r="F1202" s="3" t="s">
        <v>944</v>
      </c>
      <c r="G1202" s="4">
        <v>21</v>
      </c>
      <c r="H1202" s="12">
        <v>3137.452</v>
      </c>
      <c r="I1202" s="12">
        <v>596.758001</v>
      </c>
      <c r="J1202" s="13">
        <v>0.1902046632</v>
      </c>
      <c r="K1202" s="13">
        <v>0.1902046632</v>
      </c>
      <c r="L1202" s="12">
        <v>21.9709523809</v>
      </c>
      <c r="M1202" s="13">
        <v>0.133866824</v>
      </c>
      <c r="N1202" s="13">
        <v>0.029359346</v>
      </c>
      <c r="O1202" s="13">
        <v>0.2949348707</v>
      </c>
      <c r="P1202" s="13">
        <v>0</v>
      </c>
      <c r="Q1202" s="13">
        <v>0.0337932491</v>
      </c>
      <c r="R1202" s="13">
        <v>0.1896031929</v>
      </c>
      <c r="S1202" s="13">
        <v>0</v>
      </c>
      <c r="T1202" s="13">
        <v>0.113028024</v>
      </c>
      <c r="U1202" s="13">
        <v>0.0138050188</v>
      </c>
      <c r="V1202" s="13">
        <v>0</v>
      </c>
      <c r="W1202" s="13">
        <v>0</v>
      </c>
      <c r="X1202" s="13">
        <v>0</v>
      </c>
      <c r="Y1202" s="13">
        <v>0</v>
      </c>
      <c r="Z1202" s="13">
        <v>0.0014048109</v>
      </c>
    </row>
    <row r="1203" s="2" customFormat="1" hidden="1" spans="1:26">
      <c r="A1203" s="11" t="s">
        <v>935</v>
      </c>
      <c r="B1203" s="11" t="s">
        <v>937</v>
      </c>
      <c r="C1203" s="14" t="s">
        <v>980</v>
      </c>
      <c r="D1203" s="14" t="s">
        <v>938</v>
      </c>
      <c r="E1203" s="14" t="s">
        <v>939</v>
      </c>
      <c r="F1203" s="3" t="s">
        <v>945</v>
      </c>
      <c r="G1203" s="4">
        <v>0</v>
      </c>
      <c r="H1203" s="12">
        <v>0</v>
      </c>
      <c r="I1203" s="12">
        <v>-9.897617</v>
      </c>
      <c r="J1203" s="13"/>
      <c r="K1203" s="13"/>
      <c r="L1203" s="12"/>
      <c r="M1203" s="13"/>
      <c r="N1203" s="13"/>
      <c r="O1203" s="13"/>
      <c r="P1203" s="13"/>
      <c r="Q1203" s="13"/>
      <c r="R1203" s="13"/>
      <c r="S1203" s="13"/>
      <c r="T1203" s="13"/>
      <c r="U1203" s="13"/>
      <c r="V1203" s="13"/>
      <c r="W1203" s="13"/>
      <c r="X1203" s="13"/>
      <c r="Y1203" s="13"/>
      <c r="Z1203" s="13"/>
    </row>
    <row r="1204" s="2" customFormat="1" hidden="1" spans="1:26">
      <c r="A1204" s="11" t="s">
        <v>935</v>
      </c>
      <c r="B1204" s="11" t="s">
        <v>937</v>
      </c>
      <c r="C1204" s="14" t="s">
        <v>490</v>
      </c>
      <c r="D1204" s="14" t="s">
        <v>938</v>
      </c>
      <c r="E1204" s="14" t="s">
        <v>939</v>
      </c>
      <c r="F1204" s="3" t="s">
        <v>936</v>
      </c>
      <c r="G1204" s="4">
        <v>44</v>
      </c>
      <c r="H1204" s="12">
        <v>6741.452</v>
      </c>
      <c r="I1204" s="12">
        <v>-483.836856</v>
      </c>
      <c r="J1204" s="13">
        <v>-0.0717704221</v>
      </c>
      <c r="K1204" s="13">
        <v>-0.0717704221</v>
      </c>
      <c r="L1204" s="12">
        <v>22.531590909</v>
      </c>
      <c r="M1204" s="13">
        <v>0.1711518278</v>
      </c>
      <c r="N1204" s="13">
        <v>0.0357012455</v>
      </c>
      <c r="O1204" s="13">
        <v>0.324453545</v>
      </c>
      <c r="P1204" s="13">
        <v>0.0241983477</v>
      </c>
      <c r="Q1204" s="13">
        <v>0.0781237859</v>
      </c>
      <c r="R1204" s="13">
        <v>0.3217681774</v>
      </c>
      <c r="S1204" s="13">
        <v>0</v>
      </c>
      <c r="T1204" s="13">
        <v>0.104479569</v>
      </c>
      <c r="U1204" s="13">
        <v>0.0176500316</v>
      </c>
      <c r="V1204" s="13">
        <v>-0.0064374262</v>
      </c>
      <c r="W1204" s="13">
        <v>0</v>
      </c>
      <c r="X1204" s="13">
        <v>0</v>
      </c>
      <c r="Y1204" s="13">
        <v>0</v>
      </c>
      <c r="Z1204" s="13">
        <v>0.000681318</v>
      </c>
    </row>
    <row r="1205" s="2" customFormat="1" hidden="1" spans="1:26">
      <c r="A1205" s="11" t="s">
        <v>935</v>
      </c>
      <c r="B1205" s="11" t="s">
        <v>937</v>
      </c>
      <c r="C1205" s="14" t="s">
        <v>490</v>
      </c>
      <c r="D1205" s="14" t="s">
        <v>938</v>
      </c>
      <c r="E1205" s="14" t="s">
        <v>939</v>
      </c>
      <c r="F1205" s="3" t="s">
        <v>941</v>
      </c>
      <c r="G1205" s="4">
        <v>8</v>
      </c>
      <c r="H1205" s="12">
        <v>1264.256</v>
      </c>
      <c r="I1205" s="12">
        <v>-163.129593</v>
      </c>
      <c r="J1205" s="13">
        <v>-0.1290320892</v>
      </c>
      <c r="K1205" s="13">
        <v>-0.1290320892</v>
      </c>
      <c r="L1205" s="12">
        <v>23.24</v>
      </c>
      <c r="M1205" s="13">
        <v>0.1762441277</v>
      </c>
      <c r="N1205" s="13">
        <v>0.0448214222</v>
      </c>
      <c r="O1205" s="13">
        <v>0.3100796041</v>
      </c>
      <c r="P1205" s="13">
        <v>0</v>
      </c>
      <c r="Q1205" s="13">
        <v>0.0093816663</v>
      </c>
      <c r="R1205" s="13">
        <v>0.4875455002</v>
      </c>
      <c r="S1205" s="13">
        <v>0</v>
      </c>
      <c r="T1205" s="13">
        <v>0.0819169535</v>
      </c>
      <c r="U1205" s="13">
        <v>0.0181751733</v>
      </c>
      <c r="V1205" s="13">
        <v>0</v>
      </c>
      <c r="W1205" s="13">
        <v>0</v>
      </c>
      <c r="X1205" s="13">
        <v>0</v>
      </c>
      <c r="Y1205" s="13">
        <v>0</v>
      </c>
      <c r="Z1205" s="13">
        <v>0.0008676415</v>
      </c>
    </row>
    <row r="1206" s="2" customFormat="1" hidden="1" spans="1:26">
      <c r="A1206" s="11" t="s">
        <v>935</v>
      </c>
      <c r="B1206" s="11" t="s">
        <v>937</v>
      </c>
      <c r="C1206" s="14" t="s">
        <v>490</v>
      </c>
      <c r="D1206" s="14" t="s">
        <v>938</v>
      </c>
      <c r="E1206" s="14" t="s">
        <v>939</v>
      </c>
      <c r="F1206" s="3" t="s">
        <v>942</v>
      </c>
      <c r="G1206" s="4">
        <v>13</v>
      </c>
      <c r="H1206" s="12">
        <v>2079.916</v>
      </c>
      <c r="I1206" s="12">
        <v>395.540627</v>
      </c>
      <c r="J1206" s="13">
        <v>0.1901714429</v>
      </c>
      <c r="K1206" s="13">
        <v>0.1901714429</v>
      </c>
      <c r="L1206" s="12">
        <v>23.5284615384</v>
      </c>
      <c r="M1206" s="13">
        <v>0.1740833552</v>
      </c>
      <c r="N1206" s="13">
        <v>0.0393211192</v>
      </c>
      <c r="O1206" s="13">
        <v>0.3143492333</v>
      </c>
      <c r="P1206" s="13">
        <v>0</v>
      </c>
      <c r="Q1206" s="13">
        <v>0.03166805</v>
      </c>
      <c r="R1206" s="13">
        <v>0.1171140752</v>
      </c>
      <c r="S1206" s="13">
        <v>0</v>
      </c>
      <c r="T1206" s="13">
        <v>0.1138719063</v>
      </c>
      <c r="U1206" s="13">
        <v>0.0179523437</v>
      </c>
      <c r="V1206" s="13">
        <v>0</v>
      </c>
      <c r="W1206" s="13">
        <v>0</v>
      </c>
      <c r="X1206" s="13">
        <v>0</v>
      </c>
      <c r="Y1206" s="13">
        <v>0</v>
      </c>
      <c r="Z1206" s="13">
        <v>0.0014684737</v>
      </c>
    </row>
    <row r="1207" s="2" customFormat="1" hidden="1" spans="1:26">
      <c r="A1207" s="11" t="s">
        <v>935</v>
      </c>
      <c r="B1207" s="11" t="s">
        <v>937</v>
      </c>
      <c r="C1207" s="14" t="s">
        <v>490</v>
      </c>
      <c r="D1207" s="14" t="s">
        <v>938</v>
      </c>
      <c r="E1207" s="14" t="s">
        <v>939</v>
      </c>
      <c r="F1207" s="3" t="s">
        <v>943</v>
      </c>
      <c r="G1207" s="4">
        <v>9</v>
      </c>
      <c r="H1207" s="12">
        <v>1272.348</v>
      </c>
      <c r="I1207" s="12">
        <v>-146.775982</v>
      </c>
      <c r="J1207" s="13">
        <v>-0.1153583626</v>
      </c>
      <c r="K1207" s="13">
        <v>-0.1153583626</v>
      </c>
      <c r="L1207" s="12">
        <v>20.79</v>
      </c>
      <c r="M1207" s="13">
        <v>0.182920168</v>
      </c>
      <c r="N1207" s="13">
        <v>0.0309735025</v>
      </c>
      <c r="O1207" s="13">
        <v>0.367003367</v>
      </c>
      <c r="P1207" s="13">
        <v>0</v>
      </c>
      <c r="Q1207" s="13">
        <v>0.1325149872</v>
      </c>
      <c r="R1207" s="13">
        <v>0.2661728126</v>
      </c>
      <c r="S1207" s="13">
        <v>0</v>
      </c>
      <c r="T1207" s="13">
        <v>0.1168296723</v>
      </c>
      <c r="U1207" s="13">
        <v>0.0188636434</v>
      </c>
      <c r="V1207" s="13">
        <v>0</v>
      </c>
      <c r="W1207" s="13">
        <v>0</v>
      </c>
      <c r="X1207" s="13">
        <v>0</v>
      </c>
      <c r="Y1207" s="13">
        <v>0</v>
      </c>
      <c r="Z1207" s="13">
        <v>8.02091e-5</v>
      </c>
    </row>
    <row r="1208" s="2" customFormat="1" spans="1:26">
      <c r="A1208" s="11" t="s">
        <v>935</v>
      </c>
      <c r="B1208" s="11" t="s">
        <v>937</v>
      </c>
      <c r="C1208" s="14" t="s">
        <v>490</v>
      </c>
      <c r="D1208" s="14" t="s">
        <v>938</v>
      </c>
      <c r="E1208" s="14" t="s">
        <v>939</v>
      </c>
      <c r="F1208" s="3" t="s">
        <v>944</v>
      </c>
      <c r="G1208" s="4">
        <v>13</v>
      </c>
      <c r="H1208" s="12">
        <v>1969.96</v>
      </c>
      <c r="I1208" s="12">
        <v>-570.538841</v>
      </c>
      <c r="J1208" s="13">
        <v>-0.2896195054</v>
      </c>
      <c r="K1208" s="13">
        <v>-0.2896195054</v>
      </c>
      <c r="L1208" s="12">
        <v>22.2846153846</v>
      </c>
      <c r="M1208" s="13">
        <v>0.1575247619</v>
      </c>
      <c r="N1208" s="13">
        <v>0.0294354037</v>
      </c>
      <c r="O1208" s="13">
        <v>0.3160510873</v>
      </c>
      <c r="P1208" s="13">
        <v>0.0828098032</v>
      </c>
      <c r="Q1208" s="13">
        <v>0.142244812</v>
      </c>
      <c r="R1208" s="13">
        <v>0.4665792782</v>
      </c>
      <c r="S1208" s="13">
        <v>0</v>
      </c>
      <c r="T1208" s="13">
        <v>0.1005868139</v>
      </c>
      <c r="U1208" s="13">
        <v>0.016244742</v>
      </c>
      <c r="V1208" s="13">
        <v>-0.0220296858</v>
      </c>
      <c r="W1208" s="13">
        <v>0</v>
      </c>
      <c r="X1208" s="13">
        <v>0</v>
      </c>
      <c r="Y1208" s="13">
        <v>0</v>
      </c>
      <c r="Z1208" s="13">
        <v>0.0001724887</v>
      </c>
    </row>
    <row r="1209" s="2" customFormat="1" hidden="1" spans="1:26">
      <c r="A1209" s="11" t="s">
        <v>935</v>
      </c>
      <c r="B1209" s="11" t="s">
        <v>937</v>
      </c>
      <c r="C1209" s="14" t="s">
        <v>490</v>
      </c>
      <c r="D1209" s="14" t="s">
        <v>938</v>
      </c>
      <c r="E1209" s="14" t="s">
        <v>939</v>
      </c>
      <c r="F1209" s="3" t="s">
        <v>945</v>
      </c>
      <c r="G1209" s="4">
        <v>1</v>
      </c>
      <c r="H1209" s="12">
        <v>154.972</v>
      </c>
      <c r="I1209" s="12">
        <v>1.066933</v>
      </c>
      <c r="J1209" s="13">
        <v>0.0068846823</v>
      </c>
      <c r="K1209" s="13">
        <v>0.0068846823</v>
      </c>
      <c r="L1209" s="12">
        <v>22.79</v>
      </c>
      <c r="M1209" s="13">
        <v>0.1668674986</v>
      </c>
      <c r="N1209" s="13">
        <v>0.0311812069</v>
      </c>
      <c r="O1209" s="13">
        <v>0.3347959631</v>
      </c>
      <c r="P1209" s="13">
        <v>0</v>
      </c>
      <c r="Q1209" s="13">
        <v>0.000763183</v>
      </c>
      <c r="R1209" s="13">
        <v>0.3317244405</v>
      </c>
      <c r="S1209" s="13">
        <v>0</v>
      </c>
      <c r="T1209" s="13">
        <v>0.1105748135</v>
      </c>
      <c r="U1209" s="13">
        <v>0.0172082118</v>
      </c>
      <c r="V1209" s="13">
        <v>0</v>
      </c>
      <c r="W1209" s="13">
        <v>0</v>
      </c>
      <c r="X1209" s="13">
        <v>0</v>
      </c>
      <c r="Y1209" s="13">
        <v>0</v>
      </c>
      <c r="Z1209" s="13">
        <v>0</v>
      </c>
    </row>
    <row r="1210" s="2" customFormat="1" hidden="1" spans="1:26">
      <c r="A1210" s="11" t="s">
        <v>935</v>
      </c>
      <c r="B1210" s="11" t="s">
        <v>937</v>
      </c>
      <c r="C1210" s="14" t="s">
        <v>495</v>
      </c>
      <c r="D1210" s="14" t="s">
        <v>938</v>
      </c>
      <c r="E1210" s="14" t="s">
        <v>939</v>
      </c>
      <c r="F1210" s="3" t="s">
        <v>936</v>
      </c>
      <c r="G1210" s="4">
        <v>145</v>
      </c>
      <c r="H1210" s="12">
        <v>21732.256</v>
      </c>
      <c r="I1210" s="12">
        <v>-72.113162</v>
      </c>
      <c r="J1210" s="13">
        <v>-0.0033182547</v>
      </c>
      <c r="K1210" s="13">
        <v>-0.0033182547</v>
      </c>
      <c r="L1210" s="12">
        <v>22.0408275862</v>
      </c>
      <c r="M1210" s="13">
        <v>0.1349765214</v>
      </c>
      <c r="N1210" s="13">
        <v>0.0766973362</v>
      </c>
      <c r="O1210" s="13">
        <v>0.3349864827</v>
      </c>
      <c r="P1210" s="13">
        <v>0.0331766752</v>
      </c>
      <c r="Q1210" s="13">
        <v>0.0215978278</v>
      </c>
      <c r="R1210" s="13">
        <v>0.279919331</v>
      </c>
      <c r="S1210" s="13">
        <v>0</v>
      </c>
      <c r="T1210" s="13">
        <v>0.1099433027</v>
      </c>
      <c r="U1210" s="13">
        <v>0.0139194532</v>
      </c>
      <c r="V1210" s="13">
        <v>0.0009136649</v>
      </c>
      <c r="W1210" s="13">
        <v>-0.0030077868</v>
      </c>
      <c r="X1210" s="13">
        <v>0</v>
      </c>
      <c r="Y1210" s="13">
        <v>0</v>
      </c>
      <c r="Z1210" s="13">
        <v>0.0001954461</v>
      </c>
    </row>
    <row r="1211" s="2" customFormat="1" hidden="1" spans="1:26">
      <c r="A1211" s="11" t="s">
        <v>935</v>
      </c>
      <c r="B1211" s="11" t="s">
        <v>937</v>
      </c>
      <c r="C1211" s="14" t="s">
        <v>495</v>
      </c>
      <c r="D1211" s="14" t="s">
        <v>938</v>
      </c>
      <c r="E1211" s="14" t="s">
        <v>939</v>
      </c>
      <c r="F1211" s="3" t="s">
        <v>942</v>
      </c>
      <c r="G1211" s="4">
        <v>6</v>
      </c>
      <c r="H1211" s="12">
        <v>978.792</v>
      </c>
      <c r="I1211" s="12">
        <v>-21.2672</v>
      </c>
      <c r="J1211" s="13">
        <v>-0.0217280075</v>
      </c>
      <c r="K1211" s="13">
        <v>-0.0217280075</v>
      </c>
      <c r="L1211" s="12">
        <v>23.99</v>
      </c>
      <c r="M1211" s="13">
        <v>0.1349629502</v>
      </c>
      <c r="N1211" s="13">
        <v>0.04360817</v>
      </c>
      <c r="O1211" s="13">
        <v>0.3042934556</v>
      </c>
      <c r="P1211" s="13">
        <v>0</v>
      </c>
      <c r="Q1211" s="13">
        <v>0.0060199143</v>
      </c>
      <c r="R1211" s="13">
        <v>0.4413141524</v>
      </c>
      <c r="S1211" s="13">
        <v>0</v>
      </c>
      <c r="T1211" s="13">
        <v>0.0761428372</v>
      </c>
      <c r="U1211" s="13">
        <v>0.013918054</v>
      </c>
      <c r="V1211" s="13">
        <v>0</v>
      </c>
      <c r="W1211" s="13">
        <v>0</v>
      </c>
      <c r="X1211" s="13">
        <v>0</v>
      </c>
      <c r="Y1211" s="13">
        <v>0</v>
      </c>
      <c r="Z1211" s="13">
        <v>0.0014684733</v>
      </c>
    </row>
    <row r="1212" s="2" customFormat="1" hidden="1" spans="1:26">
      <c r="A1212" s="11" t="s">
        <v>935</v>
      </c>
      <c r="B1212" s="11" t="s">
        <v>937</v>
      </c>
      <c r="C1212" s="14" t="s">
        <v>495</v>
      </c>
      <c r="D1212" s="14" t="s">
        <v>938</v>
      </c>
      <c r="E1212" s="14" t="s">
        <v>939</v>
      </c>
      <c r="F1212" s="3" t="s">
        <v>943</v>
      </c>
      <c r="G1212" s="4">
        <v>46</v>
      </c>
      <c r="H1212" s="12">
        <v>6815.096</v>
      </c>
      <c r="I1212" s="12">
        <v>-100.219098</v>
      </c>
      <c r="J1212" s="13">
        <v>-0.0147054565</v>
      </c>
      <c r="K1212" s="13">
        <v>-0.0147054565</v>
      </c>
      <c r="L1212" s="12">
        <v>21.7873913043</v>
      </c>
      <c r="M1212" s="13">
        <v>0.139754516</v>
      </c>
      <c r="N1212" s="13">
        <v>0.0779822187</v>
      </c>
      <c r="O1212" s="13">
        <v>0.3465207239</v>
      </c>
      <c r="P1212" s="13">
        <v>0</v>
      </c>
      <c r="Q1212" s="13">
        <v>0.0147531471</v>
      </c>
      <c r="R1212" s="13">
        <v>0.306028145</v>
      </c>
      <c r="S1212" s="13">
        <v>0</v>
      </c>
      <c r="T1212" s="13">
        <v>0.115174313</v>
      </c>
      <c r="U1212" s="13">
        <v>0.0144121874</v>
      </c>
      <c r="V1212" s="13">
        <v>0</v>
      </c>
      <c r="W1212" s="13">
        <v>0</v>
      </c>
      <c r="X1212" s="13">
        <v>0</v>
      </c>
      <c r="Y1212" s="13">
        <v>0</v>
      </c>
      <c r="Z1212" s="13">
        <v>8.0205e-5</v>
      </c>
    </row>
    <row r="1213" s="2" customFormat="1" spans="1:26">
      <c r="A1213" s="11" t="s">
        <v>935</v>
      </c>
      <c r="B1213" s="11" t="s">
        <v>937</v>
      </c>
      <c r="C1213" s="14" t="s">
        <v>495</v>
      </c>
      <c r="D1213" s="14" t="s">
        <v>938</v>
      </c>
      <c r="E1213" s="14" t="s">
        <v>939</v>
      </c>
      <c r="F1213" s="3" t="s">
        <v>944</v>
      </c>
      <c r="G1213" s="4">
        <v>88</v>
      </c>
      <c r="H1213" s="12">
        <v>13122.708</v>
      </c>
      <c r="I1213" s="12">
        <v>-2.505266</v>
      </c>
      <c r="J1213" s="13">
        <v>-0.0001909107</v>
      </c>
      <c r="K1213" s="13">
        <v>-0.0001909107</v>
      </c>
      <c r="L1213" s="12">
        <v>21.9296590908</v>
      </c>
      <c r="M1213" s="13">
        <v>0.1330588114</v>
      </c>
      <c r="N1213" s="13">
        <v>0.0786394709</v>
      </c>
      <c r="O1213" s="13">
        <v>0.332545691</v>
      </c>
      <c r="P1213" s="13">
        <v>0.0549432327</v>
      </c>
      <c r="Q1213" s="13">
        <v>0.0276094425</v>
      </c>
      <c r="R1213" s="13">
        <v>0.253097197</v>
      </c>
      <c r="S1213" s="13">
        <v>0</v>
      </c>
      <c r="T1213" s="13">
        <v>0.1098709199</v>
      </c>
      <c r="U1213" s="13">
        <v>0.0137216876</v>
      </c>
      <c r="V1213" s="13">
        <v>0.0015131023</v>
      </c>
      <c r="W1213" s="13">
        <v>-0.004981136</v>
      </c>
      <c r="X1213" s="13">
        <v>0</v>
      </c>
      <c r="Y1213" s="13">
        <v>0</v>
      </c>
      <c r="Z1213" s="13">
        <v>0.000172491</v>
      </c>
    </row>
    <row r="1214" s="2" customFormat="1" hidden="1" spans="1:26">
      <c r="A1214" s="11" t="s">
        <v>935</v>
      </c>
      <c r="B1214" s="11" t="s">
        <v>937</v>
      </c>
      <c r="C1214" s="14" t="s">
        <v>495</v>
      </c>
      <c r="D1214" s="14" t="s">
        <v>938</v>
      </c>
      <c r="E1214" s="14" t="s">
        <v>939</v>
      </c>
      <c r="F1214" s="3" t="s">
        <v>945</v>
      </c>
      <c r="G1214" s="4">
        <v>5</v>
      </c>
      <c r="H1214" s="12">
        <v>815.66</v>
      </c>
      <c r="I1214" s="12">
        <v>51.878402</v>
      </c>
      <c r="J1214" s="13">
        <v>0.0636029742</v>
      </c>
      <c r="K1214" s="13">
        <v>0.0636029742</v>
      </c>
      <c r="L1214" s="12">
        <v>23.99</v>
      </c>
      <c r="M1214" s="13">
        <v>0.1259241473</v>
      </c>
      <c r="N1214" s="13">
        <v>0.0744227925</v>
      </c>
      <c r="O1214" s="13">
        <v>0.3147144643</v>
      </c>
      <c r="P1214" s="13">
        <v>0</v>
      </c>
      <c r="Q1214" s="13">
        <v>0.0007632015</v>
      </c>
      <c r="R1214" s="13">
        <v>0.2996248436</v>
      </c>
      <c r="S1214" s="13">
        <v>0</v>
      </c>
      <c r="T1214" s="13">
        <v>0.1079616506</v>
      </c>
      <c r="U1214" s="13">
        <v>0.0129859255</v>
      </c>
      <c r="V1214" s="13">
        <v>0</v>
      </c>
      <c r="W1214" s="13">
        <v>0</v>
      </c>
      <c r="X1214" s="13">
        <v>0</v>
      </c>
      <c r="Y1214" s="13">
        <v>0</v>
      </c>
      <c r="Z1214" s="13">
        <v>0</v>
      </c>
    </row>
    <row r="1215" s="2" customFormat="1" hidden="1" spans="1:26">
      <c r="A1215" s="11" t="s">
        <v>935</v>
      </c>
      <c r="B1215" s="11" t="s">
        <v>937</v>
      </c>
      <c r="C1215" s="14" t="s">
        <v>500</v>
      </c>
      <c r="D1215" s="14" t="s">
        <v>938</v>
      </c>
      <c r="E1215" s="14" t="s">
        <v>939</v>
      </c>
      <c r="F1215" s="3" t="s">
        <v>936</v>
      </c>
      <c r="G1215" s="4">
        <v>226</v>
      </c>
      <c r="H1215" s="12">
        <v>33733.848</v>
      </c>
      <c r="I1215" s="12">
        <v>1247.421308</v>
      </c>
      <c r="J1215" s="13">
        <v>0.0369783283</v>
      </c>
      <c r="K1215" s="13">
        <v>0.0369783283</v>
      </c>
      <c r="L1215" s="12">
        <v>21.9507079645</v>
      </c>
      <c r="M1215" s="13">
        <v>0.1401857692</v>
      </c>
      <c r="N1215" s="13">
        <v>0.0346050266</v>
      </c>
      <c r="O1215" s="13">
        <v>0.2714791386</v>
      </c>
      <c r="P1215" s="13">
        <v>0.072584189</v>
      </c>
      <c r="Q1215" s="13">
        <v>0.0128537773</v>
      </c>
      <c r="R1215" s="13">
        <v>0.3363927127</v>
      </c>
      <c r="S1215" s="13">
        <v>0</v>
      </c>
      <c r="T1215" s="13">
        <v>0.1047560302</v>
      </c>
      <c r="U1215" s="13">
        <v>0.0144566584</v>
      </c>
      <c r="V1215" s="13">
        <v>-0.0210197425</v>
      </c>
      <c r="W1215" s="13">
        <v>-0.0038951075</v>
      </c>
      <c r="X1215" s="13">
        <v>0</v>
      </c>
      <c r="Y1215" s="13">
        <v>0</v>
      </c>
      <c r="Z1215" s="13">
        <v>0.0006232192</v>
      </c>
    </row>
    <row r="1216" s="2" customFormat="1" hidden="1" spans="1:26">
      <c r="A1216" s="11" t="s">
        <v>935</v>
      </c>
      <c r="B1216" s="11" t="s">
        <v>937</v>
      </c>
      <c r="C1216" s="14" t="s">
        <v>500</v>
      </c>
      <c r="D1216" s="14" t="s">
        <v>938</v>
      </c>
      <c r="E1216" s="14" t="s">
        <v>939</v>
      </c>
      <c r="F1216" s="3" t="s">
        <v>940</v>
      </c>
      <c r="G1216" s="4">
        <v>18</v>
      </c>
      <c r="H1216" s="12">
        <v>2936.376</v>
      </c>
      <c r="I1216" s="12">
        <v>-49.138449</v>
      </c>
      <c r="J1216" s="13">
        <v>-0.0167343858</v>
      </c>
      <c r="K1216" s="13">
        <v>-0.0167343858</v>
      </c>
      <c r="L1216" s="12">
        <v>23.99</v>
      </c>
      <c r="M1216" s="13">
        <v>0.1347102527</v>
      </c>
      <c r="N1216" s="13">
        <v>0.0297325597</v>
      </c>
      <c r="O1216" s="13">
        <v>0.2467694872</v>
      </c>
      <c r="P1216" s="13">
        <v>0</v>
      </c>
      <c r="Q1216" s="13">
        <v>0.0180944024</v>
      </c>
      <c r="R1216" s="13">
        <v>0.4789969775</v>
      </c>
      <c r="S1216" s="13">
        <v>0</v>
      </c>
      <c r="T1216" s="13">
        <v>0.0941596035</v>
      </c>
      <c r="U1216" s="13">
        <v>0.0138919954</v>
      </c>
      <c r="V1216" s="13">
        <v>0</v>
      </c>
      <c r="W1216" s="13">
        <v>0</v>
      </c>
      <c r="X1216" s="13">
        <v>0</v>
      </c>
      <c r="Y1216" s="13">
        <v>0</v>
      </c>
      <c r="Z1216" s="13">
        <v>0.0003791071</v>
      </c>
    </row>
    <row r="1217" s="2" customFormat="1" hidden="1" spans="1:26">
      <c r="A1217" s="11" t="s">
        <v>935</v>
      </c>
      <c r="B1217" s="11" t="s">
        <v>937</v>
      </c>
      <c r="C1217" s="14" t="s">
        <v>500</v>
      </c>
      <c r="D1217" s="14" t="s">
        <v>938</v>
      </c>
      <c r="E1217" s="14" t="s">
        <v>939</v>
      </c>
      <c r="F1217" s="3" t="s">
        <v>941</v>
      </c>
      <c r="G1217" s="4">
        <v>57</v>
      </c>
      <c r="H1217" s="12">
        <v>8367.128</v>
      </c>
      <c r="I1217" s="12">
        <v>15.585253</v>
      </c>
      <c r="J1217" s="13">
        <v>0.0018626765</v>
      </c>
      <c r="K1217" s="13">
        <v>0.0018626765</v>
      </c>
      <c r="L1217" s="12">
        <v>21.5870175438</v>
      </c>
      <c r="M1217" s="13">
        <v>0.1468704731</v>
      </c>
      <c r="N1217" s="13">
        <v>0.0172540005</v>
      </c>
      <c r="O1217" s="13">
        <v>0.2695577263</v>
      </c>
      <c r="P1217" s="13">
        <v>0.0194967735</v>
      </c>
      <c r="Q1217" s="13">
        <v>0.0058274899</v>
      </c>
      <c r="R1217" s="13">
        <v>0.4136510072</v>
      </c>
      <c r="S1217" s="13">
        <v>0</v>
      </c>
      <c r="T1217" s="13">
        <v>0.1119987646</v>
      </c>
      <c r="U1217" s="13">
        <v>0.015146018</v>
      </c>
      <c r="V1217" s="13">
        <v>0.000398225</v>
      </c>
      <c r="W1217" s="13">
        <v>-0.0029307941</v>
      </c>
      <c r="X1217" s="13">
        <v>0</v>
      </c>
      <c r="Y1217" s="13">
        <v>0</v>
      </c>
      <c r="Z1217" s="13">
        <v>0.000867639</v>
      </c>
    </row>
    <row r="1218" s="2" customFormat="1" hidden="1" spans="1:26">
      <c r="A1218" s="11" t="s">
        <v>935</v>
      </c>
      <c r="B1218" s="11" t="s">
        <v>937</v>
      </c>
      <c r="C1218" s="14" t="s">
        <v>500</v>
      </c>
      <c r="D1218" s="14" t="s">
        <v>938</v>
      </c>
      <c r="E1218" s="14" t="s">
        <v>939</v>
      </c>
      <c r="F1218" s="3" t="s">
        <v>942</v>
      </c>
      <c r="G1218" s="4">
        <v>52</v>
      </c>
      <c r="H1218" s="12">
        <v>7065.404</v>
      </c>
      <c r="I1218" s="12">
        <v>-386.488557</v>
      </c>
      <c r="J1218" s="13">
        <v>-0.0547015509</v>
      </c>
      <c r="K1218" s="13">
        <v>-0.0547015509</v>
      </c>
      <c r="L1218" s="12">
        <v>19.9813461538</v>
      </c>
      <c r="M1218" s="13">
        <v>0.1490826545</v>
      </c>
      <c r="N1218" s="13">
        <v>0.0254025391</v>
      </c>
      <c r="O1218" s="13">
        <v>0.2831679547</v>
      </c>
      <c r="P1218" s="13">
        <v>0.2322647084</v>
      </c>
      <c r="Q1218" s="13">
        <v>0.014354984</v>
      </c>
      <c r="R1218" s="13">
        <v>0.3504383155</v>
      </c>
      <c r="S1218" s="13">
        <v>0</v>
      </c>
      <c r="T1218" s="13">
        <v>0.0933563034</v>
      </c>
      <c r="U1218" s="13">
        <v>0.0153741493</v>
      </c>
      <c r="V1218" s="13">
        <v>-0.1029383174</v>
      </c>
      <c r="W1218" s="13">
        <v>-0.0072702163</v>
      </c>
      <c r="X1218" s="13">
        <v>0</v>
      </c>
      <c r="Y1218" s="13">
        <v>0</v>
      </c>
      <c r="Z1218" s="13">
        <v>0.0014684754</v>
      </c>
    </row>
    <row r="1219" s="2" customFormat="1" hidden="1" spans="1:26">
      <c r="A1219" s="11" t="s">
        <v>935</v>
      </c>
      <c r="B1219" s="11" t="s">
        <v>937</v>
      </c>
      <c r="C1219" s="14" t="s">
        <v>500</v>
      </c>
      <c r="D1219" s="14" t="s">
        <v>938</v>
      </c>
      <c r="E1219" s="14" t="s">
        <v>939</v>
      </c>
      <c r="F1219" s="3" t="s">
        <v>943</v>
      </c>
      <c r="G1219" s="4">
        <v>16</v>
      </c>
      <c r="H1219" s="12">
        <v>1928.616</v>
      </c>
      <c r="I1219" s="12">
        <v>-158.340774</v>
      </c>
      <c r="J1219" s="13">
        <v>-0.0821007261</v>
      </c>
      <c r="K1219" s="13">
        <v>-0.0821007261</v>
      </c>
      <c r="L1219" s="12">
        <v>17.72625</v>
      </c>
      <c r="M1219" s="13">
        <v>0.1344504722</v>
      </c>
      <c r="N1219" s="13">
        <v>0.0232652845</v>
      </c>
      <c r="O1219" s="13">
        <v>0.2696213243</v>
      </c>
      <c r="P1219" s="13">
        <v>0</v>
      </c>
      <c r="Q1219" s="13">
        <v>0.0071763072</v>
      </c>
      <c r="R1219" s="13">
        <v>0.5254958576</v>
      </c>
      <c r="S1219" s="13">
        <v>0</v>
      </c>
      <c r="T1219" s="13">
        <v>0.1135674494</v>
      </c>
      <c r="U1219" s="13">
        <v>0.0138652048</v>
      </c>
      <c r="V1219" s="13">
        <v>0.0077215993</v>
      </c>
      <c r="W1219" s="13">
        <v>-0.0131429797</v>
      </c>
      <c r="X1219" s="13">
        <v>0</v>
      </c>
      <c r="Y1219" s="13">
        <v>0</v>
      </c>
      <c r="Z1219" s="13">
        <v>8.02062e-5</v>
      </c>
    </row>
    <row r="1220" s="2" customFormat="1" spans="1:26">
      <c r="A1220" s="11" t="s">
        <v>935</v>
      </c>
      <c r="B1220" s="11" t="s">
        <v>937</v>
      </c>
      <c r="C1220" s="14" t="s">
        <v>500</v>
      </c>
      <c r="D1220" s="14" t="s">
        <v>938</v>
      </c>
      <c r="E1220" s="14" t="s">
        <v>939</v>
      </c>
      <c r="F1220" s="3" t="s">
        <v>944</v>
      </c>
      <c r="G1220" s="4">
        <v>76</v>
      </c>
      <c r="H1220" s="12">
        <v>12294.4</v>
      </c>
      <c r="I1220" s="12">
        <v>1599.479282</v>
      </c>
      <c r="J1220" s="13">
        <v>0.1300981977</v>
      </c>
      <c r="K1220" s="13">
        <v>0.1300981977</v>
      </c>
      <c r="L1220" s="12">
        <v>23.7894736842</v>
      </c>
      <c r="M1220" s="13">
        <v>0.1334593292</v>
      </c>
      <c r="N1220" s="13">
        <v>0.0529791474</v>
      </c>
      <c r="O1220" s="13">
        <v>0.2723893805</v>
      </c>
      <c r="P1220" s="13">
        <v>0.0524115044</v>
      </c>
      <c r="Q1220" s="13">
        <v>0.0175348475</v>
      </c>
      <c r="R1220" s="13">
        <v>0.2225766603</v>
      </c>
      <c r="S1220" s="13">
        <v>0</v>
      </c>
      <c r="T1220" s="13">
        <v>0.107068584</v>
      </c>
      <c r="U1220" s="13">
        <v>0.0137629951</v>
      </c>
      <c r="V1220" s="13">
        <v>0</v>
      </c>
      <c r="W1220" s="13">
        <v>-0.0024531378</v>
      </c>
      <c r="X1220" s="13">
        <v>0</v>
      </c>
      <c r="Y1220" s="13">
        <v>0</v>
      </c>
      <c r="Z1220" s="13">
        <v>0.0001724912</v>
      </c>
    </row>
    <row r="1221" s="2" customFormat="1" hidden="1" spans="1:26">
      <c r="A1221" s="11" t="s">
        <v>935</v>
      </c>
      <c r="B1221" s="11" t="s">
        <v>937</v>
      </c>
      <c r="C1221" s="14" t="s">
        <v>500</v>
      </c>
      <c r="D1221" s="14" t="s">
        <v>938</v>
      </c>
      <c r="E1221" s="14" t="s">
        <v>939</v>
      </c>
      <c r="F1221" s="3" t="s">
        <v>945</v>
      </c>
      <c r="G1221" s="4">
        <v>7</v>
      </c>
      <c r="H1221" s="12">
        <v>1141.924</v>
      </c>
      <c r="I1221" s="12">
        <v>226.324553</v>
      </c>
      <c r="J1221" s="13">
        <v>0.1981958107</v>
      </c>
      <c r="K1221" s="13">
        <v>0.1981958107</v>
      </c>
      <c r="L1221" s="12">
        <v>23.99</v>
      </c>
      <c r="M1221" s="13">
        <v>0.1323437768</v>
      </c>
      <c r="N1221" s="13">
        <v>0.052536308</v>
      </c>
      <c r="O1221" s="13">
        <v>0.2701125468</v>
      </c>
      <c r="P1221" s="13">
        <v>0</v>
      </c>
      <c r="Q1221" s="13">
        <v>0.0007631987</v>
      </c>
      <c r="R1221" s="13">
        <v>0.2227118441</v>
      </c>
      <c r="S1221" s="13">
        <v>0</v>
      </c>
      <c r="T1221" s="13">
        <v>0.1096885607</v>
      </c>
      <c r="U1221" s="13">
        <v>0.0136479538</v>
      </c>
      <c r="V1221" s="13">
        <v>0</v>
      </c>
      <c r="W1221" s="13">
        <v>0</v>
      </c>
      <c r="X1221" s="13">
        <v>0</v>
      </c>
      <c r="Y1221" s="13">
        <v>0</v>
      </c>
      <c r="Z1221" s="13">
        <v>0</v>
      </c>
    </row>
    <row r="1222" s="2" customFormat="1" hidden="1" spans="1:26">
      <c r="A1222" s="11" t="s">
        <v>935</v>
      </c>
      <c r="B1222" s="11" t="s">
        <v>937</v>
      </c>
      <c r="C1222" s="14" t="s">
        <v>505</v>
      </c>
      <c r="D1222" s="14" t="s">
        <v>938</v>
      </c>
      <c r="E1222" s="14" t="s">
        <v>939</v>
      </c>
      <c r="F1222" s="3" t="s">
        <v>936</v>
      </c>
      <c r="G1222" s="4">
        <v>96</v>
      </c>
      <c r="H1222" s="12">
        <v>14998.352</v>
      </c>
      <c r="I1222" s="12">
        <v>-1363.417216</v>
      </c>
      <c r="J1222" s="13">
        <v>-0.0909044684</v>
      </c>
      <c r="K1222" s="13">
        <v>-0.0909044684</v>
      </c>
      <c r="L1222" s="12">
        <v>22.9754166666</v>
      </c>
      <c r="M1222" s="13">
        <v>0.1406915667</v>
      </c>
      <c r="N1222" s="13">
        <v>0.0614888441</v>
      </c>
      <c r="O1222" s="13">
        <v>0.3419188988</v>
      </c>
      <c r="P1222" s="13">
        <v>0.0181081228</v>
      </c>
      <c r="Q1222" s="13">
        <v>0.0602807898</v>
      </c>
      <c r="R1222" s="13">
        <v>0.3537568763</v>
      </c>
      <c r="S1222" s="13">
        <v>0</v>
      </c>
      <c r="T1222" s="13">
        <v>0.1095872399</v>
      </c>
      <c r="U1222" s="13">
        <v>0.0145088187</v>
      </c>
      <c r="V1222" s="13">
        <v>-0.0079323915</v>
      </c>
      <c r="W1222" s="13">
        <v>-0.0019932013</v>
      </c>
      <c r="X1222" s="13">
        <v>0</v>
      </c>
      <c r="Y1222" s="13">
        <v>0</v>
      </c>
      <c r="Z1222" s="13">
        <v>0.0004889038</v>
      </c>
    </row>
    <row r="1223" s="2" customFormat="1" hidden="1" spans="1:26">
      <c r="A1223" s="11" t="s">
        <v>935</v>
      </c>
      <c r="B1223" s="11" t="s">
        <v>937</v>
      </c>
      <c r="C1223" s="14" t="s">
        <v>505</v>
      </c>
      <c r="D1223" s="14" t="s">
        <v>938</v>
      </c>
      <c r="E1223" s="14" t="s">
        <v>939</v>
      </c>
      <c r="F1223" s="3" t="s">
        <v>940</v>
      </c>
      <c r="G1223" s="4">
        <v>2</v>
      </c>
      <c r="H1223" s="12">
        <v>339.864</v>
      </c>
      <c r="I1223" s="12">
        <v>-281.201756</v>
      </c>
      <c r="J1223" s="13">
        <v>-0.8273949462</v>
      </c>
      <c r="K1223" s="13">
        <v>-0.8273949462</v>
      </c>
      <c r="L1223" s="12">
        <v>24.99</v>
      </c>
      <c r="M1223" s="13">
        <v>0.1298996598</v>
      </c>
      <c r="N1223" s="13">
        <v>0.0558391474</v>
      </c>
      <c r="O1223" s="13">
        <v>0.3013205282</v>
      </c>
      <c r="P1223" s="13">
        <v>0</v>
      </c>
      <c r="Q1223" s="13">
        <v>0.0180943642</v>
      </c>
      <c r="R1223" s="13">
        <v>1.2964614257</v>
      </c>
      <c r="S1223" s="13">
        <v>0</v>
      </c>
      <c r="T1223" s="13">
        <v>0.0120048019</v>
      </c>
      <c r="U1223" s="13">
        <v>0.0133959054</v>
      </c>
      <c r="V1223" s="13">
        <v>0</v>
      </c>
      <c r="W1223" s="13">
        <v>0</v>
      </c>
      <c r="X1223" s="13">
        <v>0</v>
      </c>
      <c r="Y1223" s="13">
        <v>0</v>
      </c>
      <c r="Z1223" s="13">
        <v>0.0003791134</v>
      </c>
    </row>
    <row r="1224" s="2" customFormat="1" hidden="1" spans="1:26">
      <c r="A1224" s="11" t="s">
        <v>935</v>
      </c>
      <c r="B1224" s="11" t="s">
        <v>937</v>
      </c>
      <c r="C1224" s="14" t="s">
        <v>505</v>
      </c>
      <c r="D1224" s="14" t="s">
        <v>938</v>
      </c>
      <c r="E1224" s="14" t="s">
        <v>939</v>
      </c>
      <c r="F1224" s="3" t="s">
        <v>941</v>
      </c>
      <c r="G1224" s="4">
        <v>16</v>
      </c>
      <c r="H1224" s="12">
        <v>2341.648</v>
      </c>
      <c r="I1224" s="12">
        <v>254.43546</v>
      </c>
      <c r="J1224" s="13">
        <v>0.1086565786</v>
      </c>
      <c r="K1224" s="13">
        <v>0.1086565786</v>
      </c>
      <c r="L1224" s="12">
        <v>21.5225</v>
      </c>
      <c r="M1224" s="13">
        <v>0.1508278545</v>
      </c>
      <c r="N1224" s="13">
        <v>0.0410613243</v>
      </c>
      <c r="O1224" s="13">
        <v>0.361424091</v>
      </c>
      <c r="P1224" s="13">
        <v>0</v>
      </c>
      <c r="Q1224" s="13">
        <v>0.0170024243</v>
      </c>
      <c r="R1224" s="13">
        <v>0.2404173261</v>
      </c>
      <c r="S1224" s="13">
        <v>0</v>
      </c>
      <c r="T1224" s="13">
        <v>0.1149959344</v>
      </c>
      <c r="U1224" s="13">
        <v>0.0155541259</v>
      </c>
      <c r="V1224" s="13">
        <v>-0.0508072946</v>
      </c>
      <c r="W1224" s="13">
        <v>0</v>
      </c>
      <c r="X1224" s="13">
        <v>0</v>
      </c>
      <c r="Y1224" s="13">
        <v>0</v>
      </c>
      <c r="Z1224" s="13">
        <v>0.0008676351</v>
      </c>
    </row>
    <row r="1225" s="2" customFormat="1" hidden="1" spans="1:26">
      <c r="A1225" s="11" t="s">
        <v>935</v>
      </c>
      <c r="B1225" s="11" t="s">
        <v>937</v>
      </c>
      <c r="C1225" s="14" t="s">
        <v>505</v>
      </c>
      <c r="D1225" s="14" t="s">
        <v>938</v>
      </c>
      <c r="E1225" s="14" t="s">
        <v>939</v>
      </c>
      <c r="F1225" s="3" t="s">
        <v>942</v>
      </c>
      <c r="G1225" s="4">
        <v>20</v>
      </c>
      <c r="H1225" s="12">
        <v>2764.064</v>
      </c>
      <c r="I1225" s="12">
        <v>-790.610762</v>
      </c>
      <c r="J1225" s="13">
        <v>-0.2860320028</v>
      </c>
      <c r="K1225" s="13">
        <v>-0.2860320028</v>
      </c>
      <c r="L1225" s="12">
        <v>20.324</v>
      </c>
      <c r="M1225" s="13">
        <v>0.1597221261</v>
      </c>
      <c r="N1225" s="13">
        <v>0.0565878792</v>
      </c>
      <c r="O1225" s="13">
        <v>0.3876943515</v>
      </c>
      <c r="P1225" s="13">
        <v>0.0451436725</v>
      </c>
      <c r="Q1225" s="13">
        <v>0.0672184971</v>
      </c>
      <c r="R1225" s="13">
        <v>0.4524496357</v>
      </c>
      <c r="S1225" s="13">
        <v>0</v>
      </c>
      <c r="T1225" s="13">
        <v>0.1100915174</v>
      </c>
      <c r="U1225" s="13">
        <v>0.0164713476</v>
      </c>
      <c r="V1225" s="13">
        <v>0</v>
      </c>
      <c r="W1225" s="13">
        <v>-0.0108155002</v>
      </c>
      <c r="X1225" s="13">
        <v>0</v>
      </c>
      <c r="Y1225" s="13">
        <v>0</v>
      </c>
      <c r="Z1225" s="13">
        <v>0.0014684757</v>
      </c>
    </row>
    <row r="1226" s="2" customFormat="1" hidden="1" spans="1:26">
      <c r="A1226" s="11" t="s">
        <v>935</v>
      </c>
      <c r="B1226" s="11" t="s">
        <v>937</v>
      </c>
      <c r="C1226" s="14" t="s">
        <v>505</v>
      </c>
      <c r="D1226" s="14" t="s">
        <v>938</v>
      </c>
      <c r="E1226" s="14" t="s">
        <v>939</v>
      </c>
      <c r="F1226" s="3" t="s">
        <v>943</v>
      </c>
      <c r="G1226" s="4">
        <v>34</v>
      </c>
      <c r="H1226" s="12">
        <v>5474.408</v>
      </c>
      <c r="I1226" s="12">
        <v>99.910453</v>
      </c>
      <c r="J1226" s="13">
        <v>0.0182504579</v>
      </c>
      <c r="K1226" s="13">
        <v>0.0182504579</v>
      </c>
      <c r="L1226" s="12">
        <v>23.6782352941</v>
      </c>
      <c r="M1226" s="13">
        <v>0.1362292127</v>
      </c>
      <c r="N1226" s="13">
        <v>0.0485716965</v>
      </c>
      <c r="O1226" s="13">
        <v>0.3327950711</v>
      </c>
      <c r="P1226" s="13">
        <v>0.0268178769</v>
      </c>
      <c r="Q1226" s="13">
        <v>0.027553846</v>
      </c>
      <c r="R1226" s="13">
        <v>0.2844066318</v>
      </c>
      <c r="S1226" s="13">
        <v>0</v>
      </c>
      <c r="T1226" s="13">
        <v>0.1112463667</v>
      </c>
      <c r="U1226" s="13">
        <v>0.0140486361</v>
      </c>
      <c r="V1226" s="13">
        <v>0</v>
      </c>
      <c r="W1226" s="13">
        <v>0</v>
      </c>
      <c r="X1226" s="13">
        <v>0</v>
      </c>
      <c r="Y1226" s="13">
        <v>0</v>
      </c>
      <c r="Z1226" s="13">
        <v>8.02039e-5</v>
      </c>
    </row>
    <row r="1227" s="2" customFormat="1" spans="1:26">
      <c r="A1227" s="11" t="s">
        <v>935</v>
      </c>
      <c r="B1227" s="11" t="s">
        <v>937</v>
      </c>
      <c r="C1227" s="14" t="s">
        <v>505</v>
      </c>
      <c r="D1227" s="14" t="s">
        <v>938</v>
      </c>
      <c r="E1227" s="14" t="s">
        <v>939</v>
      </c>
      <c r="F1227" s="3" t="s">
        <v>944</v>
      </c>
      <c r="G1227" s="4">
        <v>23</v>
      </c>
      <c r="H1227" s="12">
        <v>3908.436</v>
      </c>
      <c r="I1227" s="12">
        <v>-612.839866</v>
      </c>
      <c r="J1227" s="13">
        <v>-0.1567992583</v>
      </c>
      <c r="K1227" s="13">
        <v>-0.1567992583</v>
      </c>
      <c r="L1227" s="12">
        <v>24.99</v>
      </c>
      <c r="M1227" s="13">
        <v>0.1288631158</v>
      </c>
      <c r="N1227" s="13">
        <v>0.0943486806</v>
      </c>
      <c r="O1227" s="13">
        <v>0.3153261304</v>
      </c>
      <c r="P1227" s="13">
        <v>0</v>
      </c>
      <c r="Q1227" s="13">
        <v>0.1333992103</v>
      </c>
      <c r="R1227" s="13">
        <v>0.3597037653</v>
      </c>
      <c r="S1227" s="13">
        <v>0</v>
      </c>
      <c r="T1227" s="13">
        <v>0.1116968526</v>
      </c>
      <c r="U1227" s="13">
        <v>0.0132890097</v>
      </c>
      <c r="V1227" s="13">
        <v>0</v>
      </c>
      <c r="W1227" s="13">
        <v>0</v>
      </c>
      <c r="X1227" s="13">
        <v>0</v>
      </c>
      <c r="Y1227" s="13">
        <v>0</v>
      </c>
      <c r="Z1227" s="13">
        <v>0.0001724932</v>
      </c>
    </row>
    <row r="1228" s="2" customFormat="1" hidden="1" spans="1:26">
      <c r="A1228" s="11" t="s">
        <v>935</v>
      </c>
      <c r="B1228" s="11" t="s">
        <v>937</v>
      </c>
      <c r="C1228" s="14" t="s">
        <v>505</v>
      </c>
      <c r="D1228" s="14" t="s">
        <v>938</v>
      </c>
      <c r="E1228" s="14" t="s">
        <v>939</v>
      </c>
      <c r="F1228" s="3" t="s">
        <v>945</v>
      </c>
      <c r="G1228" s="4">
        <v>1</v>
      </c>
      <c r="H1228" s="12">
        <v>169.932</v>
      </c>
      <c r="I1228" s="12">
        <v>-33.110745</v>
      </c>
      <c r="J1228" s="13">
        <v>-0.194847027</v>
      </c>
      <c r="K1228" s="13">
        <v>-0.194847027</v>
      </c>
      <c r="L1228" s="12">
        <v>24.99</v>
      </c>
      <c r="M1228" s="13">
        <v>0.1288631158</v>
      </c>
      <c r="N1228" s="13">
        <v>0.0943486806</v>
      </c>
      <c r="O1228" s="13">
        <v>0.3153261304</v>
      </c>
      <c r="P1228" s="13">
        <v>0</v>
      </c>
      <c r="Q1228" s="13">
        <v>0.0007631876</v>
      </c>
      <c r="R1228" s="13">
        <v>0.5222088835</v>
      </c>
      <c r="S1228" s="13">
        <v>0</v>
      </c>
      <c r="T1228" s="13">
        <v>0.1200480192</v>
      </c>
      <c r="U1228" s="13">
        <v>0.0132890097</v>
      </c>
      <c r="V1228" s="13">
        <v>0</v>
      </c>
      <c r="W1228" s="13">
        <v>0</v>
      </c>
      <c r="X1228" s="13">
        <v>0</v>
      </c>
      <c r="Y1228" s="13">
        <v>0</v>
      </c>
      <c r="Z1228" s="13">
        <v>0</v>
      </c>
    </row>
    <row r="1229" s="2" customFormat="1" hidden="1" spans="1:26">
      <c r="A1229" s="11" t="s">
        <v>935</v>
      </c>
      <c r="B1229" s="11" t="s">
        <v>937</v>
      </c>
      <c r="C1229" s="14" t="s">
        <v>510</v>
      </c>
      <c r="D1229" s="14" t="s">
        <v>938</v>
      </c>
      <c r="E1229" s="14" t="s">
        <v>939</v>
      </c>
      <c r="F1229" s="3" t="s">
        <v>936</v>
      </c>
      <c r="G1229" s="4">
        <v>89</v>
      </c>
      <c r="H1229" s="12">
        <v>13188.804</v>
      </c>
      <c r="I1229" s="12">
        <v>-357.823758</v>
      </c>
      <c r="J1229" s="13">
        <v>-0.0271308723</v>
      </c>
      <c r="K1229" s="13">
        <v>-0.0271308723</v>
      </c>
      <c r="L1229" s="12">
        <v>21.7924719101</v>
      </c>
      <c r="M1229" s="13">
        <v>0.1396615346</v>
      </c>
      <c r="N1229" s="13">
        <v>0.0566599268</v>
      </c>
      <c r="O1229" s="13">
        <v>0.3409949833</v>
      </c>
      <c r="P1229" s="13">
        <v>0.0236036565</v>
      </c>
      <c r="Q1229" s="13">
        <v>0.0546101786</v>
      </c>
      <c r="R1229" s="13">
        <v>0.296965922</v>
      </c>
      <c r="S1229" s="13">
        <v>0</v>
      </c>
      <c r="T1229" s="13">
        <v>0.0990703933</v>
      </c>
      <c r="U1229" s="13">
        <v>0.0144025964</v>
      </c>
      <c r="V1229" s="13">
        <v>0.0005723035</v>
      </c>
      <c r="W1229" s="13">
        <v>0</v>
      </c>
      <c r="X1229" s="13">
        <v>0</v>
      </c>
      <c r="Y1229" s="13">
        <v>0</v>
      </c>
      <c r="Z1229" s="13">
        <v>0.0005893768</v>
      </c>
    </row>
    <row r="1230" s="2" customFormat="1" hidden="1" spans="1:26">
      <c r="A1230" s="11" t="s">
        <v>935</v>
      </c>
      <c r="B1230" s="11" t="s">
        <v>937</v>
      </c>
      <c r="C1230" s="14" t="s">
        <v>510</v>
      </c>
      <c r="D1230" s="14" t="s">
        <v>938</v>
      </c>
      <c r="E1230" s="14" t="s">
        <v>939</v>
      </c>
      <c r="F1230" s="3" t="s">
        <v>941</v>
      </c>
      <c r="G1230" s="4">
        <v>11</v>
      </c>
      <c r="H1230" s="12">
        <v>1794.452</v>
      </c>
      <c r="I1230" s="12">
        <v>-655.47763</v>
      </c>
      <c r="J1230" s="13">
        <v>-0.3652801133</v>
      </c>
      <c r="K1230" s="13">
        <v>-0.3652801133</v>
      </c>
      <c r="L1230" s="12">
        <v>23.99</v>
      </c>
      <c r="M1230" s="13">
        <v>0.1391085869</v>
      </c>
      <c r="N1230" s="13">
        <v>0.0434201689</v>
      </c>
      <c r="O1230" s="13">
        <v>0.3109250066</v>
      </c>
      <c r="P1230" s="13">
        <v>0</v>
      </c>
      <c r="Q1230" s="13">
        <v>0.0044585795</v>
      </c>
      <c r="R1230" s="13">
        <v>0.8136157712</v>
      </c>
      <c r="S1230" s="13">
        <v>0</v>
      </c>
      <c r="T1230" s="13">
        <v>0.038538785</v>
      </c>
      <c r="U1230" s="13">
        <v>0.0143455729</v>
      </c>
      <c r="V1230" s="13">
        <v>0</v>
      </c>
      <c r="W1230" s="13">
        <v>0</v>
      </c>
      <c r="X1230" s="13">
        <v>0</v>
      </c>
      <c r="Y1230" s="13">
        <v>0</v>
      </c>
      <c r="Z1230" s="13">
        <v>0.000867642</v>
      </c>
    </row>
    <row r="1231" s="2" customFormat="1" hidden="1" spans="1:26">
      <c r="A1231" s="11" t="s">
        <v>935</v>
      </c>
      <c r="B1231" s="11" t="s">
        <v>937</v>
      </c>
      <c r="C1231" s="14" t="s">
        <v>510</v>
      </c>
      <c r="D1231" s="14" t="s">
        <v>938</v>
      </c>
      <c r="E1231" s="14" t="s">
        <v>939</v>
      </c>
      <c r="F1231" s="3" t="s">
        <v>942</v>
      </c>
      <c r="G1231" s="4">
        <v>23</v>
      </c>
      <c r="H1231" s="12">
        <v>3624.196</v>
      </c>
      <c r="I1231" s="12">
        <v>229.107358</v>
      </c>
      <c r="J1231" s="13">
        <v>0.0632160506</v>
      </c>
      <c r="K1231" s="13">
        <v>0.0632160506</v>
      </c>
      <c r="L1231" s="12">
        <v>23.1726086956</v>
      </c>
      <c r="M1231" s="13">
        <v>0.1440155074</v>
      </c>
      <c r="N1231" s="13">
        <v>0.0449517733</v>
      </c>
      <c r="O1231" s="13">
        <v>0.328217348</v>
      </c>
      <c r="P1231" s="13">
        <v>0.0427603805</v>
      </c>
      <c r="Q1231" s="13">
        <v>0.0439723138</v>
      </c>
      <c r="R1231" s="13">
        <v>0.219861934</v>
      </c>
      <c r="S1231" s="13">
        <v>0</v>
      </c>
      <c r="T1231" s="13">
        <v>0.0966846163</v>
      </c>
      <c r="U1231" s="13">
        <v>0.014851599</v>
      </c>
      <c r="V1231" s="13">
        <v>0</v>
      </c>
      <c r="W1231" s="13">
        <v>0</v>
      </c>
      <c r="X1231" s="13">
        <v>0</v>
      </c>
      <c r="Y1231" s="13">
        <v>0</v>
      </c>
      <c r="Z1231" s="13">
        <v>0.0014684765</v>
      </c>
    </row>
    <row r="1232" s="2" customFormat="1" hidden="1" spans="1:26">
      <c r="A1232" s="11" t="s">
        <v>935</v>
      </c>
      <c r="B1232" s="11" t="s">
        <v>937</v>
      </c>
      <c r="C1232" s="14" t="s">
        <v>510</v>
      </c>
      <c r="D1232" s="14" t="s">
        <v>938</v>
      </c>
      <c r="E1232" s="14" t="s">
        <v>939</v>
      </c>
      <c r="F1232" s="3" t="s">
        <v>943</v>
      </c>
      <c r="G1232" s="4">
        <v>37</v>
      </c>
      <c r="H1232" s="12">
        <v>4833.78</v>
      </c>
      <c r="I1232" s="12">
        <v>66.632</v>
      </c>
      <c r="J1232" s="13">
        <v>0.0137846571</v>
      </c>
      <c r="K1232" s="13">
        <v>0.0137846571</v>
      </c>
      <c r="L1232" s="12">
        <v>19.2121621621</v>
      </c>
      <c r="M1232" s="13">
        <v>0.1469580835</v>
      </c>
      <c r="N1232" s="13">
        <v>0.0639649984</v>
      </c>
      <c r="O1232" s="13">
        <v>0.3756770064</v>
      </c>
      <c r="P1232" s="13">
        <v>0.0323415629</v>
      </c>
      <c r="Q1232" s="13">
        <v>0.041084882</v>
      </c>
      <c r="R1232" s="13">
        <v>0.194318537</v>
      </c>
      <c r="S1232" s="13">
        <v>0</v>
      </c>
      <c r="T1232" s="13">
        <v>0.1150735035</v>
      </c>
      <c r="U1232" s="13">
        <v>0.0151550525</v>
      </c>
      <c r="V1232" s="13">
        <v>0.0015615108</v>
      </c>
      <c r="W1232" s="13">
        <v>0</v>
      </c>
      <c r="X1232" s="13">
        <v>0</v>
      </c>
      <c r="Y1232" s="13">
        <v>0</v>
      </c>
      <c r="Z1232" s="13">
        <v>8.02055e-5</v>
      </c>
    </row>
    <row r="1233" s="2" customFormat="1" spans="1:26">
      <c r="A1233" s="11" t="s">
        <v>935</v>
      </c>
      <c r="B1233" s="11" t="s">
        <v>937</v>
      </c>
      <c r="C1233" s="14" t="s">
        <v>510</v>
      </c>
      <c r="D1233" s="14" t="s">
        <v>938</v>
      </c>
      <c r="E1233" s="14" t="s">
        <v>939</v>
      </c>
      <c r="F1233" s="3" t="s">
        <v>944</v>
      </c>
      <c r="G1233" s="4">
        <v>18</v>
      </c>
      <c r="H1233" s="12">
        <v>2936.376</v>
      </c>
      <c r="I1233" s="12">
        <v>24.082514</v>
      </c>
      <c r="J1233" s="13">
        <v>0.0082014408</v>
      </c>
      <c r="K1233" s="13">
        <v>0.0082014408</v>
      </c>
      <c r="L1233" s="12">
        <v>23.99</v>
      </c>
      <c r="M1233" s="13">
        <v>0.1226142203</v>
      </c>
      <c r="N1233" s="13">
        <v>0.0671761702</v>
      </c>
      <c r="O1233" s="13">
        <v>0.3180491871</v>
      </c>
      <c r="P1233" s="13">
        <v>0</v>
      </c>
      <c r="Q1233" s="13">
        <v>0.1206530328</v>
      </c>
      <c r="R1233" s="13">
        <v>0.2378261819</v>
      </c>
      <c r="S1233" s="13">
        <v>0</v>
      </c>
      <c r="T1233" s="13">
        <v>0.1126626835</v>
      </c>
      <c r="U1233" s="13">
        <v>0.0126445945</v>
      </c>
      <c r="V1233" s="13">
        <v>0</v>
      </c>
      <c r="W1233" s="13">
        <v>0</v>
      </c>
      <c r="X1233" s="13">
        <v>0</v>
      </c>
      <c r="Y1233" s="13">
        <v>0</v>
      </c>
      <c r="Z1233" s="13">
        <v>0.0001724884</v>
      </c>
    </row>
    <row r="1234" s="2" customFormat="1" hidden="1" spans="1:26">
      <c r="A1234" s="11" t="s">
        <v>935</v>
      </c>
      <c r="B1234" s="11" t="s">
        <v>937</v>
      </c>
      <c r="C1234" s="14" t="s">
        <v>510</v>
      </c>
      <c r="D1234" s="14" t="s">
        <v>938</v>
      </c>
      <c r="E1234" s="14" t="s">
        <v>939</v>
      </c>
      <c r="F1234" s="3" t="s">
        <v>945</v>
      </c>
      <c r="G1234" s="4">
        <v>0</v>
      </c>
      <c r="H1234" s="12">
        <v>0</v>
      </c>
      <c r="I1234" s="12">
        <v>-22.168</v>
      </c>
      <c r="J1234" s="13"/>
      <c r="K1234" s="13"/>
      <c r="L1234" s="12"/>
      <c r="M1234" s="13"/>
      <c r="N1234" s="13"/>
      <c r="O1234" s="13"/>
      <c r="P1234" s="13"/>
      <c r="Q1234" s="13"/>
      <c r="R1234" s="13"/>
      <c r="S1234" s="13"/>
      <c r="T1234" s="13"/>
      <c r="U1234" s="13"/>
      <c r="V1234" s="13"/>
      <c r="W1234" s="13"/>
      <c r="X1234" s="13"/>
      <c r="Y1234" s="13"/>
      <c r="Z1234" s="13"/>
    </row>
    <row r="1235" s="2" customFormat="1" hidden="1" spans="1:26">
      <c r="A1235" s="11" t="s">
        <v>935</v>
      </c>
      <c r="B1235" s="11" t="s">
        <v>937</v>
      </c>
      <c r="C1235" s="14" t="s">
        <v>515</v>
      </c>
      <c r="D1235" s="14" t="s">
        <v>938</v>
      </c>
      <c r="E1235" s="14" t="s">
        <v>939</v>
      </c>
      <c r="F1235" s="3" t="s">
        <v>936</v>
      </c>
      <c r="G1235" s="4">
        <v>129</v>
      </c>
      <c r="H1235" s="12">
        <v>18863.064</v>
      </c>
      <c r="I1235" s="12">
        <v>-2570.021481</v>
      </c>
      <c r="J1235" s="13">
        <v>-0.1362462366</v>
      </c>
      <c r="K1235" s="13">
        <v>-0.1362462366</v>
      </c>
      <c r="L1235" s="12">
        <v>21.5037209302</v>
      </c>
      <c r="M1235" s="13">
        <v>0.1941310594</v>
      </c>
      <c r="N1235" s="13">
        <v>0.0416343783</v>
      </c>
      <c r="O1235" s="13">
        <v>0.3680920554</v>
      </c>
      <c r="P1235" s="13">
        <v>0.0644272849</v>
      </c>
      <c r="Q1235" s="13">
        <v>0.0716376438</v>
      </c>
      <c r="R1235" s="13">
        <v>0.2931556128</v>
      </c>
      <c r="S1235" s="13">
        <v>0</v>
      </c>
      <c r="T1235" s="13">
        <v>0.1084975378</v>
      </c>
      <c r="U1235" s="13">
        <v>0.0200197699</v>
      </c>
      <c r="V1235" s="13">
        <v>-0.0221083064</v>
      </c>
      <c r="W1235" s="13">
        <v>-0.0036453803</v>
      </c>
      <c r="X1235" s="13">
        <v>0</v>
      </c>
      <c r="Y1235" s="13">
        <v>0</v>
      </c>
      <c r="Z1235" s="13">
        <v>0.0004045807</v>
      </c>
    </row>
    <row r="1236" s="2" customFormat="1" hidden="1" spans="1:26">
      <c r="A1236" s="11" t="s">
        <v>935</v>
      </c>
      <c r="B1236" s="11" t="s">
        <v>937</v>
      </c>
      <c r="C1236" s="14" t="s">
        <v>515</v>
      </c>
      <c r="D1236" s="14" t="s">
        <v>938</v>
      </c>
      <c r="E1236" s="14" t="s">
        <v>939</v>
      </c>
      <c r="F1236" s="3" t="s">
        <v>941</v>
      </c>
      <c r="G1236" s="4">
        <v>2</v>
      </c>
      <c r="H1236" s="12">
        <v>271.864</v>
      </c>
      <c r="I1236" s="12">
        <v>-56.684964</v>
      </c>
      <c r="J1236" s="13">
        <v>-0.2085048553</v>
      </c>
      <c r="K1236" s="13">
        <v>-0.2085048553</v>
      </c>
      <c r="L1236" s="12">
        <v>19.99</v>
      </c>
      <c r="M1236" s="13">
        <v>0.2158568401</v>
      </c>
      <c r="N1236" s="13">
        <v>0.0735895815</v>
      </c>
      <c r="O1236" s="13">
        <v>0.4022011005</v>
      </c>
      <c r="P1236" s="13">
        <v>0</v>
      </c>
      <c r="Q1236" s="13">
        <v>0.0044585638</v>
      </c>
      <c r="R1236" s="13">
        <v>0.3692108664</v>
      </c>
      <c r="S1236" s="13">
        <v>0</v>
      </c>
      <c r="T1236" s="13">
        <v>0.12006003</v>
      </c>
      <c r="U1236" s="13">
        <v>0.0222602404</v>
      </c>
      <c r="V1236" s="13">
        <v>0</v>
      </c>
      <c r="W1236" s="13">
        <v>0</v>
      </c>
      <c r="X1236" s="13">
        <v>0</v>
      </c>
      <c r="Y1236" s="13">
        <v>0</v>
      </c>
      <c r="Z1236" s="13">
        <v>0.0008676323</v>
      </c>
    </row>
    <row r="1237" s="2" customFormat="1" hidden="1" spans="1:26">
      <c r="A1237" s="11" t="s">
        <v>935</v>
      </c>
      <c r="B1237" s="11" t="s">
        <v>937</v>
      </c>
      <c r="C1237" s="14" t="s">
        <v>515</v>
      </c>
      <c r="D1237" s="14" t="s">
        <v>938</v>
      </c>
      <c r="E1237" s="14" t="s">
        <v>939</v>
      </c>
      <c r="F1237" s="3" t="s">
        <v>942</v>
      </c>
      <c r="G1237" s="4">
        <v>27</v>
      </c>
      <c r="H1237" s="12">
        <v>3833.364</v>
      </c>
      <c r="I1237" s="12">
        <v>-340.5526</v>
      </c>
      <c r="J1237" s="13">
        <v>-0.0888390979</v>
      </c>
      <c r="K1237" s="13">
        <v>-0.0888390979</v>
      </c>
      <c r="L1237" s="12">
        <v>20.8788888888</v>
      </c>
      <c r="M1237" s="13">
        <v>0.2066670433</v>
      </c>
      <c r="N1237" s="13">
        <v>0.0476757466</v>
      </c>
      <c r="O1237" s="13">
        <v>0.3850779628</v>
      </c>
      <c r="P1237" s="13">
        <v>0</v>
      </c>
      <c r="Q1237" s="13">
        <v>0.0633397107</v>
      </c>
      <c r="R1237" s="13">
        <v>0.2506905185</v>
      </c>
      <c r="S1237" s="13">
        <v>0</v>
      </c>
      <c r="T1237" s="13">
        <v>0.1126070991</v>
      </c>
      <c r="U1237" s="13">
        <v>0.0213125424</v>
      </c>
      <c r="V1237" s="13">
        <v>0</v>
      </c>
      <c r="W1237" s="13">
        <v>0</v>
      </c>
      <c r="X1237" s="13">
        <v>0</v>
      </c>
      <c r="Y1237" s="13">
        <v>0</v>
      </c>
      <c r="Z1237" s="13">
        <v>0.0014684741</v>
      </c>
    </row>
    <row r="1238" s="2" customFormat="1" hidden="1" spans="1:26">
      <c r="A1238" s="11" t="s">
        <v>935</v>
      </c>
      <c r="B1238" s="11" t="s">
        <v>937</v>
      </c>
      <c r="C1238" s="14" t="s">
        <v>515</v>
      </c>
      <c r="D1238" s="14" t="s">
        <v>938</v>
      </c>
      <c r="E1238" s="14" t="s">
        <v>939</v>
      </c>
      <c r="F1238" s="3" t="s">
        <v>943</v>
      </c>
      <c r="G1238" s="4">
        <v>54</v>
      </c>
      <c r="H1238" s="12">
        <v>7857.128</v>
      </c>
      <c r="I1238" s="12">
        <v>-1161.549441</v>
      </c>
      <c r="J1238" s="13">
        <v>-0.1478338447</v>
      </c>
      <c r="K1238" s="13">
        <v>-0.1478338447</v>
      </c>
      <c r="L1238" s="12">
        <v>21.3974074073</v>
      </c>
      <c r="M1238" s="13">
        <v>0.1971349388</v>
      </c>
      <c r="N1238" s="13">
        <v>0.0391603242</v>
      </c>
      <c r="O1238" s="13">
        <v>0.3757464559</v>
      </c>
      <c r="P1238" s="13">
        <v>0.0949838159</v>
      </c>
      <c r="Q1238" s="13">
        <v>0.0651174663</v>
      </c>
      <c r="R1238" s="13">
        <v>0.2538948157</v>
      </c>
      <c r="S1238" s="13">
        <v>0</v>
      </c>
      <c r="T1238" s="13">
        <v>0.1101379537</v>
      </c>
      <c r="U1238" s="13">
        <v>0.0203295458</v>
      </c>
      <c r="V1238" s="13">
        <v>0</v>
      </c>
      <c r="W1238" s="13">
        <v>-0.0087516764</v>
      </c>
      <c r="X1238" s="13">
        <v>0</v>
      </c>
      <c r="Y1238" s="13">
        <v>0</v>
      </c>
      <c r="Z1238" s="13">
        <v>8.02044e-5</v>
      </c>
    </row>
    <row r="1239" s="2" customFormat="1" spans="1:26">
      <c r="A1239" s="11" t="s">
        <v>935</v>
      </c>
      <c r="B1239" s="11" t="s">
        <v>937</v>
      </c>
      <c r="C1239" s="14" t="s">
        <v>515</v>
      </c>
      <c r="D1239" s="14" t="s">
        <v>938</v>
      </c>
      <c r="E1239" s="14" t="s">
        <v>939</v>
      </c>
      <c r="F1239" s="3" t="s">
        <v>944</v>
      </c>
      <c r="G1239" s="4">
        <v>44</v>
      </c>
      <c r="H1239" s="12">
        <v>6588.044</v>
      </c>
      <c r="I1239" s="12">
        <v>-940.521226</v>
      </c>
      <c r="J1239" s="13">
        <v>-0.1427618312</v>
      </c>
      <c r="K1239" s="13">
        <v>-0.1427618312</v>
      </c>
      <c r="L1239" s="12">
        <v>22.0188636363</v>
      </c>
      <c r="M1239" s="13">
        <v>0.1828632656</v>
      </c>
      <c r="N1239" s="13">
        <v>0.0398303329</v>
      </c>
      <c r="O1239" s="13">
        <v>0.3485441202</v>
      </c>
      <c r="P1239" s="13">
        <v>0.0711889598</v>
      </c>
      <c r="Q1239" s="13">
        <v>0.0903780053</v>
      </c>
      <c r="R1239" s="13">
        <v>0.3505255688</v>
      </c>
      <c r="S1239" s="13">
        <v>0</v>
      </c>
      <c r="T1239" s="13">
        <v>0.1037024039</v>
      </c>
      <c r="U1239" s="13">
        <v>0.0188577781</v>
      </c>
      <c r="V1239" s="13">
        <v>-0.0633010951</v>
      </c>
      <c r="W1239" s="13">
        <v>0</v>
      </c>
      <c r="X1239" s="13">
        <v>0</v>
      </c>
      <c r="Y1239" s="13">
        <v>0</v>
      </c>
      <c r="Z1239" s="13">
        <v>0.0001724914</v>
      </c>
    </row>
    <row r="1240" s="2" customFormat="1" hidden="1" spans="1:26">
      <c r="A1240" s="11" t="s">
        <v>935</v>
      </c>
      <c r="B1240" s="11" t="s">
        <v>937</v>
      </c>
      <c r="C1240" s="14" t="s">
        <v>515</v>
      </c>
      <c r="D1240" s="14" t="s">
        <v>938</v>
      </c>
      <c r="E1240" s="14" t="s">
        <v>939</v>
      </c>
      <c r="F1240" s="3" t="s">
        <v>945</v>
      </c>
      <c r="G1240" s="4">
        <v>2</v>
      </c>
      <c r="H1240" s="12">
        <v>312.664</v>
      </c>
      <c r="I1240" s="12">
        <v>-70.71325</v>
      </c>
      <c r="J1240" s="13">
        <v>-0.2261637092</v>
      </c>
      <c r="K1240" s="13">
        <v>-0.2261637092</v>
      </c>
      <c r="L1240" s="12">
        <v>22.99</v>
      </c>
      <c r="M1240" s="13">
        <v>0.1834787567</v>
      </c>
      <c r="N1240" s="13">
        <v>0.0399643962</v>
      </c>
      <c r="O1240" s="13">
        <v>0.3497172683</v>
      </c>
      <c r="P1240" s="13">
        <v>0</v>
      </c>
      <c r="Q1240" s="13">
        <v>0.0007632026</v>
      </c>
      <c r="R1240" s="13">
        <v>0.5254458459</v>
      </c>
      <c r="S1240" s="13">
        <v>0</v>
      </c>
      <c r="T1240" s="13">
        <v>0.1078729882</v>
      </c>
      <c r="U1240" s="13">
        <v>0.0189212509</v>
      </c>
      <c r="V1240" s="13">
        <v>0</v>
      </c>
      <c r="W1240" s="13">
        <v>0</v>
      </c>
      <c r="X1240" s="13">
        <v>0</v>
      </c>
      <c r="Y1240" s="13">
        <v>0</v>
      </c>
      <c r="Z1240" s="13">
        <v>0</v>
      </c>
    </row>
    <row r="1241" s="2" customFormat="1" hidden="1" spans="1:26">
      <c r="A1241" s="11" t="s">
        <v>935</v>
      </c>
      <c r="B1241" s="11" t="s">
        <v>937</v>
      </c>
      <c r="C1241" s="14" t="s">
        <v>520</v>
      </c>
      <c r="D1241" s="14" t="s">
        <v>938</v>
      </c>
      <c r="E1241" s="14" t="s">
        <v>939</v>
      </c>
      <c r="F1241" s="3" t="s">
        <v>936</v>
      </c>
      <c r="G1241" s="4">
        <v>82</v>
      </c>
      <c r="H1241" s="12">
        <v>10778.34</v>
      </c>
      <c r="I1241" s="12">
        <v>-3697.825201</v>
      </c>
      <c r="J1241" s="13">
        <v>-0.3430792868</v>
      </c>
      <c r="K1241" s="13">
        <v>-0.3430792868</v>
      </c>
      <c r="L1241" s="12">
        <v>19.3298780487</v>
      </c>
      <c r="M1241" s="13">
        <v>0.1460252969</v>
      </c>
      <c r="N1241" s="13">
        <v>0.0276050845</v>
      </c>
      <c r="O1241" s="13">
        <v>0.3268666603</v>
      </c>
      <c r="P1241" s="13">
        <v>0.2077536986</v>
      </c>
      <c r="Q1241" s="13">
        <v>0.0267171743</v>
      </c>
      <c r="R1241" s="13">
        <v>0.5132839114</v>
      </c>
      <c r="S1241" s="13">
        <v>0</v>
      </c>
      <c r="T1241" s="13">
        <v>0.0909119586</v>
      </c>
      <c r="U1241" s="13">
        <v>0.0150588574</v>
      </c>
      <c r="V1241" s="13">
        <v>-0.0096779281</v>
      </c>
      <c r="W1241" s="13">
        <v>-0.0118912917</v>
      </c>
      <c r="X1241" s="13">
        <v>0</v>
      </c>
      <c r="Y1241" s="13">
        <v>0</v>
      </c>
      <c r="Z1241" s="13">
        <v>0.0104258642</v>
      </c>
    </row>
    <row r="1242" s="2" customFormat="1" hidden="1" spans="1:26">
      <c r="A1242" s="11" t="s">
        <v>935</v>
      </c>
      <c r="B1242" s="11" t="s">
        <v>937</v>
      </c>
      <c r="C1242" s="14" t="s">
        <v>520</v>
      </c>
      <c r="D1242" s="14" t="s">
        <v>938</v>
      </c>
      <c r="E1242" s="14" t="s">
        <v>939</v>
      </c>
      <c r="F1242" s="3" t="s">
        <v>940</v>
      </c>
      <c r="G1242" s="4">
        <v>3</v>
      </c>
      <c r="H1242" s="12">
        <v>461.176</v>
      </c>
      <c r="I1242" s="12">
        <v>-163.321285</v>
      </c>
      <c r="J1242" s="13">
        <v>-0.3541409028</v>
      </c>
      <c r="K1242" s="13">
        <v>-0.3541409028</v>
      </c>
      <c r="L1242" s="12">
        <v>22.6066666666</v>
      </c>
      <c r="M1242" s="13">
        <v>0.1441889018</v>
      </c>
      <c r="N1242" s="13">
        <v>0.0307763196</v>
      </c>
      <c r="O1242" s="13">
        <v>0.2618696549</v>
      </c>
      <c r="P1242" s="13">
        <v>0</v>
      </c>
      <c r="Q1242" s="13">
        <v>0.0180944043</v>
      </c>
      <c r="R1242" s="13">
        <v>0.8385486863</v>
      </c>
      <c r="S1242" s="13">
        <v>0</v>
      </c>
      <c r="T1242" s="13">
        <v>0.045414332</v>
      </c>
      <c r="U1242" s="13">
        <v>0.0148694814</v>
      </c>
      <c r="V1242" s="13">
        <v>0</v>
      </c>
      <c r="W1242" s="13">
        <v>0</v>
      </c>
      <c r="X1242" s="13">
        <v>0</v>
      </c>
      <c r="Y1242" s="13">
        <v>0</v>
      </c>
      <c r="Z1242" s="13">
        <v>0.000379122</v>
      </c>
    </row>
    <row r="1243" s="2" customFormat="1" hidden="1" spans="1:26">
      <c r="A1243" s="11" t="s">
        <v>935</v>
      </c>
      <c r="B1243" s="11" t="s">
        <v>937</v>
      </c>
      <c r="C1243" s="14" t="s">
        <v>520</v>
      </c>
      <c r="D1243" s="14" t="s">
        <v>938</v>
      </c>
      <c r="E1243" s="14" t="s">
        <v>939</v>
      </c>
      <c r="F1243" s="3" t="s">
        <v>941</v>
      </c>
      <c r="G1243" s="4">
        <v>33</v>
      </c>
      <c r="H1243" s="12">
        <v>4628.42</v>
      </c>
      <c r="I1243" s="12">
        <v>-1314.402338</v>
      </c>
      <c r="J1243" s="13">
        <v>-0.2839851046</v>
      </c>
      <c r="K1243" s="13">
        <v>-0.2839851046</v>
      </c>
      <c r="L1243" s="12">
        <v>20.6257575757</v>
      </c>
      <c r="M1243" s="13">
        <v>0.1515820327</v>
      </c>
      <c r="N1243" s="13">
        <v>0.0306656007</v>
      </c>
      <c r="O1243" s="13">
        <v>0.3275398516</v>
      </c>
      <c r="P1243" s="13">
        <v>0.1268199515</v>
      </c>
      <c r="Q1243" s="13">
        <v>0.0093493252</v>
      </c>
      <c r="R1243" s="13">
        <v>0.5190091587</v>
      </c>
      <c r="S1243" s="13">
        <v>0</v>
      </c>
      <c r="T1243" s="13">
        <v>0.1017115992</v>
      </c>
      <c r="U1243" s="13">
        <v>0.0156318951</v>
      </c>
      <c r="V1243" s="13">
        <v>0.0008080511</v>
      </c>
      <c r="W1243" s="13">
        <v>0</v>
      </c>
      <c r="X1243" s="13">
        <v>0</v>
      </c>
      <c r="Y1243" s="13">
        <v>0</v>
      </c>
      <c r="Z1243" s="13">
        <v>0.0008676384</v>
      </c>
    </row>
    <row r="1244" s="2" customFormat="1" hidden="1" spans="1:26">
      <c r="A1244" s="11" t="s">
        <v>935</v>
      </c>
      <c r="B1244" s="11" t="s">
        <v>937</v>
      </c>
      <c r="C1244" s="14" t="s">
        <v>520</v>
      </c>
      <c r="D1244" s="14" t="s">
        <v>938</v>
      </c>
      <c r="E1244" s="14" t="s">
        <v>939</v>
      </c>
      <c r="F1244" s="3" t="s">
        <v>942</v>
      </c>
      <c r="G1244" s="4">
        <v>28</v>
      </c>
      <c r="H1244" s="12">
        <v>3295.96</v>
      </c>
      <c r="I1244" s="12">
        <v>-2188.131155</v>
      </c>
      <c r="J1244" s="13">
        <v>-0.6638828004</v>
      </c>
      <c r="K1244" s="13">
        <v>-0.6638828004</v>
      </c>
      <c r="L1244" s="12">
        <v>17.3107142857</v>
      </c>
      <c r="M1244" s="13">
        <v>0.1529947095</v>
      </c>
      <c r="N1244" s="13">
        <v>0.0258832413</v>
      </c>
      <c r="O1244" s="13">
        <v>0.3463998349</v>
      </c>
      <c r="P1244" s="13">
        <v>0.4538683721</v>
      </c>
      <c r="Q1244" s="13">
        <v>0.034401584</v>
      </c>
      <c r="R1244" s="13">
        <v>0.5919466349</v>
      </c>
      <c r="S1244" s="13">
        <v>0</v>
      </c>
      <c r="T1244" s="13">
        <v>0.073818857</v>
      </c>
      <c r="U1244" s="13">
        <v>0.0157775773</v>
      </c>
      <c r="V1244" s="13">
        <v>0.0062100268</v>
      </c>
      <c r="W1244" s="13">
        <v>-0.038886511</v>
      </c>
      <c r="X1244" s="13">
        <v>0</v>
      </c>
      <c r="Y1244" s="13">
        <v>0</v>
      </c>
      <c r="Z1244" s="13">
        <v>0.0014684732</v>
      </c>
    </row>
    <row r="1245" s="2" customFormat="1" hidden="1" spans="1:26">
      <c r="A1245" s="11" t="s">
        <v>935</v>
      </c>
      <c r="B1245" s="11" t="s">
        <v>937</v>
      </c>
      <c r="C1245" s="14" t="s">
        <v>520</v>
      </c>
      <c r="D1245" s="14" t="s">
        <v>938</v>
      </c>
      <c r="E1245" s="14" t="s">
        <v>939</v>
      </c>
      <c r="F1245" s="3" t="s">
        <v>943</v>
      </c>
      <c r="G1245" s="4">
        <v>8</v>
      </c>
      <c r="H1245" s="12">
        <v>974.168</v>
      </c>
      <c r="I1245" s="12">
        <v>58.854303</v>
      </c>
      <c r="J1245" s="13">
        <v>0.0604149417</v>
      </c>
      <c r="K1245" s="13">
        <v>0.0604149417</v>
      </c>
      <c r="L1245" s="12">
        <v>17.9075</v>
      </c>
      <c r="M1245" s="13">
        <v>0.1247566005</v>
      </c>
      <c r="N1245" s="13">
        <v>0.0228449466</v>
      </c>
      <c r="O1245" s="13">
        <v>0.3057378193</v>
      </c>
      <c r="P1245" s="13">
        <v>0</v>
      </c>
      <c r="Q1245" s="13">
        <v>0.0672662672</v>
      </c>
      <c r="R1245" s="13">
        <v>0.3723885664</v>
      </c>
      <c r="S1245" s="13">
        <v>0</v>
      </c>
      <c r="T1245" s="13">
        <v>0.1063800083</v>
      </c>
      <c r="U1245" s="13">
        <v>0.0128655262</v>
      </c>
      <c r="V1245" s="13">
        <v>-0.0727348876</v>
      </c>
      <c r="W1245" s="13">
        <v>0</v>
      </c>
      <c r="X1245" s="13">
        <v>0</v>
      </c>
      <c r="Y1245" s="13">
        <v>0</v>
      </c>
      <c r="Z1245" s="13">
        <v>8.0211e-5</v>
      </c>
    </row>
    <row r="1246" s="2" customFormat="1" spans="1:26">
      <c r="A1246" s="11" t="s">
        <v>935</v>
      </c>
      <c r="B1246" s="11" t="s">
        <v>937</v>
      </c>
      <c r="C1246" s="14" t="s">
        <v>520</v>
      </c>
      <c r="D1246" s="14" t="s">
        <v>938</v>
      </c>
      <c r="E1246" s="14" t="s">
        <v>939</v>
      </c>
      <c r="F1246" s="3" t="s">
        <v>944</v>
      </c>
      <c r="G1246" s="4">
        <v>10</v>
      </c>
      <c r="H1246" s="12">
        <v>1418.616</v>
      </c>
      <c r="I1246" s="12">
        <v>-72.600726</v>
      </c>
      <c r="J1246" s="13">
        <v>-0.0511771515</v>
      </c>
      <c r="K1246" s="13">
        <v>-0.0511771515</v>
      </c>
      <c r="L1246" s="12">
        <v>20.862</v>
      </c>
      <c r="M1246" s="13">
        <v>0.1269055156</v>
      </c>
      <c r="N1246" s="13">
        <v>0.0238580863</v>
      </c>
      <c r="O1246" s="13">
        <v>0.3149266609</v>
      </c>
      <c r="P1246" s="13">
        <v>0.1102003642</v>
      </c>
      <c r="Q1246" s="13">
        <v>0.0404863543</v>
      </c>
      <c r="R1246" s="13">
        <v>0.2900095297</v>
      </c>
      <c r="S1246" s="13">
        <v>0</v>
      </c>
      <c r="T1246" s="13">
        <v>0.0995590068</v>
      </c>
      <c r="U1246" s="13">
        <v>0.0130871314</v>
      </c>
      <c r="V1246" s="13">
        <v>-0.0406480682</v>
      </c>
      <c r="W1246" s="13">
        <v>0</v>
      </c>
      <c r="X1246" s="13">
        <v>0</v>
      </c>
      <c r="Y1246" s="13">
        <v>0</v>
      </c>
      <c r="Z1246" s="13">
        <v>0.0727925703</v>
      </c>
    </row>
    <row r="1247" s="2" customFormat="1" hidden="1" spans="1:26">
      <c r="A1247" s="11" t="s">
        <v>935</v>
      </c>
      <c r="B1247" s="11" t="s">
        <v>937</v>
      </c>
      <c r="C1247" s="14" t="s">
        <v>520</v>
      </c>
      <c r="D1247" s="14" t="s">
        <v>938</v>
      </c>
      <c r="E1247" s="14" t="s">
        <v>939</v>
      </c>
      <c r="F1247" s="3" t="s">
        <v>945</v>
      </c>
      <c r="G1247" s="4">
        <v>0</v>
      </c>
      <c r="H1247" s="12">
        <v>0</v>
      </c>
      <c r="I1247" s="12">
        <v>-18.224</v>
      </c>
      <c r="J1247" s="13"/>
      <c r="K1247" s="13"/>
      <c r="L1247" s="12"/>
      <c r="M1247" s="13"/>
      <c r="N1247" s="13"/>
      <c r="O1247" s="13"/>
      <c r="P1247" s="13"/>
      <c r="Q1247" s="13"/>
      <c r="R1247" s="13"/>
      <c r="S1247" s="13"/>
      <c r="T1247" s="13"/>
      <c r="U1247" s="13"/>
      <c r="V1247" s="13"/>
      <c r="W1247" s="13"/>
      <c r="X1247" s="13"/>
      <c r="Y1247" s="13"/>
      <c r="Z1247" s="13"/>
    </row>
    <row r="1248" s="2" customFormat="1" hidden="1" spans="1:26">
      <c r="A1248" s="11" t="s">
        <v>935</v>
      </c>
      <c r="B1248" s="11" t="s">
        <v>937</v>
      </c>
      <c r="C1248" s="14" t="s">
        <v>525</v>
      </c>
      <c r="D1248" s="14" t="s">
        <v>938</v>
      </c>
      <c r="E1248" s="14" t="s">
        <v>939</v>
      </c>
      <c r="F1248" s="3" t="s">
        <v>936</v>
      </c>
      <c r="G1248" s="4">
        <v>165</v>
      </c>
      <c r="H1248" s="12">
        <v>25150.616</v>
      </c>
      <c r="I1248" s="12">
        <v>-3815.790178</v>
      </c>
      <c r="J1248" s="13">
        <v>-0.1517175634</v>
      </c>
      <c r="K1248" s="13">
        <v>-0.1517175634</v>
      </c>
      <c r="L1248" s="12">
        <v>22.4158787878</v>
      </c>
      <c r="M1248" s="13">
        <v>0.186692776</v>
      </c>
      <c r="N1248" s="13">
        <v>0.2020306296</v>
      </c>
      <c r="O1248" s="13">
        <v>0.3473836187</v>
      </c>
      <c r="P1248" s="13">
        <v>0.0295623773</v>
      </c>
      <c r="Q1248" s="13">
        <v>0.0256664318</v>
      </c>
      <c r="R1248" s="13">
        <v>0.2358168184</v>
      </c>
      <c r="S1248" s="13">
        <v>0</v>
      </c>
      <c r="T1248" s="13">
        <v>0.110568266</v>
      </c>
      <c r="U1248" s="13">
        <v>0.0192526951</v>
      </c>
      <c r="V1248" s="13">
        <v>-0.0060509054</v>
      </c>
      <c r="W1248" s="13">
        <v>0</v>
      </c>
      <c r="X1248" s="13">
        <v>0</v>
      </c>
      <c r="Y1248" s="13">
        <v>0</v>
      </c>
      <c r="Z1248" s="13">
        <v>0.0007948556</v>
      </c>
    </row>
    <row r="1249" s="2" customFormat="1" hidden="1" spans="1:26">
      <c r="A1249" s="11" t="s">
        <v>935</v>
      </c>
      <c r="B1249" s="11" t="s">
        <v>937</v>
      </c>
      <c r="C1249" s="14" t="s">
        <v>525</v>
      </c>
      <c r="D1249" s="14" t="s">
        <v>938</v>
      </c>
      <c r="E1249" s="14" t="s">
        <v>939</v>
      </c>
      <c r="F1249" s="3" t="s">
        <v>941</v>
      </c>
      <c r="G1249" s="4">
        <v>31</v>
      </c>
      <c r="H1249" s="12">
        <v>4499.22</v>
      </c>
      <c r="I1249" s="12">
        <v>-986.717466</v>
      </c>
      <c r="J1249" s="13">
        <v>-0.2193085614</v>
      </c>
      <c r="K1249" s="13">
        <v>-0.2193085614</v>
      </c>
      <c r="L1249" s="12">
        <v>21.343548387</v>
      </c>
      <c r="M1249" s="13">
        <v>0.2003750216</v>
      </c>
      <c r="N1249" s="13">
        <v>0.2562795993</v>
      </c>
      <c r="O1249" s="13">
        <v>0.3513640142</v>
      </c>
      <c r="P1249" s="13">
        <v>0</v>
      </c>
      <c r="Q1249" s="13">
        <v>0.0044585634</v>
      </c>
      <c r="R1249" s="13">
        <v>0.2767078918</v>
      </c>
      <c r="S1249" s="13">
        <v>0</v>
      </c>
      <c r="T1249" s="13">
        <v>0.1085921559</v>
      </c>
      <c r="U1249" s="13">
        <v>0.0206636763</v>
      </c>
      <c r="V1249" s="13">
        <v>0</v>
      </c>
      <c r="W1249" s="13">
        <v>0</v>
      </c>
      <c r="X1249" s="13">
        <v>0</v>
      </c>
      <c r="Y1249" s="13">
        <v>0</v>
      </c>
      <c r="Z1249" s="13">
        <v>0.0008676386</v>
      </c>
    </row>
    <row r="1250" s="2" customFormat="1" hidden="1" spans="1:26">
      <c r="A1250" s="11" t="s">
        <v>935</v>
      </c>
      <c r="B1250" s="11" t="s">
        <v>937</v>
      </c>
      <c r="C1250" s="14" t="s">
        <v>525</v>
      </c>
      <c r="D1250" s="14" t="s">
        <v>938</v>
      </c>
      <c r="E1250" s="14" t="s">
        <v>939</v>
      </c>
      <c r="F1250" s="3" t="s">
        <v>942</v>
      </c>
      <c r="G1250" s="4">
        <v>70</v>
      </c>
      <c r="H1250" s="12">
        <v>10136.624</v>
      </c>
      <c r="I1250" s="12">
        <v>-1929.848267</v>
      </c>
      <c r="J1250" s="13">
        <v>-0.190383728</v>
      </c>
      <c r="K1250" s="13">
        <v>-0.190383728</v>
      </c>
      <c r="L1250" s="12">
        <v>21.2954285714</v>
      </c>
      <c r="M1250" s="13">
        <v>0.1979588268</v>
      </c>
      <c r="N1250" s="13">
        <v>0.2531892866</v>
      </c>
      <c r="O1250" s="13">
        <v>0.3721523063</v>
      </c>
      <c r="P1250" s="13">
        <v>0.0256527222</v>
      </c>
      <c r="Q1250" s="13">
        <v>0.0211038223</v>
      </c>
      <c r="R1250" s="13">
        <v>0.1856362042</v>
      </c>
      <c r="S1250" s="13">
        <v>0</v>
      </c>
      <c r="T1250" s="13">
        <v>0.1124520353</v>
      </c>
      <c r="U1250" s="13">
        <v>0.0204145061</v>
      </c>
      <c r="V1250" s="13">
        <v>0.0003555424</v>
      </c>
      <c r="W1250" s="13">
        <v>0</v>
      </c>
      <c r="X1250" s="13">
        <v>0</v>
      </c>
      <c r="Y1250" s="13">
        <v>0</v>
      </c>
      <c r="Z1250" s="13">
        <v>0.0014684754</v>
      </c>
    </row>
    <row r="1251" s="2" customFormat="1" hidden="1" spans="1:26">
      <c r="A1251" s="11" t="s">
        <v>935</v>
      </c>
      <c r="B1251" s="11" t="s">
        <v>937</v>
      </c>
      <c r="C1251" s="14" t="s">
        <v>525</v>
      </c>
      <c r="D1251" s="14" t="s">
        <v>938</v>
      </c>
      <c r="E1251" s="14" t="s">
        <v>939</v>
      </c>
      <c r="F1251" s="3" t="s">
        <v>943</v>
      </c>
      <c r="G1251" s="4">
        <v>42</v>
      </c>
      <c r="H1251" s="12">
        <v>6628.028</v>
      </c>
      <c r="I1251" s="12">
        <v>43.838896</v>
      </c>
      <c r="J1251" s="13">
        <v>0.0066141687</v>
      </c>
      <c r="K1251" s="13">
        <v>0.0066141687</v>
      </c>
      <c r="L1251" s="12">
        <v>23.2073809523</v>
      </c>
      <c r="M1251" s="13">
        <v>0.173970182</v>
      </c>
      <c r="N1251" s="13">
        <v>0.1446931186</v>
      </c>
      <c r="O1251" s="13">
        <v>0.3299442911</v>
      </c>
      <c r="P1251" s="13">
        <v>0.0196160909</v>
      </c>
      <c r="Q1251" s="13">
        <v>0.0132855852</v>
      </c>
      <c r="R1251" s="13">
        <v>0.2041879832</v>
      </c>
      <c r="S1251" s="13">
        <v>0</v>
      </c>
      <c r="T1251" s="13">
        <v>0.1131721229</v>
      </c>
      <c r="U1251" s="13">
        <v>0.0179406782</v>
      </c>
      <c r="V1251" s="13">
        <v>-0.0235044269</v>
      </c>
      <c r="W1251" s="13">
        <v>0</v>
      </c>
      <c r="X1251" s="13">
        <v>0</v>
      </c>
      <c r="Y1251" s="13">
        <v>0</v>
      </c>
      <c r="Z1251" s="13">
        <v>8.02054e-5</v>
      </c>
    </row>
    <row r="1252" s="2" customFormat="1" spans="1:26">
      <c r="A1252" s="11" t="s">
        <v>935</v>
      </c>
      <c r="B1252" s="11" t="s">
        <v>937</v>
      </c>
      <c r="C1252" s="14" t="s">
        <v>525</v>
      </c>
      <c r="D1252" s="14" t="s">
        <v>938</v>
      </c>
      <c r="E1252" s="14" t="s">
        <v>939</v>
      </c>
      <c r="F1252" s="3" t="s">
        <v>944</v>
      </c>
      <c r="G1252" s="4">
        <v>22</v>
      </c>
      <c r="H1252" s="12">
        <v>3886.744</v>
      </c>
      <c r="I1252" s="12">
        <v>-908.791341</v>
      </c>
      <c r="J1252" s="13">
        <v>-0.2338181627</v>
      </c>
      <c r="K1252" s="13">
        <v>-0.2338181627</v>
      </c>
      <c r="L1252" s="12">
        <v>25.9809090908</v>
      </c>
      <c r="M1252" s="13">
        <v>0.1631683439</v>
      </c>
      <c r="N1252" s="13">
        <v>0.1035884653</v>
      </c>
      <c r="O1252" s="13">
        <v>0.3079184016</v>
      </c>
      <c r="P1252" s="13">
        <v>0.0909409006</v>
      </c>
      <c r="Q1252" s="13">
        <v>0.0832284737</v>
      </c>
      <c r="R1252" s="13">
        <v>0.3644717765</v>
      </c>
      <c r="S1252" s="13">
        <v>0</v>
      </c>
      <c r="T1252" s="13">
        <v>0.1035025718</v>
      </c>
      <c r="U1252" s="13">
        <v>0.0168267387</v>
      </c>
      <c r="V1252" s="13">
        <v>0</v>
      </c>
      <c r="W1252" s="13">
        <v>0</v>
      </c>
      <c r="X1252" s="13">
        <v>0</v>
      </c>
      <c r="Y1252" s="13">
        <v>0</v>
      </c>
      <c r="Z1252" s="13">
        <v>0.0001724901</v>
      </c>
    </row>
    <row r="1253" s="2" customFormat="1" hidden="1" spans="1:26">
      <c r="A1253" s="11" t="s">
        <v>935</v>
      </c>
      <c r="B1253" s="11" t="s">
        <v>937</v>
      </c>
      <c r="C1253" s="14" t="s">
        <v>525</v>
      </c>
      <c r="D1253" s="14" t="s">
        <v>938</v>
      </c>
      <c r="E1253" s="14" t="s">
        <v>939</v>
      </c>
      <c r="F1253" s="3" t="s">
        <v>945</v>
      </c>
      <c r="G1253" s="4">
        <v>0</v>
      </c>
      <c r="H1253" s="12">
        <v>0</v>
      </c>
      <c r="I1253" s="12">
        <v>-34.272</v>
      </c>
      <c r="J1253" s="13"/>
      <c r="K1253" s="13"/>
      <c r="L1253" s="12"/>
      <c r="M1253" s="13"/>
      <c r="N1253" s="13"/>
      <c r="O1253" s="13"/>
      <c r="P1253" s="13"/>
      <c r="Q1253" s="13"/>
      <c r="R1253" s="13"/>
      <c r="S1253" s="13"/>
      <c r="T1253" s="13"/>
      <c r="U1253" s="13"/>
      <c r="V1253" s="13"/>
      <c r="W1253" s="13"/>
      <c r="X1253" s="13"/>
      <c r="Y1253" s="13"/>
      <c r="Z1253" s="13"/>
    </row>
    <row r="1254" s="2" customFormat="1" hidden="1" spans="1:26">
      <c r="A1254" s="11" t="s">
        <v>935</v>
      </c>
      <c r="B1254" s="11" t="s">
        <v>937</v>
      </c>
      <c r="C1254" s="14" t="s">
        <v>530</v>
      </c>
      <c r="D1254" s="14" t="s">
        <v>938</v>
      </c>
      <c r="E1254" s="14" t="s">
        <v>939</v>
      </c>
      <c r="F1254" s="3" t="s">
        <v>936</v>
      </c>
      <c r="G1254" s="4">
        <v>117</v>
      </c>
      <c r="H1254" s="12">
        <v>18815.94</v>
      </c>
      <c r="I1254" s="12">
        <v>124.066574</v>
      </c>
      <c r="J1254" s="13">
        <v>0.0065936952</v>
      </c>
      <c r="K1254" s="13">
        <v>0.0065936952</v>
      </c>
      <c r="L1254" s="12">
        <v>23.65</v>
      </c>
      <c r="M1254" s="13">
        <v>0.1471601725</v>
      </c>
      <c r="N1254" s="13">
        <v>0.0682805256</v>
      </c>
      <c r="O1254" s="13">
        <v>0.3030736705</v>
      </c>
      <c r="P1254" s="13">
        <v>0.0993440667</v>
      </c>
      <c r="Q1254" s="13">
        <v>0.0265557239</v>
      </c>
      <c r="R1254" s="13">
        <v>0.2371618576</v>
      </c>
      <c r="S1254" s="13">
        <v>0</v>
      </c>
      <c r="T1254" s="13">
        <v>0.0986538009</v>
      </c>
      <c r="U1254" s="13">
        <v>0.0151758953</v>
      </c>
      <c r="V1254" s="13">
        <v>0.0017491552</v>
      </c>
      <c r="W1254" s="13">
        <v>-0.0039356357</v>
      </c>
      <c r="X1254" s="13">
        <v>0</v>
      </c>
      <c r="Y1254" s="13">
        <v>0</v>
      </c>
      <c r="Z1254" s="13">
        <v>0.0001870718</v>
      </c>
    </row>
    <row r="1255" s="2" customFormat="1" hidden="1" spans="1:26">
      <c r="A1255" s="11" t="s">
        <v>935</v>
      </c>
      <c r="B1255" s="11" t="s">
        <v>937</v>
      </c>
      <c r="C1255" s="14" t="s">
        <v>530</v>
      </c>
      <c r="D1255" s="14" t="s">
        <v>938</v>
      </c>
      <c r="E1255" s="14" t="s">
        <v>939</v>
      </c>
      <c r="F1255" s="3" t="s">
        <v>942</v>
      </c>
      <c r="G1255" s="4">
        <v>4</v>
      </c>
      <c r="H1255" s="12">
        <v>679.728</v>
      </c>
      <c r="I1255" s="12">
        <v>-159.431523</v>
      </c>
      <c r="J1255" s="13">
        <v>-0.2345519428</v>
      </c>
      <c r="K1255" s="13">
        <v>-0.2345519428</v>
      </c>
      <c r="L1255" s="12">
        <v>24.99</v>
      </c>
      <c r="M1255" s="13">
        <v>0.149079726</v>
      </c>
      <c r="N1255" s="13">
        <v>0.0454120942</v>
      </c>
      <c r="O1255" s="13">
        <v>0.2985194077</v>
      </c>
      <c r="P1255" s="13">
        <v>0</v>
      </c>
      <c r="Q1255" s="13">
        <v>0.0060198858</v>
      </c>
      <c r="R1255" s="13">
        <v>0.6586544823</v>
      </c>
      <c r="S1255" s="13">
        <v>0</v>
      </c>
      <c r="T1255" s="13">
        <v>0.0600240096</v>
      </c>
      <c r="U1255" s="13">
        <v>0.0153738495</v>
      </c>
      <c r="V1255" s="13">
        <v>0</v>
      </c>
      <c r="W1255" s="13">
        <v>0</v>
      </c>
      <c r="X1255" s="13">
        <v>0</v>
      </c>
      <c r="Y1255" s="13">
        <v>0</v>
      </c>
      <c r="Z1255" s="13">
        <v>0.0014684873</v>
      </c>
    </row>
    <row r="1256" s="2" customFormat="1" hidden="1" spans="1:26">
      <c r="A1256" s="11" t="s">
        <v>935</v>
      </c>
      <c r="B1256" s="11" t="s">
        <v>937</v>
      </c>
      <c r="C1256" s="14" t="s">
        <v>530</v>
      </c>
      <c r="D1256" s="14" t="s">
        <v>938</v>
      </c>
      <c r="E1256" s="14" t="s">
        <v>939</v>
      </c>
      <c r="F1256" s="3" t="s">
        <v>943</v>
      </c>
      <c r="G1256" s="4">
        <v>32</v>
      </c>
      <c r="H1256" s="12">
        <v>4984.74</v>
      </c>
      <c r="I1256" s="12">
        <v>-280.100707</v>
      </c>
      <c r="J1256" s="13">
        <v>-0.0561916382</v>
      </c>
      <c r="K1256" s="13">
        <v>-0.0561916382</v>
      </c>
      <c r="L1256" s="12">
        <v>22.9078125</v>
      </c>
      <c r="M1256" s="13">
        <v>0.1455119795</v>
      </c>
      <c r="N1256" s="13">
        <v>0.0746831646</v>
      </c>
      <c r="O1256" s="13">
        <v>0.3018484414</v>
      </c>
      <c r="P1256" s="13">
        <v>0.2386331082</v>
      </c>
      <c r="Q1256" s="13">
        <v>0.0211443575</v>
      </c>
      <c r="R1256" s="13">
        <v>0.1741961313</v>
      </c>
      <c r="S1256" s="13">
        <v>0</v>
      </c>
      <c r="T1256" s="13">
        <v>0.0895436873</v>
      </c>
      <c r="U1256" s="13">
        <v>0.0150059236</v>
      </c>
      <c r="V1256" s="13">
        <v>0.0031375758</v>
      </c>
      <c r="W1256" s="13">
        <v>-0.007592936</v>
      </c>
      <c r="X1256" s="13">
        <v>0</v>
      </c>
      <c r="Y1256" s="13">
        <v>0</v>
      </c>
      <c r="Z1256" s="13">
        <v>8.02045e-5</v>
      </c>
    </row>
    <row r="1257" s="2" customFormat="1" spans="1:26">
      <c r="A1257" s="11" t="s">
        <v>935</v>
      </c>
      <c r="B1257" s="11" t="s">
        <v>937</v>
      </c>
      <c r="C1257" s="14" t="s">
        <v>530</v>
      </c>
      <c r="D1257" s="14" t="s">
        <v>938</v>
      </c>
      <c r="E1257" s="14" t="s">
        <v>939</v>
      </c>
      <c r="F1257" s="3" t="s">
        <v>944</v>
      </c>
      <c r="G1257" s="4">
        <v>76</v>
      </c>
      <c r="H1257" s="12">
        <v>12301.812</v>
      </c>
      <c r="I1257" s="12">
        <v>499.638256</v>
      </c>
      <c r="J1257" s="13">
        <v>0.0406150131</v>
      </c>
      <c r="K1257" s="13">
        <v>0.0406150131</v>
      </c>
      <c r="L1257" s="12">
        <v>23.8038157894</v>
      </c>
      <c r="M1257" s="13">
        <v>0.1477651054</v>
      </c>
      <c r="N1257" s="13">
        <v>0.0670717658</v>
      </c>
      <c r="O1257" s="13">
        <v>0.3036664842</v>
      </c>
      <c r="P1257" s="13">
        <v>0.0552542991</v>
      </c>
      <c r="Q1257" s="13">
        <v>0.0316645577</v>
      </c>
      <c r="R1257" s="13">
        <v>0.2364255741</v>
      </c>
      <c r="S1257" s="13">
        <v>0</v>
      </c>
      <c r="T1257" s="13">
        <v>0.1036653787</v>
      </c>
      <c r="U1257" s="13">
        <v>0.0152382796</v>
      </c>
      <c r="V1257" s="13">
        <v>0.0014040208</v>
      </c>
      <c r="W1257" s="13">
        <v>-0.0029429708</v>
      </c>
      <c r="X1257" s="13">
        <v>0</v>
      </c>
      <c r="Y1257" s="13">
        <v>0</v>
      </c>
      <c r="Z1257" s="13">
        <v>0.0001724917</v>
      </c>
    </row>
    <row r="1258" s="2" customFormat="1" hidden="1" spans="1:26">
      <c r="A1258" s="11" t="s">
        <v>935</v>
      </c>
      <c r="B1258" s="11" t="s">
        <v>937</v>
      </c>
      <c r="C1258" s="14" t="s">
        <v>530</v>
      </c>
      <c r="D1258" s="14" t="s">
        <v>938</v>
      </c>
      <c r="E1258" s="14" t="s">
        <v>939</v>
      </c>
      <c r="F1258" s="3" t="s">
        <v>945</v>
      </c>
      <c r="G1258" s="4">
        <v>5</v>
      </c>
      <c r="H1258" s="12">
        <v>849.66</v>
      </c>
      <c r="I1258" s="12">
        <v>63.960548</v>
      </c>
      <c r="J1258" s="13">
        <v>0.0752778146</v>
      </c>
      <c r="K1258" s="13">
        <v>0.0752778146</v>
      </c>
      <c r="L1258" s="12">
        <v>24.99</v>
      </c>
      <c r="M1258" s="13">
        <v>0.1465355318</v>
      </c>
      <c r="N1258" s="13">
        <v>0.0665136525</v>
      </c>
      <c r="O1258" s="13">
        <v>0.3053221288</v>
      </c>
      <c r="P1258" s="13">
        <v>0</v>
      </c>
      <c r="Q1258" s="13">
        <v>0.0007632017</v>
      </c>
      <c r="R1258" s="13">
        <v>0.2800320128</v>
      </c>
      <c r="S1258" s="13">
        <v>0</v>
      </c>
      <c r="T1258" s="13">
        <v>0.1104441776</v>
      </c>
      <c r="U1258" s="13">
        <v>0.0151114798</v>
      </c>
      <c r="V1258" s="13">
        <v>0</v>
      </c>
      <c r="W1258" s="13">
        <v>0</v>
      </c>
      <c r="X1258" s="13">
        <v>0</v>
      </c>
      <c r="Y1258" s="13">
        <v>0</v>
      </c>
      <c r="Z1258" s="13">
        <v>0</v>
      </c>
    </row>
    <row r="1259" s="2" customFormat="1" hidden="1" spans="1:26">
      <c r="A1259" s="11" t="s">
        <v>935</v>
      </c>
      <c r="B1259" s="11" t="s">
        <v>937</v>
      </c>
      <c r="C1259" s="14" t="s">
        <v>535</v>
      </c>
      <c r="D1259" s="14" t="s">
        <v>938</v>
      </c>
      <c r="E1259" s="14" t="s">
        <v>939</v>
      </c>
      <c r="F1259" s="3" t="s">
        <v>936</v>
      </c>
      <c r="G1259" s="4">
        <v>10</v>
      </c>
      <c r="H1259" s="12">
        <v>1620.168</v>
      </c>
      <c r="I1259" s="12">
        <v>-2141.466261</v>
      </c>
      <c r="J1259" s="13">
        <v>-1.3217556827</v>
      </c>
      <c r="K1259" s="13">
        <v>-1.3217556827</v>
      </c>
      <c r="L1259" s="12">
        <v>23.826</v>
      </c>
      <c r="M1259" s="13">
        <v>0.1656357766</v>
      </c>
      <c r="N1259" s="13">
        <v>0.0914779763</v>
      </c>
      <c r="O1259" s="13">
        <v>0.2975321077</v>
      </c>
      <c r="P1259" s="13">
        <v>0.2173256106</v>
      </c>
      <c r="Q1259" s="13">
        <v>0.454773413</v>
      </c>
      <c r="R1259" s="13">
        <v>1.0352828089</v>
      </c>
      <c r="S1259" s="13">
        <v>0</v>
      </c>
      <c r="T1259" s="13">
        <v>0.0675312683</v>
      </c>
      <c r="U1259" s="13">
        <v>0.0170811897</v>
      </c>
      <c r="V1259" s="13">
        <v>0.0046168051</v>
      </c>
      <c r="W1259" s="13">
        <v>-0.0298943646</v>
      </c>
      <c r="X1259" s="13">
        <v>0</v>
      </c>
      <c r="Y1259" s="13">
        <v>0</v>
      </c>
      <c r="Z1259" s="13">
        <v>0.0003930907</v>
      </c>
    </row>
    <row r="1260" s="2" customFormat="1" hidden="1" spans="1:26">
      <c r="A1260" s="11" t="s">
        <v>935</v>
      </c>
      <c r="B1260" s="11" t="s">
        <v>937</v>
      </c>
      <c r="C1260" s="14" t="s">
        <v>535</v>
      </c>
      <c r="D1260" s="14" t="s">
        <v>938</v>
      </c>
      <c r="E1260" s="14" t="s">
        <v>939</v>
      </c>
      <c r="F1260" s="3" t="s">
        <v>942</v>
      </c>
      <c r="G1260" s="4">
        <v>2</v>
      </c>
      <c r="H1260" s="12">
        <v>339.864</v>
      </c>
      <c r="I1260" s="12">
        <v>-286.498867</v>
      </c>
      <c r="J1260" s="13">
        <v>-0.8429809188</v>
      </c>
      <c r="K1260" s="13">
        <v>-0.8429809188</v>
      </c>
      <c r="L1260" s="12">
        <v>24.99</v>
      </c>
      <c r="M1260" s="13">
        <v>0.175864481</v>
      </c>
      <c r="N1260" s="13">
        <v>0.0571843855</v>
      </c>
      <c r="O1260" s="13">
        <v>0.3085234093</v>
      </c>
      <c r="P1260" s="13">
        <v>0</v>
      </c>
      <c r="Q1260" s="13">
        <v>0.0060198579</v>
      </c>
      <c r="R1260" s="13">
        <v>1.2637794912</v>
      </c>
      <c r="S1260" s="13">
        <v>0</v>
      </c>
      <c r="T1260" s="13">
        <v>0.0120048019</v>
      </c>
      <c r="U1260" s="13">
        <v>0.0181360249</v>
      </c>
      <c r="V1260" s="13">
        <v>0</v>
      </c>
      <c r="W1260" s="13">
        <v>0</v>
      </c>
      <c r="X1260" s="13">
        <v>0</v>
      </c>
      <c r="Y1260" s="13">
        <v>0</v>
      </c>
      <c r="Z1260" s="13">
        <v>0.0014684667</v>
      </c>
    </row>
    <row r="1261" s="2" customFormat="1" hidden="1" spans="1:26">
      <c r="A1261" s="11" t="s">
        <v>935</v>
      </c>
      <c r="B1261" s="11" t="s">
        <v>937</v>
      </c>
      <c r="C1261" s="14" t="s">
        <v>535</v>
      </c>
      <c r="D1261" s="14" t="s">
        <v>938</v>
      </c>
      <c r="E1261" s="14" t="s">
        <v>939</v>
      </c>
      <c r="F1261" s="3" t="s">
        <v>943</v>
      </c>
      <c r="G1261" s="4">
        <v>5</v>
      </c>
      <c r="H1261" s="12">
        <v>899.98</v>
      </c>
      <c r="I1261" s="12">
        <v>-699.621928</v>
      </c>
      <c r="J1261" s="13">
        <v>-0.7773749727</v>
      </c>
      <c r="K1261" s="13">
        <v>-0.7773749727</v>
      </c>
      <c r="L1261" s="12">
        <v>26.47</v>
      </c>
      <c r="M1261" s="13">
        <v>0.1655598735</v>
      </c>
      <c r="N1261" s="13">
        <v>0.1035232894</v>
      </c>
      <c r="O1261" s="13">
        <v>0.2988288628</v>
      </c>
      <c r="P1261" s="13">
        <v>0.1873063845</v>
      </c>
      <c r="Q1261" s="13">
        <v>0.1060641692</v>
      </c>
      <c r="R1261" s="13">
        <v>0.8610289761</v>
      </c>
      <c r="S1261" s="13">
        <v>0</v>
      </c>
      <c r="T1261" s="13">
        <v>0.0917264828</v>
      </c>
      <c r="U1261" s="13">
        <v>0.0170733627</v>
      </c>
      <c r="V1261" s="13">
        <v>0</v>
      </c>
      <c r="W1261" s="13">
        <v>-0.0538166325</v>
      </c>
      <c r="X1261" s="13">
        <v>0</v>
      </c>
      <c r="Y1261" s="13">
        <v>0</v>
      </c>
      <c r="Z1261" s="13">
        <v>8.0204e-5</v>
      </c>
    </row>
    <row r="1262" s="2" customFormat="1" spans="1:26">
      <c r="A1262" s="11" t="s">
        <v>935</v>
      </c>
      <c r="B1262" s="11" t="s">
        <v>937</v>
      </c>
      <c r="C1262" s="14" t="s">
        <v>535</v>
      </c>
      <c r="D1262" s="14" t="s">
        <v>938</v>
      </c>
      <c r="E1262" s="14" t="s">
        <v>939</v>
      </c>
      <c r="F1262" s="3" t="s">
        <v>944</v>
      </c>
      <c r="G1262" s="4">
        <v>3</v>
      </c>
      <c r="H1262" s="12">
        <v>380.324</v>
      </c>
      <c r="I1262" s="12">
        <v>-1115.973466</v>
      </c>
      <c r="J1262" s="13">
        <v>-2.9342704273</v>
      </c>
      <c r="K1262" s="13">
        <v>-2.9342704273</v>
      </c>
      <c r="L1262" s="12">
        <v>18.6433333333</v>
      </c>
      <c r="M1262" s="13">
        <v>0.1566748456</v>
      </c>
      <c r="N1262" s="13">
        <v>0.0936198767</v>
      </c>
      <c r="O1262" s="13">
        <v>0.2846415161</v>
      </c>
      <c r="P1262" s="13">
        <v>0.482567495</v>
      </c>
      <c r="Q1262" s="13">
        <v>1.6809556246</v>
      </c>
      <c r="R1262" s="13">
        <v>1.13991772</v>
      </c>
      <c r="S1262" s="13">
        <v>0</v>
      </c>
      <c r="T1262" s="13">
        <v>0.0598962989</v>
      </c>
      <c r="U1262" s="13">
        <v>0.0161570923</v>
      </c>
      <c r="V1262" s="13">
        <v>0.0196674414</v>
      </c>
      <c r="W1262" s="13">
        <v>0</v>
      </c>
      <c r="X1262" s="13">
        <v>0</v>
      </c>
      <c r="Y1262" s="13">
        <v>0</v>
      </c>
      <c r="Z1262" s="13">
        <v>0.000172516</v>
      </c>
    </row>
    <row r="1263" s="2" customFormat="1" hidden="1" spans="1:26">
      <c r="A1263" s="11" t="s">
        <v>935</v>
      </c>
      <c r="B1263" s="11" t="s">
        <v>937</v>
      </c>
      <c r="C1263" s="14" t="s">
        <v>535</v>
      </c>
      <c r="D1263" s="14" t="s">
        <v>938</v>
      </c>
      <c r="E1263" s="14" t="s">
        <v>939</v>
      </c>
      <c r="F1263" s="3" t="s">
        <v>945</v>
      </c>
      <c r="G1263" s="4">
        <v>0</v>
      </c>
      <c r="H1263" s="12">
        <v>0</v>
      </c>
      <c r="I1263" s="12">
        <v>-39.372</v>
      </c>
      <c r="J1263" s="13"/>
      <c r="K1263" s="13"/>
      <c r="L1263" s="12"/>
      <c r="M1263" s="13"/>
      <c r="N1263" s="13"/>
      <c r="O1263" s="13"/>
      <c r="P1263" s="13"/>
      <c r="Q1263" s="13"/>
      <c r="R1263" s="13"/>
      <c r="S1263" s="13"/>
      <c r="T1263" s="13"/>
      <c r="U1263" s="13"/>
      <c r="V1263" s="13"/>
      <c r="W1263" s="13"/>
      <c r="X1263" s="13"/>
      <c r="Y1263" s="13"/>
      <c r="Z1263" s="13"/>
    </row>
    <row r="1264" s="2" customFormat="1" hidden="1" spans="1:26">
      <c r="A1264" s="11" t="s">
        <v>935</v>
      </c>
      <c r="B1264" s="11" t="s">
        <v>937</v>
      </c>
      <c r="C1264" s="14" t="s">
        <v>540</v>
      </c>
      <c r="D1264" s="14" t="s">
        <v>938</v>
      </c>
      <c r="E1264" s="14" t="s">
        <v>939</v>
      </c>
      <c r="F1264" s="3" t="s">
        <v>936</v>
      </c>
      <c r="G1264" s="4">
        <v>42</v>
      </c>
      <c r="H1264" s="12">
        <v>6703.1</v>
      </c>
      <c r="I1264" s="12">
        <v>-323.874067</v>
      </c>
      <c r="J1264" s="13">
        <v>-0.0483170573</v>
      </c>
      <c r="K1264" s="13">
        <v>-0.0483170573</v>
      </c>
      <c r="L1264" s="12">
        <v>23.4702380952</v>
      </c>
      <c r="M1264" s="13">
        <v>0.1444431388</v>
      </c>
      <c r="N1264" s="13">
        <v>0.0486746408</v>
      </c>
      <c r="O1264" s="13">
        <v>0.3140248541</v>
      </c>
      <c r="P1264" s="13">
        <v>0.1216839969</v>
      </c>
      <c r="Q1264" s="13">
        <v>0.0586505096</v>
      </c>
      <c r="R1264" s="13">
        <v>0.2584369213</v>
      </c>
      <c r="S1264" s="13">
        <v>0</v>
      </c>
      <c r="T1264" s="13">
        <v>0.0954704539</v>
      </c>
      <c r="U1264" s="13">
        <v>0.0148957022</v>
      </c>
      <c r="V1264" s="13">
        <v>0.0006796855</v>
      </c>
      <c r="W1264" s="13">
        <v>-0.0087906323</v>
      </c>
      <c r="X1264" s="13">
        <v>0</v>
      </c>
      <c r="Y1264" s="13">
        <v>0</v>
      </c>
      <c r="Z1264" s="13">
        <v>0.000147786</v>
      </c>
    </row>
    <row r="1265" s="2" customFormat="1" hidden="1" spans="1:26">
      <c r="A1265" s="11" t="s">
        <v>935</v>
      </c>
      <c r="B1265" s="11" t="s">
        <v>937</v>
      </c>
      <c r="C1265" s="14" t="s">
        <v>540</v>
      </c>
      <c r="D1265" s="14" t="s">
        <v>938</v>
      </c>
      <c r="E1265" s="14" t="s">
        <v>939</v>
      </c>
      <c r="F1265" s="3" t="s">
        <v>943</v>
      </c>
      <c r="G1265" s="4">
        <v>11</v>
      </c>
      <c r="H1265" s="12">
        <v>1794.452</v>
      </c>
      <c r="I1265" s="12">
        <v>-296.39128</v>
      </c>
      <c r="J1265" s="13">
        <v>-0.1651709156</v>
      </c>
      <c r="K1265" s="13">
        <v>-0.1651709156</v>
      </c>
      <c r="L1265" s="12">
        <v>23.99</v>
      </c>
      <c r="M1265" s="13">
        <v>0.1447603413</v>
      </c>
      <c r="N1265" s="13">
        <v>0.0079241657</v>
      </c>
      <c r="O1265" s="13">
        <v>0.3147144643</v>
      </c>
      <c r="P1265" s="13">
        <v>0.2727272727</v>
      </c>
      <c r="Q1265" s="13">
        <v>0.0338948826</v>
      </c>
      <c r="R1265" s="13">
        <v>0.3167713591</v>
      </c>
      <c r="S1265" s="13">
        <v>0</v>
      </c>
      <c r="T1265" s="13">
        <v>0.0732502178</v>
      </c>
      <c r="U1265" s="13">
        <v>0.0149284137</v>
      </c>
      <c r="V1265" s="13">
        <v>0</v>
      </c>
      <c r="W1265" s="13">
        <v>-0.0138804097</v>
      </c>
      <c r="X1265" s="13">
        <v>0</v>
      </c>
      <c r="Y1265" s="13">
        <v>0</v>
      </c>
      <c r="Z1265" s="13">
        <v>8.02077e-5</v>
      </c>
    </row>
    <row r="1266" s="2" customFormat="1" spans="1:26">
      <c r="A1266" s="11" t="s">
        <v>935</v>
      </c>
      <c r="B1266" s="11" t="s">
        <v>937</v>
      </c>
      <c r="C1266" s="14" t="s">
        <v>540</v>
      </c>
      <c r="D1266" s="14" t="s">
        <v>938</v>
      </c>
      <c r="E1266" s="14" t="s">
        <v>939</v>
      </c>
      <c r="F1266" s="3" t="s">
        <v>944</v>
      </c>
      <c r="G1266" s="4">
        <v>31</v>
      </c>
      <c r="H1266" s="12">
        <v>4908.648</v>
      </c>
      <c r="I1266" s="12">
        <v>-1.982787</v>
      </c>
      <c r="J1266" s="13">
        <v>-0.0004039374</v>
      </c>
      <c r="K1266" s="13">
        <v>-0.0004039374</v>
      </c>
      <c r="L1266" s="12">
        <v>23.2858064516</v>
      </c>
      <c r="M1266" s="13">
        <v>0.1443271792</v>
      </c>
      <c r="N1266" s="13">
        <v>0.0635717716</v>
      </c>
      <c r="O1266" s="13">
        <v>0.3137727537</v>
      </c>
      <c r="P1266" s="13">
        <v>0.066467182</v>
      </c>
      <c r="Q1266" s="13">
        <v>0.0677004118</v>
      </c>
      <c r="R1266" s="13">
        <v>0.2319167169</v>
      </c>
      <c r="S1266" s="13">
        <v>0</v>
      </c>
      <c r="T1266" s="13">
        <v>0.1035934945</v>
      </c>
      <c r="U1266" s="13">
        <v>0.0148837439</v>
      </c>
      <c r="V1266" s="13">
        <v>0.0009281578</v>
      </c>
      <c r="W1266" s="13">
        <v>-0.006929965</v>
      </c>
      <c r="X1266" s="13">
        <v>0</v>
      </c>
      <c r="Y1266" s="13">
        <v>0</v>
      </c>
      <c r="Z1266" s="13">
        <v>0.0001724906</v>
      </c>
    </row>
    <row r="1267" s="2" customFormat="1" hidden="1" spans="1:26">
      <c r="A1267" s="11" t="s">
        <v>935</v>
      </c>
      <c r="B1267" s="11" t="s">
        <v>937</v>
      </c>
      <c r="C1267" s="14" t="s">
        <v>540</v>
      </c>
      <c r="D1267" s="14" t="s">
        <v>938</v>
      </c>
      <c r="E1267" s="14" t="s">
        <v>939</v>
      </c>
      <c r="F1267" s="3" t="s">
        <v>945</v>
      </c>
      <c r="G1267" s="4">
        <v>0</v>
      </c>
      <c r="H1267" s="12">
        <v>0</v>
      </c>
      <c r="I1267" s="12">
        <v>-25.5</v>
      </c>
      <c r="J1267" s="13"/>
      <c r="K1267" s="13"/>
      <c r="L1267" s="12"/>
      <c r="M1267" s="13"/>
      <c r="N1267" s="13"/>
      <c r="O1267" s="13"/>
      <c r="P1267" s="13"/>
      <c r="Q1267" s="13"/>
      <c r="R1267" s="13"/>
      <c r="S1267" s="13"/>
      <c r="T1267" s="13"/>
      <c r="U1267" s="13"/>
      <c r="V1267" s="13"/>
      <c r="W1267" s="13"/>
      <c r="X1267" s="13"/>
      <c r="Y1267" s="13"/>
      <c r="Z1267" s="13"/>
    </row>
    <row r="1268" s="2" customFormat="1" hidden="1" spans="1:26">
      <c r="A1268" s="11" t="s">
        <v>935</v>
      </c>
      <c r="B1268" s="11" t="s">
        <v>937</v>
      </c>
      <c r="C1268" s="14" t="s">
        <v>545</v>
      </c>
      <c r="D1268" s="14" t="s">
        <v>938</v>
      </c>
      <c r="E1268" s="14" t="s">
        <v>939</v>
      </c>
      <c r="F1268" s="3" t="s">
        <v>936</v>
      </c>
      <c r="G1268" s="4">
        <v>225</v>
      </c>
      <c r="H1268" s="12">
        <v>34187.816</v>
      </c>
      <c r="I1268" s="12">
        <v>3648.145836</v>
      </c>
      <c r="J1268" s="13">
        <v>0.1067089467</v>
      </c>
      <c r="K1268" s="13">
        <v>0.1067089467</v>
      </c>
      <c r="L1268" s="12">
        <v>22.3449777777</v>
      </c>
      <c r="M1268" s="13">
        <v>0.1252808191</v>
      </c>
      <c r="N1268" s="13">
        <v>0.0645184029</v>
      </c>
      <c r="O1268" s="13">
        <v>0.3254899932</v>
      </c>
      <c r="P1268" s="13">
        <v>0.0504910872</v>
      </c>
      <c r="Q1268" s="13">
        <v>0.0123313071</v>
      </c>
      <c r="R1268" s="13">
        <v>0.192485588</v>
      </c>
      <c r="S1268" s="13">
        <v>0</v>
      </c>
      <c r="T1268" s="13">
        <v>0.1110724358</v>
      </c>
      <c r="U1268" s="13">
        <v>0.0129195849</v>
      </c>
      <c r="V1268" s="13">
        <v>0.0007259896</v>
      </c>
      <c r="W1268" s="13">
        <v>-0.0025371628</v>
      </c>
      <c r="X1268" s="13">
        <v>0</v>
      </c>
      <c r="Y1268" s="13">
        <v>0</v>
      </c>
      <c r="Z1268" s="13">
        <v>0.0005130078</v>
      </c>
    </row>
    <row r="1269" s="2" customFormat="1" hidden="1" spans="1:26">
      <c r="A1269" s="11" t="s">
        <v>935</v>
      </c>
      <c r="B1269" s="11" t="s">
        <v>937</v>
      </c>
      <c r="C1269" s="14" t="s">
        <v>545</v>
      </c>
      <c r="D1269" s="14" t="s">
        <v>938</v>
      </c>
      <c r="E1269" s="14" t="s">
        <v>939</v>
      </c>
      <c r="F1269" s="3" t="s">
        <v>940</v>
      </c>
      <c r="G1269" s="4">
        <v>0</v>
      </c>
      <c r="H1269" s="12">
        <v>0</v>
      </c>
      <c r="I1269" s="12">
        <v>-2.856</v>
      </c>
      <c r="J1269" s="13"/>
      <c r="K1269" s="13"/>
      <c r="L1269" s="12"/>
      <c r="M1269" s="13"/>
      <c r="N1269" s="13"/>
      <c r="O1269" s="13"/>
      <c r="P1269" s="13"/>
      <c r="Q1269" s="13"/>
      <c r="R1269" s="13"/>
      <c r="S1269" s="13"/>
      <c r="T1269" s="13"/>
      <c r="U1269" s="13"/>
      <c r="V1269" s="13"/>
      <c r="W1269" s="13"/>
      <c r="X1269" s="13"/>
      <c r="Y1269" s="13"/>
      <c r="Z1269" s="13"/>
    </row>
    <row r="1270" s="2" customFormat="1" hidden="1" spans="1:26">
      <c r="A1270" s="11" t="s">
        <v>935</v>
      </c>
      <c r="B1270" s="11" t="s">
        <v>937</v>
      </c>
      <c r="C1270" s="14" t="s">
        <v>545</v>
      </c>
      <c r="D1270" s="14" t="s">
        <v>938</v>
      </c>
      <c r="E1270" s="14" t="s">
        <v>939</v>
      </c>
      <c r="F1270" s="3" t="s">
        <v>941</v>
      </c>
      <c r="G1270" s="4">
        <v>27</v>
      </c>
      <c r="H1270" s="12">
        <v>3699.064</v>
      </c>
      <c r="I1270" s="12">
        <v>-477.727605</v>
      </c>
      <c r="J1270" s="13">
        <v>-0.1291482399</v>
      </c>
      <c r="K1270" s="13">
        <v>-0.1291482399</v>
      </c>
      <c r="L1270" s="12">
        <v>20.1474074073</v>
      </c>
      <c r="M1270" s="13">
        <v>0.1430961007</v>
      </c>
      <c r="N1270" s="13">
        <v>0.0517014339</v>
      </c>
      <c r="O1270" s="13">
        <v>0.359572043</v>
      </c>
      <c r="P1270" s="13">
        <v>0</v>
      </c>
      <c r="Q1270" s="13">
        <v>0.006406439</v>
      </c>
      <c r="R1270" s="13">
        <v>0.4483138077</v>
      </c>
      <c r="S1270" s="13">
        <v>0</v>
      </c>
      <c r="T1270" s="13">
        <v>0.1044339865</v>
      </c>
      <c r="U1270" s="13">
        <v>0.0147567884</v>
      </c>
      <c r="V1270" s="13">
        <v>0</v>
      </c>
      <c r="W1270" s="13">
        <v>0</v>
      </c>
      <c r="X1270" s="13">
        <v>0</v>
      </c>
      <c r="Y1270" s="13">
        <v>0</v>
      </c>
      <c r="Z1270" s="13">
        <v>0.0008676403</v>
      </c>
    </row>
    <row r="1271" s="2" customFormat="1" hidden="1" spans="1:26">
      <c r="A1271" s="11" t="s">
        <v>935</v>
      </c>
      <c r="B1271" s="11" t="s">
        <v>937</v>
      </c>
      <c r="C1271" s="14" t="s">
        <v>545</v>
      </c>
      <c r="D1271" s="14" t="s">
        <v>938</v>
      </c>
      <c r="E1271" s="14" t="s">
        <v>939</v>
      </c>
      <c r="F1271" s="3" t="s">
        <v>942</v>
      </c>
      <c r="G1271" s="4">
        <v>52</v>
      </c>
      <c r="H1271" s="12">
        <v>7429</v>
      </c>
      <c r="I1271" s="12">
        <v>792.670389</v>
      </c>
      <c r="J1271" s="13">
        <v>0.1066994735</v>
      </c>
      <c r="K1271" s="13">
        <v>0.1066994735</v>
      </c>
      <c r="L1271" s="12">
        <v>21.0096153846</v>
      </c>
      <c r="M1271" s="13">
        <v>0.1345847025</v>
      </c>
      <c r="N1271" s="13">
        <v>0.043188501</v>
      </c>
      <c r="O1271" s="13">
        <v>0.3444302059</v>
      </c>
      <c r="P1271" s="13">
        <v>0.0397894736</v>
      </c>
      <c r="Q1271" s="13">
        <v>0.0136091029</v>
      </c>
      <c r="R1271" s="13">
        <v>0.185682823</v>
      </c>
      <c r="S1271" s="13">
        <v>0</v>
      </c>
      <c r="T1271" s="13">
        <v>0.1161098398</v>
      </c>
      <c r="U1271" s="13">
        <v>0.0138790502</v>
      </c>
      <c r="V1271" s="13">
        <v>0.0005583524</v>
      </c>
      <c r="W1271" s="13">
        <v>0</v>
      </c>
      <c r="X1271" s="13">
        <v>0</v>
      </c>
      <c r="Y1271" s="13">
        <v>0</v>
      </c>
      <c r="Z1271" s="13">
        <v>0.0014684748</v>
      </c>
    </row>
    <row r="1272" s="2" customFormat="1" hidden="1" spans="1:26">
      <c r="A1272" s="11" t="s">
        <v>935</v>
      </c>
      <c r="B1272" s="11" t="s">
        <v>937</v>
      </c>
      <c r="C1272" s="14" t="s">
        <v>545</v>
      </c>
      <c r="D1272" s="14" t="s">
        <v>938</v>
      </c>
      <c r="E1272" s="14" t="s">
        <v>939</v>
      </c>
      <c r="F1272" s="3" t="s">
        <v>943</v>
      </c>
      <c r="G1272" s="4">
        <v>38</v>
      </c>
      <c r="H1272" s="12">
        <v>6043.568</v>
      </c>
      <c r="I1272" s="12">
        <v>889.494671</v>
      </c>
      <c r="J1272" s="13">
        <v>0.1471803859</v>
      </c>
      <c r="K1272" s="13">
        <v>0.1471803859</v>
      </c>
      <c r="L1272" s="12">
        <v>23.3884210526</v>
      </c>
      <c r="M1272" s="13">
        <v>0.120022921</v>
      </c>
      <c r="N1272" s="13">
        <v>0.0437154657</v>
      </c>
      <c r="O1272" s="13">
        <v>0.3143143255</v>
      </c>
      <c r="P1272" s="13">
        <v>0.0747558395</v>
      </c>
      <c r="Q1272" s="13">
        <v>0.0104023139</v>
      </c>
      <c r="R1272" s="13">
        <v>0.1726979712</v>
      </c>
      <c r="S1272" s="13">
        <v>0</v>
      </c>
      <c r="T1272" s="13">
        <v>0.1127188442</v>
      </c>
      <c r="U1272" s="13">
        <v>0.0123773663</v>
      </c>
      <c r="V1272" s="13">
        <v>0.0005850848</v>
      </c>
      <c r="W1272" s="13">
        <v>-0.0088507236</v>
      </c>
      <c r="X1272" s="13">
        <v>0</v>
      </c>
      <c r="Y1272" s="13">
        <v>0</v>
      </c>
      <c r="Z1272" s="13">
        <v>8.02049e-5</v>
      </c>
    </row>
    <row r="1273" s="2" customFormat="1" spans="1:26">
      <c r="A1273" s="11" t="s">
        <v>935</v>
      </c>
      <c r="B1273" s="11" t="s">
        <v>937</v>
      </c>
      <c r="C1273" s="14" t="s">
        <v>545</v>
      </c>
      <c r="D1273" s="14" t="s">
        <v>938</v>
      </c>
      <c r="E1273" s="14" t="s">
        <v>939</v>
      </c>
      <c r="F1273" s="3" t="s">
        <v>944</v>
      </c>
      <c r="G1273" s="4">
        <v>108</v>
      </c>
      <c r="H1273" s="12">
        <v>17016.184</v>
      </c>
      <c r="I1273" s="12">
        <v>2454.724381</v>
      </c>
      <c r="J1273" s="13">
        <v>0.1442582179</v>
      </c>
      <c r="K1273" s="13">
        <v>0.1442582179</v>
      </c>
      <c r="L1273" s="12">
        <v>23.1701851851</v>
      </c>
      <c r="M1273" s="13">
        <v>0.1192135392</v>
      </c>
      <c r="N1273" s="13">
        <v>0.0840054156</v>
      </c>
      <c r="O1273" s="13">
        <v>0.3137812802</v>
      </c>
      <c r="P1273" s="13">
        <v>0.0575212397</v>
      </c>
      <c r="Q1273" s="13">
        <v>0.0137465317</v>
      </c>
      <c r="R1273" s="13">
        <v>0.1462228414</v>
      </c>
      <c r="S1273" s="13">
        <v>0</v>
      </c>
      <c r="T1273" s="13">
        <v>0.1097315355</v>
      </c>
      <c r="U1273" s="13">
        <v>0.0122938943</v>
      </c>
      <c r="V1273" s="13">
        <v>0.0010070412</v>
      </c>
      <c r="W1273" s="13">
        <v>-0.0019540284</v>
      </c>
      <c r="X1273" s="13">
        <v>0</v>
      </c>
      <c r="Y1273" s="13">
        <v>0</v>
      </c>
      <c r="Z1273" s="13">
        <v>0.0001724909</v>
      </c>
    </row>
    <row r="1274" s="2" customFormat="1" hidden="1" spans="1:26">
      <c r="A1274" s="11" t="s">
        <v>935</v>
      </c>
      <c r="B1274" s="11" t="s">
        <v>937</v>
      </c>
      <c r="C1274" s="14" t="s">
        <v>545</v>
      </c>
      <c r="D1274" s="14" t="s">
        <v>938</v>
      </c>
      <c r="E1274" s="14" t="s">
        <v>939</v>
      </c>
      <c r="F1274" s="3" t="s">
        <v>945</v>
      </c>
      <c r="G1274" s="4">
        <v>0</v>
      </c>
      <c r="H1274" s="12">
        <v>0</v>
      </c>
      <c r="I1274" s="12">
        <v>-8.16</v>
      </c>
      <c r="J1274" s="13"/>
      <c r="K1274" s="13"/>
      <c r="L1274" s="12"/>
      <c r="M1274" s="13"/>
      <c r="N1274" s="13"/>
      <c r="O1274" s="13"/>
      <c r="P1274" s="13"/>
      <c r="Q1274" s="13"/>
      <c r="R1274" s="13"/>
      <c r="S1274" s="13"/>
      <c r="T1274" s="13"/>
      <c r="U1274" s="13"/>
      <c r="V1274" s="13"/>
      <c r="W1274" s="13"/>
      <c r="X1274" s="13"/>
      <c r="Y1274" s="13"/>
      <c r="Z1274" s="13"/>
    </row>
    <row r="1275" s="2" customFormat="1" hidden="1" spans="1:26">
      <c r="A1275" s="11" t="s">
        <v>935</v>
      </c>
      <c r="B1275" s="11" t="s">
        <v>937</v>
      </c>
      <c r="C1275" s="14" t="s">
        <v>550</v>
      </c>
      <c r="D1275" s="14" t="s">
        <v>938</v>
      </c>
      <c r="E1275" s="14" t="s">
        <v>939</v>
      </c>
      <c r="F1275" s="3" t="s">
        <v>936</v>
      </c>
      <c r="G1275" s="4">
        <v>133</v>
      </c>
      <c r="H1275" s="12">
        <v>20652.076</v>
      </c>
      <c r="I1275" s="12">
        <v>1570.646069</v>
      </c>
      <c r="J1275" s="13">
        <v>0.0760526965</v>
      </c>
      <c r="K1275" s="13">
        <v>0.0760526965</v>
      </c>
      <c r="L1275" s="12">
        <v>22.8351127819</v>
      </c>
      <c r="M1275" s="13">
        <v>0.1648112778</v>
      </c>
      <c r="N1275" s="13">
        <v>0.0600254442</v>
      </c>
      <c r="O1275" s="13">
        <v>0.3300516616</v>
      </c>
      <c r="P1275" s="13">
        <v>0</v>
      </c>
      <c r="Q1275" s="13">
        <v>0.0261998362</v>
      </c>
      <c r="R1275" s="13">
        <v>0.2156240665</v>
      </c>
      <c r="S1275" s="13">
        <v>0</v>
      </c>
      <c r="T1275" s="13">
        <v>0.109938197</v>
      </c>
      <c r="U1275" s="13">
        <v>0.0169961615</v>
      </c>
      <c r="V1275" s="13">
        <v>0</v>
      </c>
      <c r="W1275" s="13">
        <v>0</v>
      </c>
      <c r="X1275" s="13">
        <v>0</v>
      </c>
      <c r="Y1275" s="13">
        <v>0</v>
      </c>
      <c r="Z1275" s="13">
        <v>0.0003006582</v>
      </c>
    </row>
    <row r="1276" s="2" customFormat="1" hidden="1" spans="1:26">
      <c r="A1276" s="11" t="s">
        <v>935</v>
      </c>
      <c r="B1276" s="11" t="s">
        <v>937</v>
      </c>
      <c r="C1276" s="14" t="s">
        <v>550</v>
      </c>
      <c r="D1276" s="14" t="s">
        <v>938</v>
      </c>
      <c r="E1276" s="14" t="s">
        <v>939</v>
      </c>
      <c r="F1276" s="3" t="s">
        <v>941</v>
      </c>
      <c r="G1276" s="4">
        <v>5</v>
      </c>
      <c r="H1276" s="12">
        <v>815.66</v>
      </c>
      <c r="I1276" s="12">
        <v>-157.06845</v>
      </c>
      <c r="J1276" s="13">
        <v>-0.1925660814</v>
      </c>
      <c r="K1276" s="13">
        <v>-0.1925660814</v>
      </c>
      <c r="L1276" s="12">
        <v>23.99</v>
      </c>
      <c r="M1276" s="13">
        <v>0.1568772037</v>
      </c>
      <c r="N1276" s="13">
        <v>0.0434201689</v>
      </c>
      <c r="O1276" s="13">
        <v>0.3042934556</v>
      </c>
      <c r="P1276" s="13">
        <v>0</v>
      </c>
      <c r="Q1276" s="13">
        <v>0.0044585918</v>
      </c>
      <c r="R1276" s="13">
        <v>0.5976923987</v>
      </c>
      <c r="S1276" s="13">
        <v>0</v>
      </c>
      <c r="T1276" s="13">
        <v>0.0687786577</v>
      </c>
      <c r="U1276" s="13">
        <v>0.0161779601</v>
      </c>
      <c r="V1276" s="13">
        <v>0</v>
      </c>
      <c r="W1276" s="13">
        <v>0</v>
      </c>
      <c r="X1276" s="13">
        <v>0</v>
      </c>
      <c r="Y1276" s="13">
        <v>0</v>
      </c>
      <c r="Z1276" s="13">
        <v>0.0008676446</v>
      </c>
    </row>
    <row r="1277" s="2" customFormat="1" hidden="1" spans="1:26">
      <c r="A1277" s="11" t="s">
        <v>935</v>
      </c>
      <c r="B1277" s="11" t="s">
        <v>937</v>
      </c>
      <c r="C1277" s="14" t="s">
        <v>550</v>
      </c>
      <c r="D1277" s="14" t="s">
        <v>938</v>
      </c>
      <c r="E1277" s="14" t="s">
        <v>939</v>
      </c>
      <c r="F1277" s="3" t="s">
        <v>942</v>
      </c>
      <c r="G1277" s="4">
        <v>13</v>
      </c>
      <c r="H1277" s="12">
        <v>2120.716</v>
      </c>
      <c r="I1277" s="12">
        <v>400.074116</v>
      </c>
      <c r="J1277" s="13">
        <v>0.1886504916</v>
      </c>
      <c r="K1277" s="13">
        <v>0.1886504916</v>
      </c>
      <c r="L1277" s="12">
        <v>23.99</v>
      </c>
      <c r="M1277" s="13">
        <v>0.1568772037</v>
      </c>
      <c r="N1277" s="13">
        <v>0.0434201689</v>
      </c>
      <c r="O1277" s="13">
        <v>0.3131112322</v>
      </c>
      <c r="P1277" s="13">
        <v>0</v>
      </c>
      <c r="Q1277" s="13">
        <v>0.0304858623</v>
      </c>
      <c r="R1277" s="13">
        <v>0.1367807423</v>
      </c>
      <c r="S1277" s="13">
        <v>0</v>
      </c>
      <c r="T1277" s="13">
        <v>0.1130278641</v>
      </c>
      <c r="U1277" s="13">
        <v>0.0161779601</v>
      </c>
      <c r="V1277" s="13">
        <v>0</v>
      </c>
      <c r="W1277" s="13">
        <v>0</v>
      </c>
      <c r="X1277" s="13">
        <v>0</v>
      </c>
      <c r="Y1277" s="13">
        <v>0</v>
      </c>
      <c r="Z1277" s="13">
        <v>0.0014684743</v>
      </c>
    </row>
    <row r="1278" s="2" customFormat="1" hidden="1" spans="1:26">
      <c r="A1278" s="11" t="s">
        <v>935</v>
      </c>
      <c r="B1278" s="11" t="s">
        <v>937</v>
      </c>
      <c r="C1278" s="14" t="s">
        <v>550</v>
      </c>
      <c r="D1278" s="14" t="s">
        <v>938</v>
      </c>
      <c r="E1278" s="14" t="s">
        <v>939</v>
      </c>
      <c r="F1278" s="3" t="s">
        <v>943</v>
      </c>
      <c r="G1278" s="4">
        <v>45</v>
      </c>
      <c r="H1278" s="12">
        <v>6329.1</v>
      </c>
      <c r="I1278" s="12">
        <v>671.263009</v>
      </c>
      <c r="J1278" s="13">
        <v>0.1060597887</v>
      </c>
      <c r="K1278" s="13">
        <v>0.1060597887</v>
      </c>
      <c r="L1278" s="12">
        <v>20.6833333333</v>
      </c>
      <c r="M1278" s="13">
        <v>0.1819573304</v>
      </c>
      <c r="N1278" s="13">
        <v>0.0445140659</v>
      </c>
      <c r="O1278" s="13">
        <v>0.365028203</v>
      </c>
      <c r="P1278" s="13">
        <v>0</v>
      </c>
      <c r="Q1278" s="13">
        <v>0.0258161555</v>
      </c>
      <c r="R1278" s="13">
        <v>0.1412287356</v>
      </c>
      <c r="S1278" s="13">
        <v>0</v>
      </c>
      <c r="T1278" s="13">
        <v>0.1165511684</v>
      </c>
      <c r="U1278" s="13">
        <v>0.018764348</v>
      </c>
      <c r="V1278" s="13">
        <v>0</v>
      </c>
      <c r="W1278" s="13">
        <v>0</v>
      </c>
      <c r="X1278" s="13">
        <v>0</v>
      </c>
      <c r="Y1278" s="13">
        <v>0</v>
      </c>
      <c r="Z1278" s="13">
        <v>8.02041e-5</v>
      </c>
    </row>
    <row r="1279" s="2" customFormat="1" spans="1:26">
      <c r="A1279" s="11" t="s">
        <v>935</v>
      </c>
      <c r="B1279" s="11" t="s">
        <v>937</v>
      </c>
      <c r="C1279" s="14" t="s">
        <v>550</v>
      </c>
      <c r="D1279" s="14" t="s">
        <v>938</v>
      </c>
      <c r="E1279" s="14" t="s">
        <v>939</v>
      </c>
      <c r="F1279" s="3" t="s">
        <v>944</v>
      </c>
      <c r="G1279" s="4">
        <v>67</v>
      </c>
      <c r="H1279" s="12">
        <v>10897.204</v>
      </c>
      <c r="I1279" s="12">
        <v>581.396751</v>
      </c>
      <c r="J1279" s="13">
        <v>0.0533528372</v>
      </c>
      <c r="K1279" s="13">
        <v>0.0533528372</v>
      </c>
      <c r="L1279" s="12">
        <v>23.9183582089</v>
      </c>
      <c r="M1279" s="13">
        <v>0.1573470923</v>
      </c>
      <c r="N1279" s="13">
        <v>0.0729387806</v>
      </c>
      <c r="O1279" s="13">
        <v>0.315650877</v>
      </c>
      <c r="P1279" s="13">
        <v>0</v>
      </c>
      <c r="Q1279" s="13">
        <v>0.0283582764</v>
      </c>
      <c r="R1279" s="13">
        <v>0.2473249954</v>
      </c>
      <c r="S1279" s="13">
        <v>0</v>
      </c>
      <c r="T1279" s="13">
        <v>0.1086282316</v>
      </c>
      <c r="U1279" s="13">
        <v>0.0162264175</v>
      </c>
      <c r="V1279" s="13">
        <v>0</v>
      </c>
      <c r="W1279" s="13">
        <v>0</v>
      </c>
      <c r="X1279" s="13">
        <v>0</v>
      </c>
      <c r="Y1279" s="13">
        <v>0</v>
      </c>
      <c r="Z1279" s="13">
        <v>0.0001724916</v>
      </c>
    </row>
    <row r="1280" s="2" customFormat="1" hidden="1" spans="1:26">
      <c r="A1280" s="11" t="s">
        <v>935</v>
      </c>
      <c r="B1280" s="11" t="s">
        <v>937</v>
      </c>
      <c r="C1280" s="14" t="s">
        <v>550</v>
      </c>
      <c r="D1280" s="14" t="s">
        <v>938</v>
      </c>
      <c r="E1280" s="14" t="s">
        <v>939</v>
      </c>
      <c r="F1280" s="3" t="s">
        <v>945</v>
      </c>
      <c r="G1280" s="4">
        <v>3</v>
      </c>
      <c r="H1280" s="12">
        <v>489.396</v>
      </c>
      <c r="I1280" s="12">
        <v>74.980643</v>
      </c>
      <c r="J1280" s="13">
        <v>0.1532105758</v>
      </c>
      <c r="K1280" s="13">
        <v>0.1532105758</v>
      </c>
      <c r="L1280" s="12">
        <v>23.99</v>
      </c>
      <c r="M1280" s="13">
        <v>0.1568772037</v>
      </c>
      <c r="N1280" s="13">
        <v>0.0727209621</v>
      </c>
      <c r="O1280" s="13">
        <v>0.3147144643</v>
      </c>
      <c r="P1280" s="13">
        <v>0</v>
      </c>
      <c r="Q1280" s="13">
        <v>0.0007631938</v>
      </c>
      <c r="R1280" s="13">
        <v>0.1767403084</v>
      </c>
      <c r="S1280" s="13">
        <v>0</v>
      </c>
      <c r="T1280" s="13">
        <v>0.1087953313</v>
      </c>
      <c r="U1280" s="13">
        <v>0.0161779601</v>
      </c>
      <c r="V1280" s="13">
        <v>0</v>
      </c>
      <c r="W1280" s="13">
        <v>0</v>
      </c>
      <c r="X1280" s="13">
        <v>0</v>
      </c>
      <c r="Y1280" s="13">
        <v>0</v>
      </c>
      <c r="Z1280" s="13">
        <v>0</v>
      </c>
    </row>
    <row r="1281" s="2" customFormat="1" hidden="1" spans="1:26">
      <c r="A1281" s="11" t="s">
        <v>935</v>
      </c>
      <c r="B1281" s="11" t="s">
        <v>937</v>
      </c>
      <c r="C1281" s="14" t="s">
        <v>555</v>
      </c>
      <c r="D1281" s="14" t="s">
        <v>938</v>
      </c>
      <c r="E1281" s="14" t="s">
        <v>939</v>
      </c>
      <c r="F1281" s="3" t="s">
        <v>936</v>
      </c>
      <c r="G1281" s="4">
        <v>140</v>
      </c>
      <c r="H1281" s="12">
        <v>20476.568</v>
      </c>
      <c r="I1281" s="12">
        <v>3155.425897</v>
      </c>
      <c r="J1281" s="13">
        <v>0.1540993538</v>
      </c>
      <c r="K1281" s="13">
        <v>0.1540993538</v>
      </c>
      <c r="L1281" s="12">
        <v>21.509</v>
      </c>
      <c r="M1281" s="13">
        <v>0.153757112</v>
      </c>
      <c r="N1281" s="13">
        <v>0.0301183644</v>
      </c>
      <c r="O1281" s="13">
        <v>0.3127229133</v>
      </c>
      <c r="P1281" s="13">
        <v>0.0510517192</v>
      </c>
      <c r="Q1281" s="13">
        <v>0.0163840935</v>
      </c>
      <c r="R1281" s="13">
        <v>0.161244334</v>
      </c>
      <c r="S1281" s="13">
        <v>0</v>
      </c>
      <c r="T1281" s="13">
        <v>0.1097082284</v>
      </c>
      <c r="U1281" s="13">
        <v>0.0158562037</v>
      </c>
      <c r="V1281" s="13">
        <v>-0.0031847133</v>
      </c>
      <c r="W1281" s="13">
        <v>-0.0026488206</v>
      </c>
      <c r="X1281" s="13">
        <v>0</v>
      </c>
      <c r="Y1281" s="13">
        <v>0</v>
      </c>
      <c r="Z1281" s="13">
        <v>0.0008912113</v>
      </c>
    </row>
    <row r="1282" s="2" customFormat="1" hidden="1" spans="1:26">
      <c r="A1282" s="11" t="s">
        <v>935</v>
      </c>
      <c r="B1282" s="11" t="s">
        <v>937</v>
      </c>
      <c r="C1282" s="14" t="s">
        <v>555</v>
      </c>
      <c r="D1282" s="14" t="s">
        <v>938</v>
      </c>
      <c r="E1282" s="14" t="s">
        <v>939</v>
      </c>
      <c r="F1282" s="3" t="s">
        <v>940</v>
      </c>
      <c r="G1282" s="4">
        <v>2</v>
      </c>
      <c r="H1282" s="12">
        <v>326.264</v>
      </c>
      <c r="I1282" s="12">
        <v>-172.23635</v>
      </c>
      <c r="J1282" s="13">
        <v>-0.5279048561</v>
      </c>
      <c r="K1282" s="13">
        <v>-0.5279048561</v>
      </c>
      <c r="L1282" s="12">
        <v>23.99</v>
      </c>
      <c r="M1282" s="13">
        <v>0.165510139</v>
      </c>
      <c r="N1282" s="13">
        <v>0.0325625567</v>
      </c>
      <c r="O1282" s="13">
        <v>0.2542726135</v>
      </c>
      <c r="P1282" s="13">
        <v>0</v>
      </c>
      <c r="Q1282" s="13">
        <v>0.0180944388</v>
      </c>
      <c r="R1282" s="13">
        <v>1.0275125695</v>
      </c>
      <c r="S1282" s="13">
        <v>0</v>
      </c>
      <c r="T1282" s="13">
        <v>0.0125052105</v>
      </c>
      <c r="U1282" s="13">
        <v>0.017068233</v>
      </c>
      <c r="V1282" s="13">
        <v>0</v>
      </c>
      <c r="W1282" s="13">
        <v>0</v>
      </c>
      <c r="X1282" s="13">
        <v>0</v>
      </c>
      <c r="Y1282" s="13">
        <v>0</v>
      </c>
      <c r="Z1282" s="13">
        <v>0.0003790948</v>
      </c>
    </row>
    <row r="1283" s="2" customFormat="1" hidden="1" spans="1:26">
      <c r="A1283" s="11" t="s">
        <v>935</v>
      </c>
      <c r="B1283" s="11" t="s">
        <v>937</v>
      </c>
      <c r="C1283" s="14" t="s">
        <v>555</v>
      </c>
      <c r="D1283" s="14" t="s">
        <v>938</v>
      </c>
      <c r="E1283" s="14" t="s">
        <v>939</v>
      </c>
      <c r="F1283" s="3" t="s">
        <v>941</v>
      </c>
      <c r="G1283" s="4">
        <v>10</v>
      </c>
      <c r="H1283" s="12">
        <v>1462.68</v>
      </c>
      <c r="I1283" s="12">
        <v>181.335164</v>
      </c>
      <c r="J1283" s="13">
        <v>0.1239745973</v>
      </c>
      <c r="K1283" s="13">
        <v>0.1239745973</v>
      </c>
      <c r="L1283" s="12">
        <v>21.51</v>
      </c>
      <c r="M1283" s="13">
        <v>0.1576869171</v>
      </c>
      <c r="N1283" s="13">
        <v>0.0299767549</v>
      </c>
      <c r="O1283" s="13">
        <v>0.3114365411</v>
      </c>
      <c r="P1283" s="13">
        <v>0.1059507205</v>
      </c>
      <c r="Q1283" s="13">
        <v>0.0044585787</v>
      </c>
      <c r="R1283" s="13">
        <v>0.1436220307</v>
      </c>
      <c r="S1283" s="13">
        <v>0</v>
      </c>
      <c r="T1283" s="13">
        <v>0.1057647605</v>
      </c>
      <c r="U1283" s="13">
        <v>0.0162614652</v>
      </c>
      <c r="V1283" s="13">
        <v>0</v>
      </c>
      <c r="W1283" s="13">
        <v>0</v>
      </c>
      <c r="X1283" s="13">
        <v>0</v>
      </c>
      <c r="Y1283" s="13">
        <v>0</v>
      </c>
      <c r="Z1283" s="13">
        <v>0.0008676333</v>
      </c>
    </row>
    <row r="1284" s="2" customFormat="1" hidden="1" spans="1:26">
      <c r="A1284" s="11" t="s">
        <v>935</v>
      </c>
      <c r="B1284" s="11" t="s">
        <v>937</v>
      </c>
      <c r="C1284" s="14" t="s">
        <v>555</v>
      </c>
      <c r="D1284" s="14" t="s">
        <v>938</v>
      </c>
      <c r="E1284" s="14" t="s">
        <v>939</v>
      </c>
      <c r="F1284" s="3" t="s">
        <v>942</v>
      </c>
      <c r="G1284" s="4">
        <v>77</v>
      </c>
      <c r="H1284" s="12">
        <v>10820.364</v>
      </c>
      <c r="I1284" s="12">
        <v>2155.153656</v>
      </c>
      <c r="J1284" s="13">
        <v>0.1991757075</v>
      </c>
      <c r="K1284" s="13">
        <v>0.1991757075</v>
      </c>
      <c r="L1284" s="12">
        <v>20.6653246753</v>
      </c>
      <c r="M1284" s="13">
        <v>0.1641322186</v>
      </c>
      <c r="N1284" s="13">
        <v>0.0288550141</v>
      </c>
      <c r="O1284" s="13">
        <v>0.333892649</v>
      </c>
      <c r="P1284" s="13">
        <v>0.0389447157</v>
      </c>
      <c r="Q1284" s="13">
        <v>0.0161246023</v>
      </c>
      <c r="R1284" s="13">
        <v>0.0842433552</v>
      </c>
      <c r="S1284" s="13">
        <v>0</v>
      </c>
      <c r="T1284" s="13">
        <v>0.1162371247</v>
      </c>
      <c r="U1284" s="13">
        <v>0.016926137</v>
      </c>
      <c r="V1284" s="13">
        <v>0</v>
      </c>
      <c r="W1284" s="13">
        <v>0</v>
      </c>
      <c r="X1284" s="13">
        <v>0</v>
      </c>
      <c r="Y1284" s="13">
        <v>0</v>
      </c>
      <c r="Z1284" s="13">
        <v>0.0014684753</v>
      </c>
    </row>
    <row r="1285" s="2" customFormat="1" hidden="1" spans="1:26">
      <c r="A1285" s="11" t="s">
        <v>935</v>
      </c>
      <c r="B1285" s="11" t="s">
        <v>937</v>
      </c>
      <c r="C1285" s="14" t="s">
        <v>555</v>
      </c>
      <c r="D1285" s="14" t="s">
        <v>938</v>
      </c>
      <c r="E1285" s="14" t="s">
        <v>939</v>
      </c>
      <c r="F1285" s="3" t="s">
        <v>943</v>
      </c>
      <c r="G1285" s="4">
        <v>24</v>
      </c>
      <c r="H1285" s="12">
        <v>3619.096</v>
      </c>
      <c r="I1285" s="12">
        <v>419.526045</v>
      </c>
      <c r="J1285" s="13">
        <v>0.1159201206</v>
      </c>
      <c r="K1285" s="13">
        <v>0.1159201206</v>
      </c>
      <c r="L1285" s="12">
        <v>22.1758333333</v>
      </c>
      <c r="M1285" s="13">
        <v>0.1402063111</v>
      </c>
      <c r="N1285" s="13">
        <v>0.0246487564</v>
      </c>
      <c r="O1285" s="13">
        <v>0.2852203975</v>
      </c>
      <c r="P1285" s="13">
        <v>0.0845139228</v>
      </c>
      <c r="Q1285" s="13">
        <v>0.0200292457</v>
      </c>
      <c r="R1285" s="13">
        <v>0.2471801418</v>
      </c>
      <c r="S1285" s="13">
        <v>0</v>
      </c>
      <c r="T1285" s="13">
        <v>0.1016872721</v>
      </c>
      <c r="U1285" s="13">
        <v>0.0144587775</v>
      </c>
      <c r="V1285" s="13">
        <v>-0.0189583255</v>
      </c>
      <c r="W1285" s="13">
        <v>-0.0149868243</v>
      </c>
      <c r="X1285" s="13">
        <v>0</v>
      </c>
      <c r="Y1285" s="13">
        <v>0</v>
      </c>
      <c r="Z1285" s="13">
        <v>8.02037e-5</v>
      </c>
    </row>
    <row r="1286" s="2" customFormat="1" spans="1:26">
      <c r="A1286" s="11" t="s">
        <v>935</v>
      </c>
      <c r="B1286" s="11" t="s">
        <v>937</v>
      </c>
      <c r="C1286" s="14" t="s">
        <v>555</v>
      </c>
      <c r="D1286" s="14" t="s">
        <v>938</v>
      </c>
      <c r="E1286" s="14" t="s">
        <v>939</v>
      </c>
      <c r="F1286" s="3" t="s">
        <v>944</v>
      </c>
      <c r="G1286" s="4">
        <v>25</v>
      </c>
      <c r="H1286" s="12">
        <v>3921.9</v>
      </c>
      <c r="I1286" s="12">
        <v>483.236098</v>
      </c>
      <c r="J1286" s="13">
        <v>0.1232147933</v>
      </c>
      <c r="K1286" s="13">
        <v>0.1232147933</v>
      </c>
      <c r="L1286" s="12">
        <v>23.07</v>
      </c>
      <c r="M1286" s="13">
        <v>0.1366014533</v>
      </c>
      <c r="N1286" s="13">
        <v>0.0378519146</v>
      </c>
      <c r="O1286" s="13">
        <v>0.2871261378</v>
      </c>
      <c r="P1286" s="13">
        <v>0.0415951452</v>
      </c>
      <c r="Q1286" s="13">
        <v>0.01934117</v>
      </c>
      <c r="R1286" s="13">
        <v>0.2305516985</v>
      </c>
      <c r="S1286" s="13">
        <v>0</v>
      </c>
      <c r="T1286" s="13">
        <v>0.108591244</v>
      </c>
      <c r="U1286" s="13">
        <v>0.0140870251</v>
      </c>
      <c r="V1286" s="13">
        <v>0.0008669267</v>
      </c>
      <c r="W1286" s="13">
        <v>0</v>
      </c>
      <c r="X1286" s="13">
        <v>0</v>
      </c>
      <c r="Y1286" s="13">
        <v>0</v>
      </c>
      <c r="Z1286" s="13">
        <v>0.0001724908</v>
      </c>
    </row>
    <row r="1287" s="2" customFormat="1" hidden="1" spans="1:26">
      <c r="A1287" s="11" t="s">
        <v>935</v>
      </c>
      <c r="B1287" s="11" t="s">
        <v>937</v>
      </c>
      <c r="C1287" s="14" t="s">
        <v>555</v>
      </c>
      <c r="D1287" s="14" t="s">
        <v>938</v>
      </c>
      <c r="E1287" s="14" t="s">
        <v>939</v>
      </c>
      <c r="F1287" s="3" t="s">
        <v>945</v>
      </c>
      <c r="G1287" s="4">
        <v>2</v>
      </c>
      <c r="H1287" s="12">
        <v>326.264</v>
      </c>
      <c r="I1287" s="12">
        <v>88.411284</v>
      </c>
      <c r="J1287" s="13">
        <v>0.270980813</v>
      </c>
      <c r="K1287" s="13">
        <v>0.270980813</v>
      </c>
      <c r="L1287" s="12">
        <v>23.99</v>
      </c>
      <c r="M1287" s="13">
        <v>0.1368363349</v>
      </c>
      <c r="N1287" s="13">
        <v>0.0379169997</v>
      </c>
      <c r="O1287" s="13">
        <v>0.2876198416</v>
      </c>
      <c r="P1287" s="13">
        <v>0</v>
      </c>
      <c r="Q1287" s="13">
        <v>0.0007631917</v>
      </c>
      <c r="R1287" s="13">
        <v>0.1413088786</v>
      </c>
      <c r="S1287" s="13">
        <v>0</v>
      </c>
      <c r="T1287" s="13">
        <v>0.1104626927</v>
      </c>
      <c r="U1287" s="13">
        <v>0.0141112473</v>
      </c>
      <c r="V1287" s="13">
        <v>0</v>
      </c>
      <c r="W1287" s="13">
        <v>0</v>
      </c>
      <c r="X1287" s="13">
        <v>0</v>
      </c>
      <c r="Y1287" s="13">
        <v>0</v>
      </c>
      <c r="Z1287" s="13">
        <v>0</v>
      </c>
    </row>
    <row r="1288" s="2" customFormat="1" hidden="1" spans="1:26">
      <c r="A1288" s="11" t="s">
        <v>935</v>
      </c>
      <c r="B1288" s="11" t="s">
        <v>937</v>
      </c>
      <c r="C1288" s="14" t="s">
        <v>560</v>
      </c>
      <c r="D1288" s="14" t="s">
        <v>938</v>
      </c>
      <c r="E1288" s="14" t="s">
        <v>939</v>
      </c>
      <c r="F1288" s="3" t="s">
        <v>936</v>
      </c>
      <c r="G1288" s="4">
        <v>67</v>
      </c>
      <c r="H1288" s="12">
        <v>11165.192</v>
      </c>
      <c r="I1288" s="12">
        <v>-423.298014</v>
      </c>
      <c r="J1288" s="13">
        <v>-0.0379122915</v>
      </c>
      <c r="K1288" s="13">
        <v>-0.0379122915</v>
      </c>
      <c r="L1288" s="12">
        <v>24.5065671641</v>
      </c>
      <c r="M1288" s="13">
        <v>0.1428102727</v>
      </c>
      <c r="N1288" s="13">
        <v>0.0918640944</v>
      </c>
      <c r="O1288" s="13">
        <v>0.3187144475</v>
      </c>
      <c r="P1288" s="13">
        <v>0.0152198009</v>
      </c>
      <c r="Q1288" s="13">
        <v>0.0482908544</v>
      </c>
      <c r="R1288" s="13">
        <v>0.2985132305</v>
      </c>
      <c r="S1288" s="13">
        <v>0</v>
      </c>
      <c r="T1288" s="13">
        <v>0.1070806485</v>
      </c>
      <c r="U1288" s="13">
        <v>0.0147273111</v>
      </c>
      <c r="V1288" s="13">
        <v>0.0004506863</v>
      </c>
      <c r="W1288" s="13">
        <v>0</v>
      </c>
      <c r="X1288" s="13">
        <v>0</v>
      </c>
      <c r="Y1288" s="13">
        <v>0</v>
      </c>
      <c r="Z1288" s="13">
        <v>0.0002409447</v>
      </c>
    </row>
    <row r="1289" s="2" customFormat="1" hidden="1" spans="1:26">
      <c r="A1289" s="11" t="s">
        <v>935</v>
      </c>
      <c r="B1289" s="11" t="s">
        <v>937</v>
      </c>
      <c r="C1289" s="14" t="s">
        <v>560</v>
      </c>
      <c r="D1289" s="14" t="s">
        <v>938</v>
      </c>
      <c r="E1289" s="14" t="s">
        <v>939</v>
      </c>
      <c r="F1289" s="3" t="s">
        <v>942</v>
      </c>
      <c r="G1289" s="4">
        <v>5</v>
      </c>
      <c r="H1289" s="12">
        <v>815.66</v>
      </c>
      <c r="I1289" s="12">
        <v>-181.975974</v>
      </c>
      <c r="J1289" s="13">
        <v>-0.2231027315</v>
      </c>
      <c r="K1289" s="13">
        <v>-0.2231027315</v>
      </c>
      <c r="L1289" s="12">
        <v>23.99</v>
      </c>
      <c r="M1289" s="13">
        <v>0.1515218902</v>
      </c>
      <c r="N1289" s="13">
        <v>0.0524550057</v>
      </c>
      <c r="O1289" s="13">
        <v>0.3147144643</v>
      </c>
      <c r="P1289" s="13">
        <v>0</v>
      </c>
      <c r="Q1289" s="13">
        <v>0.0060198992</v>
      </c>
      <c r="R1289" s="13">
        <v>0.6115182318</v>
      </c>
      <c r="S1289" s="13">
        <v>0</v>
      </c>
      <c r="T1289" s="13">
        <v>0.0697790746</v>
      </c>
      <c r="U1289" s="13">
        <v>0.0156256957</v>
      </c>
      <c r="V1289" s="13">
        <v>0</v>
      </c>
      <c r="W1289" s="13">
        <v>0</v>
      </c>
      <c r="X1289" s="13">
        <v>0</v>
      </c>
      <c r="Y1289" s="13">
        <v>0</v>
      </c>
      <c r="Z1289" s="13">
        <v>0.0014684697</v>
      </c>
    </row>
    <row r="1290" s="2" customFormat="1" hidden="1" spans="1:26">
      <c r="A1290" s="11" t="s">
        <v>935</v>
      </c>
      <c r="B1290" s="11" t="s">
        <v>937</v>
      </c>
      <c r="C1290" s="14" t="s">
        <v>560</v>
      </c>
      <c r="D1290" s="14" t="s">
        <v>938</v>
      </c>
      <c r="E1290" s="14" t="s">
        <v>939</v>
      </c>
      <c r="F1290" s="3" t="s">
        <v>943</v>
      </c>
      <c r="G1290" s="4">
        <v>17</v>
      </c>
      <c r="H1290" s="12">
        <v>2854.844</v>
      </c>
      <c r="I1290" s="12">
        <v>-272.824446</v>
      </c>
      <c r="J1290" s="13">
        <v>-0.095565448</v>
      </c>
      <c r="K1290" s="13">
        <v>-0.095565448</v>
      </c>
      <c r="L1290" s="12">
        <v>24.6958823529</v>
      </c>
      <c r="M1290" s="13">
        <v>0.1441641974</v>
      </c>
      <c r="N1290" s="13">
        <v>0.0986313388</v>
      </c>
      <c r="O1290" s="13">
        <v>0.3223209394</v>
      </c>
      <c r="P1290" s="13">
        <v>0.059524093</v>
      </c>
      <c r="Q1290" s="13">
        <v>0.0329593315</v>
      </c>
      <c r="R1290" s="13">
        <v>0.3164276468</v>
      </c>
      <c r="S1290" s="13">
        <v>0</v>
      </c>
      <c r="T1290" s="13">
        <v>0.1065907629</v>
      </c>
      <c r="U1290" s="13">
        <v>0.0148669342</v>
      </c>
      <c r="V1290" s="13">
        <v>0</v>
      </c>
      <c r="W1290" s="13">
        <v>0</v>
      </c>
      <c r="X1290" s="13">
        <v>0</v>
      </c>
      <c r="Y1290" s="13">
        <v>0</v>
      </c>
      <c r="Z1290" s="13">
        <v>8.02036e-5</v>
      </c>
    </row>
    <row r="1291" s="2" customFormat="1" spans="1:26">
      <c r="A1291" s="11" t="s">
        <v>935</v>
      </c>
      <c r="B1291" s="11" t="s">
        <v>937</v>
      </c>
      <c r="C1291" s="14" t="s">
        <v>560</v>
      </c>
      <c r="D1291" s="14" t="s">
        <v>938</v>
      </c>
      <c r="E1291" s="14" t="s">
        <v>939</v>
      </c>
      <c r="F1291" s="3" t="s">
        <v>944</v>
      </c>
      <c r="G1291" s="4">
        <v>44</v>
      </c>
      <c r="H1291" s="12">
        <v>7324.756</v>
      </c>
      <c r="I1291" s="12">
        <v>77.87006</v>
      </c>
      <c r="J1291" s="13">
        <v>0.010631079</v>
      </c>
      <c r="K1291" s="13">
        <v>0.010631079</v>
      </c>
      <c r="L1291" s="12">
        <v>24.4811363636</v>
      </c>
      <c r="M1291" s="13">
        <v>0.1413386871</v>
      </c>
      <c r="N1291" s="13">
        <v>0.0935701717</v>
      </c>
      <c r="O1291" s="13">
        <v>0.317758571</v>
      </c>
      <c r="P1291" s="13">
        <v>0</v>
      </c>
      <c r="Q1291" s="13">
        <v>0.060076135</v>
      </c>
      <c r="R1291" s="13">
        <v>0.2497872971</v>
      </c>
      <c r="S1291" s="13">
        <v>0</v>
      </c>
      <c r="T1291" s="13">
        <v>0.1114030283</v>
      </c>
      <c r="U1291" s="13">
        <v>0.0145755541</v>
      </c>
      <c r="V1291" s="13">
        <v>0.0006869853</v>
      </c>
      <c r="W1291" s="13">
        <v>0</v>
      </c>
      <c r="X1291" s="13">
        <v>0</v>
      </c>
      <c r="Y1291" s="13">
        <v>0</v>
      </c>
      <c r="Z1291" s="13">
        <v>0.0001724907</v>
      </c>
    </row>
    <row r="1292" s="2" customFormat="1" hidden="1" spans="1:26">
      <c r="A1292" s="11" t="s">
        <v>935</v>
      </c>
      <c r="B1292" s="11" t="s">
        <v>937</v>
      </c>
      <c r="C1292" s="14" t="s">
        <v>560</v>
      </c>
      <c r="D1292" s="14" t="s">
        <v>938</v>
      </c>
      <c r="E1292" s="14" t="s">
        <v>939</v>
      </c>
      <c r="F1292" s="3" t="s">
        <v>945</v>
      </c>
      <c r="G1292" s="4">
        <v>1</v>
      </c>
      <c r="H1292" s="12">
        <v>169.932</v>
      </c>
      <c r="I1292" s="12">
        <v>-46.367654</v>
      </c>
      <c r="J1292" s="13">
        <v>-0.2728600499</v>
      </c>
      <c r="K1292" s="13">
        <v>-0.2728600499</v>
      </c>
      <c r="L1292" s="12">
        <v>24.99</v>
      </c>
      <c r="M1292" s="13">
        <v>0.1416806663</v>
      </c>
      <c r="N1292" s="13">
        <v>0.0937965715</v>
      </c>
      <c r="O1292" s="13">
        <v>0.3185274109</v>
      </c>
      <c r="P1292" s="13">
        <v>0</v>
      </c>
      <c r="Q1292" s="13">
        <v>0.0007631876</v>
      </c>
      <c r="R1292" s="13">
        <v>0.5954381752</v>
      </c>
      <c r="S1292" s="13">
        <v>0</v>
      </c>
      <c r="T1292" s="13">
        <v>0.1080432172</v>
      </c>
      <c r="U1292" s="13">
        <v>0.0146108207</v>
      </c>
      <c r="V1292" s="13">
        <v>0</v>
      </c>
      <c r="W1292" s="13">
        <v>0</v>
      </c>
      <c r="X1292" s="13">
        <v>0</v>
      </c>
      <c r="Y1292" s="13">
        <v>0</v>
      </c>
      <c r="Z1292" s="13">
        <v>0</v>
      </c>
    </row>
    <row r="1293" s="2" customFormat="1" hidden="1" spans="1:26">
      <c r="A1293" s="11" t="s">
        <v>935</v>
      </c>
      <c r="B1293" s="11" t="s">
        <v>937</v>
      </c>
      <c r="C1293" s="14" t="s">
        <v>565</v>
      </c>
      <c r="D1293" s="14" t="s">
        <v>938</v>
      </c>
      <c r="E1293" s="14" t="s">
        <v>939</v>
      </c>
      <c r="F1293" s="3" t="s">
        <v>936</v>
      </c>
      <c r="G1293" s="4">
        <v>114</v>
      </c>
      <c r="H1293" s="12">
        <v>18481.176</v>
      </c>
      <c r="I1293" s="12">
        <v>3135.964989</v>
      </c>
      <c r="J1293" s="13">
        <v>0.169684277</v>
      </c>
      <c r="K1293" s="13">
        <v>0.169684277</v>
      </c>
      <c r="L1293" s="12">
        <v>23.8405263157</v>
      </c>
      <c r="M1293" s="13">
        <v>0.14393427</v>
      </c>
      <c r="N1293" s="13">
        <v>0.0405294263</v>
      </c>
      <c r="O1293" s="13">
        <v>0.3010133121</v>
      </c>
      <c r="P1293" s="13">
        <v>0.0166420145</v>
      </c>
      <c r="Q1293" s="13">
        <v>0.0102143415</v>
      </c>
      <c r="R1293" s="13">
        <v>0.1926358961</v>
      </c>
      <c r="S1293" s="13">
        <v>0</v>
      </c>
      <c r="T1293" s="13">
        <v>0.11118102</v>
      </c>
      <c r="U1293" s="13">
        <v>0.0148432235</v>
      </c>
      <c r="V1293" s="13">
        <v>0.0001545356</v>
      </c>
      <c r="W1293" s="13">
        <v>-0.0015662127</v>
      </c>
      <c r="X1293" s="13">
        <v>0</v>
      </c>
      <c r="Y1293" s="13">
        <v>0</v>
      </c>
      <c r="Z1293" s="13">
        <v>0.0007338956</v>
      </c>
    </row>
    <row r="1294" s="2" customFormat="1" hidden="1" spans="1:26">
      <c r="A1294" s="11" t="s">
        <v>935</v>
      </c>
      <c r="B1294" s="11" t="s">
        <v>937</v>
      </c>
      <c r="C1294" s="14" t="s">
        <v>565</v>
      </c>
      <c r="D1294" s="14" t="s">
        <v>938</v>
      </c>
      <c r="E1294" s="14" t="s">
        <v>939</v>
      </c>
      <c r="F1294" s="3" t="s">
        <v>940</v>
      </c>
      <c r="G1294" s="4">
        <v>8</v>
      </c>
      <c r="H1294" s="12">
        <v>1291.456</v>
      </c>
      <c r="I1294" s="12">
        <v>29.51355</v>
      </c>
      <c r="J1294" s="13">
        <v>0.0228529272</v>
      </c>
      <c r="K1294" s="13">
        <v>0.0228529272</v>
      </c>
      <c r="L1294" s="12">
        <v>23.74</v>
      </c>
      <c r="M1294" s="13">
        <v>0.1488503139</v>
      </c>
      <c r="N1294" s="13">
        <v>0.0438774104</v>
      </c>
      <c r="O1294" s="13">
        <v>0.296967144</v>
      </c>
      <c r="P1294" s="13">
        <v>0</v>
      </c>
      <c r="Q1294" s="13">
        <v>0.0180944159</v>
      </c>
      <c r="R1294" s="13">
        <v>0.3649595781</v>
      </c>
      <c r="S1294" s="13">
        <v>0</v>
      </c>
      <c r="T1294" s="13">
        <v>0.0886689132</v>
      </c>
      <c r="U1294" s="13">
        <v>0.01535019</v>
      </c>
      <c r="V1294" s="13">
        <v>0</v>
      </c>
      <c r="W1294" s="13">
        <v>0</v>
      </c>
      <c r="X1294" s="13">
        <v>0</v>
      </c>
      <c r="Y1294" s="13">
        <v>0</v>
      </c>
      <c r="Z1294" s="13">
        <v>0.0003791069</v>
      </c>
    </row>
    <row r="1295" s="2" customFormat="1" hidden="1" spans="1:26">
      <c r="A1295" s="11" t="s">
        <v>935</v>
      </c>
      <c r="B1295" s="11" t="s">
        <v>937</v>
      </c>
      <c r="C1295" s="14" t="s">
        <v>565</v>
      </c>
      <c r="D1295" s="14" t="s">
        <v>938</v>
      </c>
      <c r="E1295" s="14" t="s">
        <v>939</v>
      </c>
      <c r="F1295" s="3" t="s">
        <v>941</v>
      </c>
      <c r="G1295" s="4">
        <v>87</v>
      </c>
      <c r="H1295" s="12">
        <v>14127.884</v>
      </c>
      <c r="I1295" s="12">
        <v>2605.667887</v>
      </c>
      <c r="J1295" s="13">
        <v>0.1844344055</v>
      </c>
      <c r="K1295" s="13">
        <v>0.1844344055</v>
      </c>
      <c r="L1295" s="12">
        <v>23.8808045976</v>
      </c>
      <c r="M1295" s="13">
        <v>0.1461166342</v>
      </c>
      <c r="N1295" s="13">
        <v>0.0380824812</v>
      </c>
      <c r="O1295" s="13">
        <v>0.3029557717</v>
      </c>
      <c r="P1295" s="13">
        <v>0.0120281282</v>
      </c>
      <c r="Q1295" s="13">
        <v>0.0067866027</v>
      </c>
      <c r="R1295" s="13">
        <v>0.1813830883</v>
      </c>
      <c r="S1295" s="13">
        <v>0</v>
      </c>
      <c r="T1295" s="13">
        <v>0.1122769694</v>
      </c>
      <c r="U1295" s="13">
        <v>0.0150682798</v>
      </c>
      <c r="V1295" s="13">
        <v>0</v>
      </c>
      <c r="W1295" s="13">
        <v>0</v>
      </c>
      <c r="X1295" s="13">
        <v>0</v>
      </c>
      <c r="Y1295" s="13">
        <v>0</v>
      </c>
      <c r="Z1295" s="13">
        <v>0.0008676385</v>
      </c>
    </row>
    <row r="1296" s="2" customFormat="1" hidden="1" spans="1:26">
      <c r="A1296" s="11" t="s">
        <v>935</v>
      </c>
      <c r="B1296" s="11" t="s">
        <v>937</v>
      </c>
      <c r="C1296" s="14" t="s">
        <v>565</v>
      </c>
      <c r="D1296" s="14" t="s">
        <v>938</v>
      </c>
      <c r="E1296" s="14" t="s">
        <v>939</v>
      </c>
      <c r="F1296" s="3" t="s">
        <v>942</v>
      </c>
      <c r="G1296" s="4">
        <v>3</v>
      </c>
      <c r="H1296" s="12">
        <v>342.924</v>
      </c>
      <c r="I1296" s="12">
        <v>-156.923164</v>
      </c>
      <c r="J1296" s="13">
        <v>-0.457603329</v>
      </c>
      <c r="K1296" s="13">
        <v>-0.457603329</v>
      </c>
      <c r="L1296" s="12">
        <v>16.81</v>
      </c>
      <c r="M1296" s="13">
        <v>0.138385199</v>
      </c>
      <c r="N1296" s="13">
        <v>0.0304303635</v>
      </c>
      <c r="O1296" s="13">
        <v>0.3067618481</v>
      </c>
      <c r="P1296" s="13">
        <v>0.4013484037</v>
      </c>
      <c r="Q1296" s="13">
        <v>0.1487644113</v>
      </c>
      <c r="R1296" s="13">
        <v>0.4117454042</v>
      </c>
      <c r="S1296" s="13">
        <v>0</v>
      </c>
      <c r="T1296" s="13">
        <v>0.0805076343</v>
      </c>
      <c r="U1296" s="13">
        <v>0.0142709754</v>
      </c>
      <c r="V1296" s="13">
        <v>0.0083283759</v>
      </c>
      <c r="W1296" s="13">
        <v>-0.0844077813</v>
      </c>
      <c r="X1296" s="13">
        <v>0</v>
      </c>
      <c r="Y1296" s="13">
        <v>0</v>
      </c>
      <c r="Z1296" s="13">
        <v>0.0014684944</v>
      </c>
    </row>
    <row r="1297" s="2" customFormat="1" hidden="1" spans="1:26">
      <c r="A1297" s="11" t="s">
        <v>935</v>
      </c>
      <c r="B1297" s="11" t="s">
        <v>937</v>
      </c>
      <c r="C1297" s="14" t="s">
        <v>565</v>
      </c>
      <c r="D1297" s="14" t="s">
        <v>938</v>
      </c>
      <c r="E1297" s="14" t="s">
        <v>939</v>
      </c>
      <c r="F1297" s="3" t="s">
        <v>943</v>
      </c>
      <c r="G1297" s="4">
        <v>10</v>
      </c>
      <c r="H1297" s="12">
        <v>1699.32</v>
      </c>
      <c r="I1297" s="12">
        <v>485.757549</v>
      </c>
      <c r="J1297" s="13">
        <v>0.2858540763</v>
      </c>
      <c r="K1297" s="13">
        <v>0.2858540763</v>
      </c>
      <c r="L1297" s="12">
        <v>24.99</v>
      </c>
      <c r="M1297" s="13">
        <v>0.1311907233</v>
      </c>
      <c r="N1297" s="13">
        <v>0.0307043464</v>
      </c>
      <c r="O1297" s="13">
        <v>0.2921168467</v>
      </c>
      <c r="P1297" s="13">
        <v>0</v>
      </c>
      <c r="Q1297" s="13">
        <v>0.004485503</v>
      </c>
      <c r="R1297" s="13">
        <v>0.1219912335</v>
      </c>
      <c r="S1297" s="13">
        <v>0</v>
      </c>
      <c r="T1297" s="13">
        <v>0.1200480192</v>
      </c>
      <c r="U1297" s="13">
        <v>0.0135290469</v>
      </c>
      <c r="V1297" s="13">
        <v>0</v>
      </c>
      <c r="W1297" s="13">
        <v>0</v>
      </c>
      <c r="X1297" s="13">
        <v>0</v>
      </c>
      <c r="Y1297" s="13">
        <v>0</v>
      </c>
      <c r="Z1297" s="13">
        <v>8.02044e-5</v>
      </c>
    </row>
    <row r="1298" s="2" customFormat="1" spans="1:26">
      <c r="A1298" s="11" t="s">
        <v>935</v>
      </c>
      <c r="B1298" s="11" t="s">
        <v>937</v>
      </c>
      <c r="C1298" s="14" t="s">
        <v>565</v>
      </c>
      <c r="D1298" s="14" t="s">
        <v>938</v>
      </c>
      <c r="E1298" s="14" t="s">
        <v>939</v>
      </c>
      <c r="F1298" s="3" t="s">
        <v>944</v>
      </c>
      <c r="G1298" s="4">
        <v>6</v>
      </c>
      <c r="H1298" s="12">
        <v>1019.592</v>
      </c>
      <c r="I1298" s="12">
        <v>185.549167</v>
      </c>
      <c r="J1298" s="13">
        <v>0.1819837415</v>
      </c>
      <c r="K1298" s="13">
        <v>0.1819837415</v>
      </c>
      <c r="L1298" s="12">
        <v>24.99</v>
      </c>
      <c r="M1298" s="13">
        <v>0.1305732704</v>
      </c>
      <c r="N1298" s="13">
        <v>0.0899664042</v>
      </c>
      <c r="O1298" s="13">
        <v>0.2921168467</v>
      </c>
      <c r="P1298" s="13">
        <v>0</v>
      </c>
      <c r="Q1298" s="13">
        <v>0.0106781673</v>
      </c>
      <c r="R1298" s="13">
        <v>0.1609956796</v>
      </c>
      <c r="S1298" s="13">
        <v>0</v>
      </c>
      <c r="T1298" s="13">
        <v>0.1200480192</v>
      </c>
      <c r="U1298" s="13">
        <v>0.0134653685</v>
      </c>
      <c r="V1298" s="13">
        <v>0</v>
      </c>
      <c r="W1298" s="13">
        <v>0</v>
      </c>
      <c r="X1298" s="13">
        <v>0</v>
      </c>
      <c r="Y1298" s="13">
        <v>0</v>
      </c>
      <c r="Z1298" s="13">
        <v>0.0001725023</v>
      </c>
    </row>
    <row r="1299" s="2" customFormat="1" hidden="1" spans="1:26">
      <c r="A1299" s="11" t="s">
        <v>935</v>
      </c>
      <c r="B1299" s="11" t="s">
        <v>937</v>
      </c>
      <c r="C1299" s="14" t="s">
        <v>565</v>
      </c>
      <c r="D1299" s="14" t="s">
        <v>938</v>
      </c>
      <c r="E1299" s="14" t="s">
        <v>939</v>
      </c>
      <c r="F1299" s="3" t="s">
        <v>945</v>
      </c>
      <c r="G1299" s="4">
        <v>0</v>
      </c>
      <c r="H1299" s="12">
        <v>0</v>
      </c>
      <c r="I1299" s="12">
        <v>-13.6</v>
      </c>
      <c r="J1299" s="13"/>
      <c r="K1299" s="13"/>
      <c r="L1299" s="12"/>
      <c r="M1299" s="13"/>
      <c r="N1299" s="13"/>
      <c r="O1299" s="13"/>
      <c r="P1299" s="13"/>
      <c r="Q1299" s="13"/>
      <c r="R1299" s="13"/>
      <c r="S1299" s="13"/>
      <c r="T1299" s="13"/>
      <c r="U1299" s="13"/>
      <c r="V1299" s="13"/>
      <c r="W1299" s="13"/>
      <c r="X1299" s="13"/>
      <c r="Y1299" s="13"/>
      <c r="Z1299" s="13"/>
    </row>
    <row r="1300" s="2" customFormat="1" hidden="1" spans="1:26">
      <c r="A1300" s="11" t="s">
        <v>935</v>
      </c>
      <c r="B1300" s="11" t="s">
        <v>937</v>
      </c>
      <c r="C1300" s="14" t="s">
        <v>570</v>
      </c>
      <c r="D1300" s="14" t="s">
        <v>938</v>
      </c>
      <c r="E1300" s="14" t="s">
        <v>939</v>
      </c>
      <c r="F1300" s="3" t="s">
        <v>936</v>
      </c>
      <c r="G1300" s="4">
        <v>100</v>
      </c>
      <c r="H1300" s="12">
        <v>14732.336</v>
      </c>
      <c r="I1300" s="12">
        <v>475.568085</v>
      </c>
      <c r="J1300" s="13">
        <v>0.0322805619</v>
      </c>
      <c r="K1300" s="13">
        <v>0.0322805619</v>
      </c>
      <c r="L1300" s="12">
        <v>21.6652</v>
      </c>
      <c r="M1300" s="13">
        <v>0.1356682093</v>
      </c>
      <c r="N1300" s="13">
        <v>0.0480419826</v>
      </c>
      <c r="O1300" s="13">
        <v>0.3314485903</v>
      </c>
      <c r="P1300" s="13">
        <v>0.0381995088</v>
      </c>
      <c r="Q1300" s="13">
        <v>0.0392179615</v>
      </c>
      <c r="R1300" s="13">
        <v>0.2522958835</v>
      </c>
      <c r="S1300" s="13">
        <v>0</v>
      </c>
      <c r="T1300" s="13">
        <v>0.1074949688</v>
      </c>
      <c r="U1300" s="13">
        <v>0.013990786</v>
      </c>
      <c r="V1300" s="13">
        <v>0.0007846685</v>
      </c>
      <c r="W1300" s="13">
        <v>0</v>
      </c>
      <c r="X1300" s="13">
        <v>0</v>
      </c>
      <c r="Y1300" s="13">
        <v>0</v>
      </c>
      <c r="Z1300" s="13">
        <v>0.0005768782</v>
      </c>
    </row>
    <row r="1301" s="2" customFormat="1" hidden="1" spans="1:26">
      <c r="A1301" s="11" t="s">
        <v>935</v>
      </c>
      <c r="B1301" s="11" t="s">
        <v>937</v>
      </c>
      <c r="C1301" s="14" t="s">
        <v>570</v>
      </c>
      <c r="D1301" s="14" t="s">
        <v>938</v>
      </c>
      <c r="E1301" s="14" t="s">
        <v>939</v>
      </c>
      <c r="F1301" s="3" t="s">
        <v>940</v>
      </c>
      <c r="G1301" s="4">
        <v>1</v>
      </c>
      <c r="H1301" s="12">
        <v>156.332</v>
      </c>
      <c r="I1301" s="12">
        <v>-93.467425</v>
      </c>
      <c r="J1301" s="13">
        <v>-0.5978777537</v>
      </c>
      <c r="K1301" s="13">
        <v>-0.5978777537</v>
      </c>
      <c r="L1301" s="12">
        <v>22.99</v>
      </c>
      <c r="M1301" s="13">
        <v>0.1590046951</v>
      </c>
      <c r="N1301" s="13">
        <v>0.0368216424</v>
      </c>
      <c r="O1301" s="13">
        <v>0.272292301</v>
      </c>
      <c r="P1301" s="13">
        <v>0</v>
      </c>
      <c r="Q1301" s="13">
        <v>0.0180943376</v>
      </c>
      <c r="R1301" s="13">
        <v>1.0818391436</v>
      </c>
      <c r="S1301" s="13">
        <v>0</v>
      </c>
      <c r="T1301" s="13">
        <v>0.0130491518</v>
      </c>
      <c r="U1301" s="13">
        <v>0.0163973594</v>
      </c>
      <c r="V1301" s="13">
        <v>0</v>
      </c>
      <c r="W1301" s="13">
        <v>0</v>
      </c>
      <c r="X1301" s="13">
        <v>0</v>
      </c>
      <c r="Y1301" s="13">
        <v>0</v>
      </c>
      <c r="Z1301" s="13">
        <v>0.0003791226</v>
      </c>
    </row>
    <row r="1302" s="2" customFormat="1" hidden="1" spans="1:26">
      <c r="A1302" s="11" t="s">
        <v>935</v>
      </c>
      <c r="B1302" s="11" t="s">
        <v>937</v>
      </c>
      <c r="C1302" s="14" t="s">
        <v>570</v>
      </c>
      <c r="D1302" s="14" t="s">
        <v>938</v>
      </c>
      <c r="E1302" s="14" t="s">
        <v>939</v>
      </c>
      <c r="F1302" s="3" t="s">
        <v>941</v>
      </c>
      <c r="G1302" s="4">
        <v>18</v>
      </c>
      <c r="H1302" s="12">
        <v>2688.856</v>
      </c>
      <c r="I1302" s="12">
        <v>228.768176</v>
      </c>
      <c r="J1302" s="13">
        <v>0.0850801143</v>
      </c>
      <c r="K1302" s="13">
        <v>0.0850801143</v>
      </c>
      <c r="L1302" s="12">
        <v>21.9677777777</v>
      </c>
      <c r="M1302" s="13">
        <v>0.1425302002</v>
      </c>
      <c r="N1302" s="13">
        <v>0.0481869873</v>
      </c>
      <c r="O1302" s="13">
        <v>0.3444185928</v>
      </c>
      <c r="P1302" s="13">
        <v>0</v>
      </c>
      <c r="Q1302" s="13">
        <v>0.0106062061</v>
      </c>
      <c r="R1302" s="13">
        <v>0.2448161221</v>
      </c>
      <c r="S1302" s="13">
        <v>0</v>
      </c>
      <c r="T1302" s="13">
        <v>0.1087957108</v>
      </c>
      <c r="U1302" s="13">
        <v>0.0146984263</v>
      </c>
      <c r="V1302" s="13">
        <v>0</v>
      </c>
      <c r="W1302" s="13">
        <v>0</v>
      </c>
      <c r="X1302" s="13">
        <v>0</v>
      </c>
      <c r="Y1302" s="13">
        <v>0</v>
      </c>
      <c r="Z1302" s="13">
        <v>0.0008676396</v>
      </c>
    </row>
    <row r="1303" s="2" customFormat="1" hidden="1" spans="1:26">
      <c r="A1303" s="11" t="s">
        <v>935</v>
      </c>
      <c r="B1303" s="11" t="s">
        <v>937</v>
      </c>
      <c r="C1303" s="14" t="s">
        <v>570</v>
      </c>
      <c r="D1303" s="14" t="s">
        <v>938</v>
      </c>
      <c r="E1303" s="14" t="s">
        <v>939</v>
      </c>
      <c r="F1303" s="3" t="s">
        <v>942</v>
      </c>
      <c r="G1303" s="4">
        <v>26</v>
      </c>
      <c r="H1303" s="12">
        <v>3515.328</v>
      </c>
      <c r="I1303" s="12">
        <v>-260.118138</v>
      </c>
      <c r="J1303" s="13">
        <v>-0.0739954103</v>
      </c>
      <c r="K1303" s="13">
        <v>-0.0739954103</v>
      </c>
      <c r="L1303" s="12">
        <v>19.883076923</v>
      </c>
      <c r="M1303" s="13">
        <v>0.1453608061</v>
      </c>
      <c r="N1303" s="13">
        <v>0.0418339887</v>
      </c>
      <c r="O1303" s="13">
        <v>0.3426183844</v>
      </c>
      <c r="P1303" s="13">
        <v>0.1200673166</v>
      </c>
      <c r="Q1303" s="13">
        <v>0.0337290059</v>
      </c>
      <c r="R1303" s="13">
        <v>0.2688512744</v>
      </c>
      <c r="S1303" s="13">
        <v>0</v>
      </c>
      <c r="T1303" s="13">
        <v>0.1028125967</v>
      </c>
      <c r="U1303" s="13">
        <v>0.0149903326</v>
      </c>
      <c r="V1303" s="13">
        <v>0.0022632311</v>
      </c>
      <c r="W1303" s="13">
        <v>0</v>
      </c>
      <c r="X1303" s="13">
        <v>0</v>
      </c>
      <c r="Y1303" s="13">
        <v>0</v>
      </c>
      <c r="Z1303" s="13">
        <v>0.0014684734</v>
      </c>
    </row>
    <row r="1304" s="2" customFormat="1" hidden="1" spans="1:26">
      <c r="A1304" s="11" t="s">
        <v>935</v>
      </c>
      <c r="B1304" s="11" t="s">
        <v>937</v>
      </c>
      <c r="C1304" s="14" t="s">
        <v>570</v>
      </c>
      <c r="D1304" s="14" t="s">
        <v>938</v>
      </c>
      <c r="E1304" s="14" t="s">
        <v>939</v>
      </c>
      <c r="F1304" s="3" t="s">
        <v>943</v>
      </c>
      <c r="G1304" s="4">
        <v>23</v>
      </c>
      <c r="H1304" s="12">
        <v>3369.196</v>
      </c>
      <c r="I1304" s="12">
        <v>436.742268</v>
      </c>
      <c r="J1304" s="13">
        <v>0.1296280382</v>
      </c>
      <c r="K1304" s="13">
        <v>0.1296280382</v>
      </c>
      <c r="L1304" s="12">
        <v>21.542173913</v>
      </c>
      <c r="M1304" s="13">
        <v>0.1310682245</v>
      </c>
      <c r="N1304" s="13">
        <v>0.0400110812</v>
      </c>
      <c r="O1304" s="13">
        <v>0.327688861</v>
      </c>
      <c r="P1304" s="13">
        <v>0.0417583304</v>
      </c>
      <c r="Q1304" s="13">
        <v>0.0255091357</v>
      </c>
      <c r="R1304" s="13">
        <v>0.1818531976</v>
      </c>
      <c r="S1304" s="13">
        <v>0</v>
      </c>
      <c r="T1304" s="13">
        <v>0.1078168203</v>
      </c>
      <c r="U1304" s="13">
        <v>0.0135164143</v>
      </c>
      <c r="V1304" s="13">
        <v>0.0010696914</v>
      </c>
      <c r="W1304" s="13">
        <v>0</v>
      </c>
      <c r="X1304" s="13">
        <v>0</v>
      </c>
      <c r="Y1304" s="13">
        <v>0</v>
      </c>
      <c r="Z1304" s="13">
        <v>8.02048e-5</v>
      </c>
    </row>
    <row r="1305" s="2" customFormat="1" spans="1:26">
      <c r="A1305" s="11" t="s">
        <v>935</v>
      </c>
      <c r="B1305" s="11" t="s">
        <v>937</v>
      </c>
      <c r="C1305" s="14" t="s">
        <v>570</v>
      </c>
      <c r="D1305" s="14" t="s">
        <v>938</v>
      </c>
      <c r="E1305" s="14" t="s">
        <v>939</v>
      </c>
      <c r="F1305" s="3" t="s">
        <v>944</v>
      </c>
      <c r="G1305" s="4">
        <v>25</v>
      </c>
      <c r="H1305" s="12">
        <v>3908.3</v>
      </c>
      <c r="I1305" s="12">
        <v>-77.540459</v>
      </c>
      <c r="J1305" s="13">
        <v>-0.0198399455</v>
      </c>
      <c r="K1305" s="13">
        <v>-0.0198399455</v>
      </c>
      <c r="L1305" s="12">
        <v>22.99</v>
      </c>
      <c r="M1305" s="13">
        <v>0.1275377657</v>
      </c>
      <c r="N1305" s="13">
        <v>0.058085715</v>
      </c>
      <c r="O1305" s="13">
        <v>0.3210091344</v>
      </c>
      <c r="P1305" s="13">
        <v>0</v>
      </c>
      <c r="Q1305" s="13">
        <v>0.0872696351</v>
      </c>
      <c r="R1305" s="13">
        <v>0.2984066918</v>
      </c>
      <c r="S1305" s="13">
        <v>0</v>
      </c>
      <c r="T1305" s="13">
        <v>0.1142061765</v>
      </c>
      <c r="U1305" s="13">
        <v>0.013152336</v>
      </c>
      <c r="V1305" s="13">
        <v>0</v>
      </c>
      <c r="W1305" s="13">
        <v>0</v>
      </c>
      <c r="X1305" s="13">
        <v>0</v>
      </c>
      <c r="Y1305" s="13">
        <v>0</v>
      </c>
      <c r="Z1305" s="13">
        <v>0.0001724905</v>
      </c>
    </row>
    <row r="1306" s="2" customFormat="1" hidden="1" spans="1:26">
      <c r="A1306" s="11" t="s">
        <v>935</v>
      </c>
      <c r="B1306" s="11" t="s">
        <v>937</v>
      </c>
      <c r="C1306" s="14" t="s">
        <v>570</v>
      </c>
      <c r="D1306" s="14" t="s">
        <v>938</v>
      </c>
      <c r="E1306" s="14" t="s">
        <v>939</v>
      </c>
      <c r="F1306" s="3" t="s">
        <v>945</v>
      </c>
      <c r="G1306" s="4">
        <v>7</v>
      </c>
      <c r="H1306" s="12">
        <v>1094.324</v>
      </c>
      <c r="I1306" s="12">
        <v>241.183663</v>
      </c>
      <c r="J1306" s="13">
        <v>0.2203951142</v>
      </c>
      <c r="K1306" s="13">
        <v>0.2203951142</v>
      </c>
      <c r="L1306" s="12">
        <v>22.99</v>
      </c>
      <c r="M1306" s="13">
        <v>0.1275377657</v>
      </c>
      <c r="N1306" s="13">
        <v>0.058085715</v>
      </c>
      <c r="O1306" s="13">
        <v>0.3210091344</v>
      </c>
      <c r="P1306" s="13">
        <v>0</v>
      </c>
      <c r="Q1306" s="13">
        <v>0.0007632017</v>
      </c>
      <c r="R1306" s="13">
        <v>0.1511837444</v>
      </c>
      <c r="S1306" s="13">
        <v>0</v>
      </c>
      <c r="T1306" s="13">
        <v>0.1078729882</v>
      </c>
      <c r="U1306" s="13">
        <v>0.013152336</v>
      </c>
      <c r="V1306" s="13">
        <v>0</v>
      </c>
      <c r="W1306" s="13">
        <v>0</v>
      </c>
      <c r="X1306" s="13">
        <v>0</v>
      </c>
      <c r="Y1306" s="13">
        <v>0</v>
      </c>
      <c r="Z1306" s="13">
        <v>0</v>
      </c>
    </row>
    <row r="1307" s="2" customFormat="1" hidden="1" spans="1:26">
      <c r="A1307" s="11" t="s">
        <v>935</v>
      </c>
      <c r="B1307" s="11" t="s">
        <v>937</v>
      </c>
      <c r="C1307" s="14" t="s">
        <v>575</v>
      </c>
      <c r="D1307" s="14" t="s">
        <v>938</v>
      </c>
      <c r="E1307" s="14" t="s">
        <v>939</v>
      </c>
      <c r="F1307" s="3" t="s">
        <v>936</v>
      </c>
      <c r="G1307" s="4">
        <v>160</v>
      </c>
      <c r="H1307" s="12">
        <v>23707.18</v>
      </c>
      <c r="I1307" s="12">
        <v>2354.149496</v>
      </c>
      <c r="J1307" s="13">
        <v>0.0993011187</v>
      </c>
      <c r="K1307" s="13">
        <v>0.0993011187</v>
      </c>
      <c r="L1307" s="12">
        <v>21.7896875</v>
      </c>
      <c r="M1307" s="13">
        <v>0.1292914884</v>
      </c>
      <c r="N1307" s="13">
        <v>0.0736368038</v>
      </c>
      <c r="O1307" s="13">
        <v>0.3336670156</v>
      </c>
      <c r="P1307" s="13">
        <v>0.0185953791</v>
      </c>
      <c r="Q1307" s="13">
        <v>0.0167332219</v>
      </c>
      <c r="R1307" s="13">
        <v>0.1985642516</v>
      </c>
      <c r="S1307" s="13">
        <v>0</v>
      </c>
      <c r="T1307" s="13">
        <v>0.11611284</v>
      </c>
      <c r="U1307" s="13">
        <v>0.0133331879</v>
      </c>
      <c r="V1307" s="13">
        <v>0.0006052174</v>
      </c>
      <c r="W1307" s="13">
        <v>0</v>
      </c>
      <c r="X1307" s="13">
        <v>0</v>
      </c>
      <c r="Y1307" s="13">
        <v>0</v>
      </c>
      <c r="Z1307" s="13">
        <v>0.0001594751</v>
      </c>
    </row>
    <row r="1308" s="2" customFormat="1" hidden="1" spans="1:26">
      <c r="A1308" s="11" t="s">
        <v>935</v>
      </c>
      <c r="B1308" s="11" t="s">
        <v>937</v>
      </c>
      <c r="C1308" s="14" t="s">
        <v>575</v>
      </c>
      <c r="D1308" s="14" t="s">
        <v>938</v>
      </c>
      <c r="E1308" s="14" t="s">
        <v>939</v>
      </c>
      <c r="F1308" s="3" t="s">
        <v>942</v>
      </c>
      <c r="G1308" s="4">
        <v>3</v>
      </c>
      <c r="H1308" s="12">
        <v>481.236</v>
      </c>
      <c r="I1308" s="12">
        <v>-143.003576</v>
      </c>
      <c r="J1308" s="13">
        <v>-0.2971589324</v>
      </c>
      <c r="K1308" s="13">
        <v>-0.2971589324</v>
      </c>
      <c r="L1308" s="12">
        <v>23.59</v>
      </c>
      <c r="M1308" s="13">
        <v>0.1237565768</v>
      </c>
      <c r="N1308" s="13">
        <v>0.0427624678</v>
      </c>
      <c r="O1308" s="13">
        <v>0.3094531581</v>
      </c>
      <c r="P1308" s="13">
        <v>0</v>
      </c>
      <c r="Q1308" s="13">
        <v>0.0060199049</v>
      </c>
      <c r="R1308" s="13">
        <v>0.7538821139</v>
      </c>
      <c r="S1308" s="13">
        <v>0</v>
      </c>
      <c r="T1308" s="13">
        <v>0.0470538363</v>
      </c>
      <c r="U1308" s="13">
        <v>0.0127623993</v>
      </c>
      <c r="V1308" s="13">
        <v>0</v>
      </c>
      <c r="W1308" s="13">
        <v>0</v>
      </c>
      <c r="X1308" s="13">
        <v>0</v>
      </c>
      <c r="Y1308" s="13">
        <v>0</v>
      </c>
      <c r="Z1308" s="13">
        <v>0.0014684749</v>
      </c>
    </row>
    <row r="1309" s="2" customFormat="1" hidden="1" spans="1:26">
      <c r="A1309" s="11" t="s">
        <v>935</v>
      </c>
      <c r="B1309" s="11" t="s">
        <v>937</v>
      </c>
      <c r="C1309" s="14" t="s">
        <v>575</v>
      </c>
      <c r="D1309" s="14" t="s">
        <v>938</v>
      </c>
      <c r="E1309" s="14" t="s">
        <v>939</v>
      </c>
      <c r="F1309" s="3" t="s">
        <v>943</v>
      </c>
      <c r="G1309" s="4">
        <v>66</v>
      </c>
      <c r="H1309" s="12">
        <v>9160.416</v>
      </c>
      <c r="I1309" s="12">
        <v>679.165915</v>
      </c>
      <c r="J1309" s="13">
        <v>0.0741413834</v>
      </c>
      <c r="K1309" s="13">
        <v>0.0741413834</v>
      </c>
      <c r="L1309" s="12">
        <v>20.4109090908</v>
      </c>
      <c r="M1309" s="13">
        <v>0.1413836642</v>
      </c>
      <c r="N1309" s="13">
        <v>0.0767169984</v>
      </c>
      <c r="O1309" s="13">
        <v>0.3654908248</v>
      </c>
      <c r="P1309" s="13">
        <v>0.0142452045</v>
      </c>
      <c r="Q1309" s="13">
        <v>0.0119349718</v>
      </c>
      <c r="R1309" s="13">
        <v>0.183641948</v>
      </c>
      <c r="S1309" s="13">
        <v>0</v>
      </c>
      <c r="T1309" s="13">
        <v>0.1177846071</v>
      </c>
      <c r="U1309" s="13">
        <v>0.0145801928</v>
      </c>
      <c r="V1309" s="13">
        <v>0</v>
      </c>
      <c r="W1309" s="13">
        <v>0</v>
      </c>
      <c r="X1309" s="13">
        <v>0</v>
      </c>
      <c r="Y1309" s="13">
        <v>0</v>
      </c>
      <c r="Z1309" s="13">
        <v>8.02044e-5</v>
      </c>
    </row>
    <row r="1310" s="2" customFormat="1" spans="1:26">
      <c r="A1310" s="11" t="s">
        <v>935</v>
      </c>
      <c r="B1310" s="11" t="s">
        <v>937</v>
      </c>
      <c r="C1310" s="14" t="s">
        <v>575</v>
      </c>
      <c r="D1310" s="14" t="s">
        <v>938</v>
      </c>
      <c r="E1310" s="14" t="s">
        <v>939</v>
      </c>
      <c r="F1310" s="3" t="s">
        <v>944</v>
      </c>
      <c r="G1310" s="4">
        <v>87</v>
      </c>
      <c r="H1310" s="12">
        <v>13561.988</v>
      </c>
      <c r="I1310" s="12">
        <v>1748.705404</v>
      </c>
      <c r="J1310" s="13">
        <v>0.1289416716</v>
      </c>
      <c r="K1310" s="13">
        <v>0.1289416716</v>
      </c>
      <c r="L1310" s="12">
        <v>22.9242528735</v>
      </c>
      <c r="M1310" s="13">
        <v>0.1218211212</v>
      </c>
      <c r="N1310" s="13">
        <v>0.0728159142</v>
      </c>
      <c r="O1310" s="13">
        <v>0.3141981839</v>
      </c>
      <c r="P1310" s="13">
        <v>0.0228839606</v>
      </c>
      <c r="Q1310" s="13">
        <v>0.0209472903</v>
      </c>
      <c r="R1310" s="13">
        <v>0.1875163585</v>
      </c>
      <c r="S1310" s="13">
        <v>0</v>
      </c>
      <c r="T1310" s="13">
        <v>0.1174131698</v>
      </c>
      <c r="U1310" s="13">
        <v>0.0125628067</v>
      </c>
      <c r="V1310" s="13">
        <v>0.000727032</v>
      </c>
      <c r="W1310" s="13">
        <v>0</v>
      </c>
      <c r="X1310" s="13">
        <v>0</v>
      </c>
      <c r="Y1310" s="13">
        <v>0</v>
      </c>
      <c r="Z1310" s="13">
        <v>0.0001724906</v>
      </c>
    </row>
    <row r="1311" s="2" customFormat="1" hidden="1" spans="1:26">
      <c r="A1311" s="11" t="s">
        <v>935</v>
      </c>
      <c r="B1311" s="11" t="s">
        <v>937</v>
      </c>
      <c r="C1311" s="14" t="s">
        <v>575</v>
      </c>
      <c r="D1311" s="14" t="s">
        <v>938</v>
      </c>
      <c r="E1311" s="14" t="s">
        <v>939</v>
      </c>
      <c r="F1311" s="3" t="s">
        <v>945</v>
      </c>
      <c r="G1311" s="4">
        <v>4</v>
      </c>
      <c r="H1311" s="12">
        <v>503.54</v>
      </c>
      <c r="I1311" s="12">
        <v>69.281753</v>
      </c>
      <c r="J1311" s="13">
        <v>0.1375893732</v>
      </c>
      <c r="K1311" s="13">
        <v>0.1375893732</v>
      </c>
      <c r="L1311" s="12">
        <v>18.5125</v>
      </c>
      <c r="M1311" s="13">
        <v>0.1158015311</v>
      </c>
      <c r="N1311" s="13">
        <v>0.0692178357</v>
      </c>
      <c r="O1311" s="13">
        <v>0.3022282241</v>
      </c>
      <c r="P1311" s="13">
        <v>0</v>
      </c>
      <c r="Q1311" s="13">
        <v>0.0007632005</v>
      </c>
      <c r="R1311" s="13">
        <v>0.2368669817</v>
      </c>
      <c r="S1311" s="13">
        <v>0</v>
      </c>
      <c r="T1311" s="13">
        <v>0.1166779203</v>
      </c>
      <c r="U1311" s="13">
        <v>0.0119420363</v>
      </c>
      <c r="V1311" s="13">
        <v>0.0089128966</v>
      </c>
      <c r="W1311" s="13">
        <v>0</v>
      </c>
      <c r="X1311" s="13">
        <v>0</v>
      </c>
      <c r="Y1311" s="13">
        <v>0</v>
      </c>
      <c r="Z1311" s="13">
        <v>0</v>
      </c>
    </row>
    <row r="1312" s="2" customFormat="1" hidden="1" spans="1:26">
      <c r="A1312" s="11" t="s">
        <v>935</v>
      </c>
      <c r="B1312" s="11" t="s">
        <v>937</v>
      </c>
      <c r="C1312" s="14" t="s">
        <v>785</v>
      </c>
      <c r="D1312" s="14" t="s">
        <v>938</v>
      </c>
      <c r="E1312" s="14" t="s">
        <v>939</v>
      </c>
      <c r="F1312" s="3" t="s">
        <v>936</v>
      </c>
      <c r="G1312" s="4">
        <v>114</v>
      </c>
      <c r="H1312" s="12">
        <v>16061.328</v>
      </c>
      <c r="I1312" s="12">
        <v>1308.333092</v>
      </c>
      <c r="J1312" s="13">
        <v>0.0814585874</v>
      </c>
      <c r="K1312" s="13">
        <v>0.0814585874</v>
      </c>
      <c r="L1312" s="12">
        <v>20.7189473684</v>
      </c>
      <c r="M1312" s="13">
        <v>0.1260616899</v>
      </c>
      <c r="N1312" s="13">
        <v>0.0596867395</v>
      </c>
      <c r="O1312" s="13">
        <v>0.3526689698</v>
      </c>
      <c r="P1312" s="13">
        <v>0.0254407356</v>
      </c>
      <c r="Q1312" s="13">
        <v>0.0301359641</v>
      </c>
      <c r="R1312" s="13">
        <v>0.2049547191</v>
      </c>
      <c r="S1312" s="13">
        <v>0</v>
      </c>
      <c r="T1312" s="13">
        <v>0.1079103795</v>
      </c>
      <c r="U1312" s="13">
        <v>0.0130001111</v>
      </c>
      <c r="V1312" s="13">
        <v>-0.002185473</v>
      </c>
      <c r="W1312" s="13">
        <v>0</v>
      </c>
      <c r="X1312" s="13">
        <v>0</v>
      </c>
      <c r="Y1312" s="13">
        <v>0</v>
      </c>
      <c r="Z1312" s="13">
        <v>0.0008675764</v>
      </c>
    </row>
    <row r="1313" s="2" customFormat="1" hidden="1" spans="1:26">
      <c r="A1313" s="11" t="s">
        <v>935</v>
      </c>
      <c r="B1313" s="11" t="s">
        <v>937</v>
      </c>
      <c r="C1313" s="14" t="s">
        <v>785</v>
      </c>
      <c r="D1313" s="14" t="s">
        <v>938</v>
      </c>
      <c r="E1313" s="14" t="s">
        <v>939</v>
      </c>
      <c r="F1313" s="3" t="s">
        <v>940</v>
      </c>
      <c r="G1313" s="4">
        <v>4</v>
      </c>
      <c r="H1313" s="12">
        <v>628.048</v>
      </c>
      <c r="I1313" s="12">
        <v>30.956362</v>
      </c>
      <c r="J1313" s="13">
        <v>0.0492898026</v>
      </c>
      <c r="K1313" s="13">
        <v>0.0492898026</v>
      </c>
      <c r="L1313" s="12">
        <v>23.09</v>
      </c>
      <c r="M1313" s="13">
        <v>0.1161846928</v>
      </c>
      <c r="N1313" s="13">
        <v>0.0451125901</v>
      </c>
      <c r="O1313" s="13">
        <v>0.3053269813</v>
      </c>
      <c r="P1313" s="13">
        <v>0</v>
      </c>
      <c r="Q1313" s="13">
        <v>0.0180944147</v>
      </c>
      <c r="R1313" s="13">
        <v>0.3690704499</v>
      </c>
      <c r="S1313" s="13">
        <v>0</v>
      </c>
      <c r="T1313" s="13">
        <v>0.0845604157</v>
      </c>
      <c r="U1313" s="13">
        <v>0.0119815491</v>
      </c>
      <c r="V1313" s="13">
        <v>0</v>
      </c>
      <c r="W1313" s="13">
        <v>0</v>
      </c>
      <c r="X1313" s="13">
        <v>0</v>
      </c>
      <c r="Y1313" s="13">
        <v>0</v>
      </c>
      <c r="Z1313" s="13">
        <v>0.0003791031</v>
      </c>
    </row>
    <row r="1314" s="2" customFormat="1" hidden="1" spans="1:26">
      <c r="A1314" s="11" t="s">
        <v>935</v>
      </c>
      <c r="B1314" s="11" t="s">
        <v>937</v>
      </c>
      <c r="C1314" s="14" t="s">
        <v>785</v>
      </c>
      <c r="D1314" s="14" t="s">
        <v>938</v>
      </c>
      <c r="E1314" s="14" t="s">
        <v>939</v>
      </c>
      <c r="F1314" s="3" t="s">
        <v>941</v>
      </c>
      <c r="G1314" s="4">
        <v>36</v>
      </c>
      <c r="H1314" s="12">
        <v>5011.464</v>
      </c>
      <c r="I1314" s="12">
        <v>667.593551</v>
      </c>
      <c r="J1314" s="13">
        <v>0.1332132787</v>
      </c>
      <c r="K1314" s="13">
        <v>0.1332132787</v>
      </c>
      <c r="L1314" s="12">
        <v>20.4716666666</v>
      </c>
      <c r="M1314" s="13">
        <v>0.1310321846</v>
      </c>
      <c r="N1314" s="13">
        <v>0.0566951166</v>
      </c>
      <c r="O1314" s="13">
        <v>0.3646503297</v>
      </c>
      <c r="P1314" s="13">
        <v>0</v>
      </c>
      <c r="Q1314" s="13">
        <v>0.0106869583</v>
      </c>
      <c r="R1314" s="13">
        <v>0.1820661606</v>
      </c>
      <c r="S1314" s="13">
        <v>0</v>
      </c>
      <c r="T1314" s="13">
        <v>0.1072756384</v>
      </c>
      <c r="U1314" s="13">
        <v>0.0135126932</v>
      </c>
      <c r="V1314" s="13">
        <v>0</v>
      </c>
      <c r="W1314" s="13">
        <v>0</v>
      </c>
      <c r="X1314" s="13">
        <v>0</v>
      </c>
      <c r="Y1314" s="13">
        <v>0</v>
      </c>
      <c r="Z1314" s="13">
        <v>0.0008676394</v>
      </c>
    </row>
    <row r="1315" s="2" customFormat="1" hidden="1" spans="1:26">
      <c r="A1315" s="11" t="s">
        <v>935</v>
      </c>
      <c r="B1315" s="11" t="s">
        <v>937</v>
      </c>
      <c r="C1315" s="14" t="s">
        <v>785</v>
      </c>
      <c r="D1315" s="14" t="s">
        <v>938</v>
      </c>
      <c r="E1315" s="14" t="s">
        <v>939</v>
      </c>
      <c r="F1315" s="3" t="s">
        <v>942</v>
      </c>
      <c r="G1315" s="4">
        <v>44</v>
      </c>
      <c r="H1315" s="12">
        <v>5936.4</v>
      </c>
      <c r="I1315" s="12">
        <v>287.241369</v>
      </c>
      <c r="J1315" s="13">
        <v>0.0483864579</v>
      </c>
      <c r="K1315" s="13">
        <v>0.0483864579</v>
      </c>
      <c r="L1315" s="12">
        <v>19.8409090908</v>
      </c>
      <c r="M1315" s="13">
        <v>0.1321251201</v>
      </c>
      <c r="N1315" s="13">
        <v>0.0565082684</v>
      </c>
      <c r="O1315" s="13">
        <v>0.3718785796</v>
      </c>
      <c r="P1315" s="13">
        <v>0.0688316151</v>
      </c>
      <c r="Q1315" s="13">
        <v>0.0261439572</v>
      </c>
      <c r="R1315" s="13">
        <v>0.1739187216</v>
      </c>
      <c r="S1315" s="13">
        <v>0</v>
      </c>
      <c r="T1315" s="13">
        <v>0.1064032073</v>
      </c>
      <c r="U1315" s="13">
        <v>0.0136254022</v>
      </c>
      <c r="V1315" s="13">
        <v>0.0007101947</v>
      </c>
      <c r="W1315" s="13">
        <v>0</v>
      </c>
      <c r="X1315" s="13">
        <v>0</v>
      </c>
      <c r="Y1315" s="13">
        <v>0</v>
      </c>
      <c r="Z1315" s="13">
        <v>0.0014684753</v>
      </c>
    </row>
    <row r="1316" s="2" customFormat="1" hidden="1" spans="1:26">
      <c r="A1316" s="11" t="s">
        <v>935</v>
      </c>
      <c r="B1316" s="11" t="s">
        <v>937</v>
      </c>
      <c r="C1316" s="14" t="s">
        <v>785</v>
      </c>
      <c r="D1316" s="14" t="s">
        <v>938</v>
      </c>
      <c r="E1316" s="14" t="s">
        <v>939</v>
      </c>
      <c r="F1316" s="3" t="s">
        <v>943</v>
      </c>
      <c r="G1316" s="4">
        <v>12</v>
      </c>
      <c r="H1316" s="12">
        <v>1549.04</v>
      </c>
      <c r="I1316" s="12">
        <v>169.174117</v>
      </c>
      <c r="J1316" s="13">
        <v>0.1092122327</v>
      </c>
      <c r="K1316" s="13">
        <v>0.1092122327</v>
      </c>
      <c r="L1316" s="12">
        <v>18.9833333333</v>
      </c>
      <c r="M1316" s="13">
        <v>0.1177544866</v>
      </c>
      <c r="N1316" s="13">
        <v>0.0444524673</v>
      </c>
      <c r="O1316" s="13">
        <v>0.3314310798</v>
      </c>
      <c r="P1316" s="13">
        <v>0</v>
      </c>
      <c r="Q1316" s="13">
        <v>0.0381628621</v>
      </c>
      <c r="R1316" s="13">
        <v>0.2239361926</v>
      </c>
      <c r="S1316" s="13">
        <v>0</v>
      </c>
      <c r="T1316" s="13">
        <v>0.1174714661</v>
      </c>
      <c r="U1316" s="13">
        <v>0.0121434307</v>
      </c>
      <c r="V1316" s="13">
        <v>0.005355575</v>
      </c>
      <c r="W1316" s="13">
        <v>0</v>
      </c>
      <c r="X1316" s="13">
        <v>0</v>
      </c>
      <c r="Y1316" s="13">
        <v>0</v>
      </c>
      <c r="Z1316" s="13">
        <v>8.02064e-5</v>
      </c>
    </row>
    <row r="1317" s="2" customFormat="1" spans="1:26">
      <c r="A1317" s="11" t="s">
        <v>935</v>
      </c>
      <c r="B1317" s="11" t="s">
        <v>937</v>
      </c>
      <c r="C1317" s="14" t="s">
        <v>785</v>
      </c>
      <c r="D1317" s="14" t="s">
        <v>938</v>
      </c>
      <c r="E1317" s="14" t="s">
        <v>939</v>
      </c>
      <c r="F1317" s="3" t="s">
        <v>944</v>
      </c>
      <c r="G1317" s="4">
        <v>18</v>
      </c>
      <c r="H1317" s="12">
        <v>2936.376</v>
      </c>
      <c r="I1317" s="12">
        <v>168.327693</v>
      </c>
      <c r="J1317" s="13">
        <v>0.0573249791</v>
      </c>
      <c r="K1317" s="13">
        <v>0.0573249791</v>
      </c>
      <c r="L1317" s="12">
        <v>23.99</v>
      </c>
      <c r="M1317" s="13">
        <v>0.1118152232</v>
      </c>
      <c r="N1317" s="13">
        <v>0.0823721342</v>
      </c>
      <c r="O1317" s="13">
        <v>0.3147144643</v>
      </c>
      <c r="P1317" s="13">
        <v>0</v>
      </c>
      <c r="Q1317" s="13">
        <v>0.0697408468</v>
      </c>
      <c r="R1317" s="13">
        <v>0.2565529015</v>
      </c>
      <c r="S1317" s="13">
        <v>0</v>
      </c>
      <c r="T1317" s="13">
        <v>0.1119911074</v>
      </c>
      <c r="U1317" s="13">
        <v>0.0115309442</v>
      </c>
      <c r="V1317" s="13">
        <v>-0.0162150896</v>
      </c>
      <c r="W1317" s="13">
        <v>0</v>
      </c>
      <c r="X1317" s="13">
        <v>0</v>
      </c>
      <c r="Y1317" s="13">
        <v>0</v>
      </c>
      <c r="Z1317" s="13">
        <v>0.0001724884</v>
      </c>
    </row>
    <row r="1318" s="2" customFormat="1" hidden="1" spans="1:26">
      <c r="A1318" s="11" t="s">
        <v>935</v>
      </c>
      <c r="B1318" s="11" t="s">
        <v>937</v>
      </c>
      <c r="C1318" s="14" t="s">
        <v>785</v>
      </c>
      <c r="D1318" s="14" t="s">
        <v>938</v>
      </c>
      <c r="E1318" s="14" t="s">
        <v>939</v>
      </c>
      <c r="F1318" s="3" t="s">
        <v>945</v>
      </c>
      <c r="G1318" s="4">
        <v>0</v>
      </c>
      <c r="H1318" s="12">
        <v>0</v>
      </c>
      <c r="I1318" s="12">
        <v>-14.96</v>
      </c>
      <c r="J1318" s="13"/>
      <c r="K1318" s="13"/>
      <c r="L1318" s="12"/>
      <c r="M1318" s="13"/>
      <c r="N1318" s="13"/>
      <c r="O1318" s="13"/>
      <c r="P1318" s="13"/>
      <c r="Q1318" s="13"/>
      <c r="R1318" s="13"/>
      <c r="S1318" s="13"/>
      <c r="T1318" s="13"/>
      <c r="U1318" s="13"/>
      <c r="V1318" s="13"/>
      <c r="W1318" s="13"/>
      <c r="X1318" s="13"/>
      <c r="Y1318" s="13"/>
      <c r="Z1318" s="13"/>
    </row>
    <row r="1319" s="2" customFormat="1" hidden="1" spans="1:26">
      <c r="A1319" s="11" t="s">
        <v>935</v>
      </c>
      <c r="B1319" s="11" t="s">
        <v>937</v>
      </c>
      <c r="C1319" s="14" t="s">
        <v>580</v>
      </c>
      <c r="D1319" s="14" t="s">
        <v>938</v>
      </c>
      <c r="E1319" s="14" t="s">
        <v>939</v>
      </c>
      <c r="F1319" s="3" t="s">
        <v>936</v>
      </c>
      <c r="G1319" s="4">
        <v>55</v>
      </c>
      <c r="H1319" s="12">
        <v>9198.088</v>
      </c>
      <c r="I1319" s="12">
        <v>0.695922</v>
      </c>
      <c r="J1319" s="13">
        <v>7.56594e-5</v>
      </c>
      <c r="K1319" s="13">
        <v>7.56594e-5</v>
      </c>
      <c r="L1319" s="12">
        <v>24.5938181818</v>
      </c>
      <c r="M1319" s="13">
        <v>0.1504421938</v>
      </c>
      <c r="N1319" s="13">
        <v>0.1040749071</v>
      </c>
      <c r="O1319" s="13">
        <v>0.309405172</v>
      </c>
      <c r="P1319" s="13">
        <v>0.0554241272</v>
      </c>
      <c r="Q1319" s="13">
        <v>0.0629911862</v>
      </c>
      <c r="R1319" s="13">
        <v>0.202962263</v>
      </c>
      <c r="S1319" s="13">
        <v>0</v>
      </c>
      <c r="T1319" s="13">
        <v>0.1030044504</v>
      </c>
      <c r="U1319" s="13">
        <v>0.0155143539</v>
      </c>
      <c r="V1319" s="13">
        <v>0.0007023198</v>
      </c>
      <c r="W1319" s="13">
        <v>-0.0048979848</v>
      </c>
      <c r="X1319" s="13">
        <v>0</v>
      </c>
      <c r="Y1319" s="13">
        <v>0</v>
      </c>
      <c r="Z1319" s="13">
        <v>0.0003013514</v>
      </c>
    </row>
    <row r="1320" s="2" customFormat="1" hidden="1" spans="1:26">
      <c r="A1320" s="11" t="s">
        <v>935</v>
      </c>
      <c r="B1320" s="11" t="s">
        <v>937</v>
      </c>
      <c r="C1320" s="14" t="s">
        <v>580</v>
      </c>
      <c r="D1320" s="14" t="s">
        <v>938</v>
      </c>
      <c r="E1320" s="14" t="s">
        <v>939</v>
      </c>
      <c r="F1320" s="3" t="s">
        <v>942</v>
      </c>
      <c r="G1320" s="4">
        <v>7</v>
      </c>
      <c r="H1320" s="12">
        <v>1189.524</v>
      </c>
      <c r="I1320" s="12">
        <v>-34.331465</v>
      </c>
      <c r="J1320" s="13">
        <v>-0.0288615151</v>
      </c>
      <c r="K1320" s="13">
        <v>-0.0288615151</v>
      </c>
      <c r="L1320" s="12">
        <v>24.99</v>
      </c>
      <c r="M1320" s="13">
        <v>0.1526127392</v>
      </c>
      <c r="N1320" s="13">
        <v>0.0487759515</v>
      </c>
      <c r="O1320" s="13">
        <v>0.3021208483</v>
      </c>
      <c r="P1320" s="13">
        <v>0</v>
      </c>
      <c r="Q1320" s="13">
        <v>0.0060199037</v>
      </c>
      <c r="R1320" s="13">
        <v>0.4215217397</v>
      </c>
      <c r="S1320" s="13">
        <v>0</v>
      </c>
      <c r="T1320" s="13">
        <v>0.08060367</v>
      </c>
      <c r="U1320" s="13">
        <v>0.0157381893</v>
      </c>
      <c r="V1320" s="13">
        <v>0</v>
      </c>
      <c r="W1320" s="13">
        <v>0</v>
      </c>
      <c r="X1320" s="13">
        <v>0</v>
      </c>
      <c r="Y1320" s="13">
        <v>0</v>
      </c>
      <c r="Z1320" s="13">
        <v>0.0014684731</v>
      </c>
    </row>
    <row r="1321" s="2" customFormat="1" hidden="1" spans="1:26">
      <c r="A1321" s="11" t="s">
        <v>935</v>
      </c>
      <c r="B1321" s="11" t="s">
        <v>937</v>
      </c>
      <c r="C1321" s="14" t="s">
        <v>580</v>
      </c>
      <c r="D1321" s="14" t="s">
        <v>938</v>
      </c>
      <c r="E1321" s="14" t="s">
        <v>939</v>
      </c>
      <c r="F1321" s="3" t="s">
        <v>943</v>
      </c>
      <c r="G1321" s="4">
        <v>19</v>
      </c>
      <c r="H1321" s="12">
        <v>3225.988</v>
      </c>
      <c r="I1321" s="12">
        <v>492.500469</v>
      </c>
      <c r="J1321" s="13">
        <v>0.1526665533</v>
      </c>
      <c r="K1321" s="13">
        <v>0.1526665533</v>
      </c>
      <c r="L1321" s="12">
        <v>24.9689473684</v>
      </c>
      <c r="M1321" s="13">
        <v>0.1506557184</v>
      </c>
      <c r="N1321" s="13">
        <v>0.1097467758</v>
      </c>
      <c r="O1321" s="13">
        <v>0.3109757382</v>
      </c>
      <c r="P1321" s="13">
        <v>0</v>
      </c>
      <c r="Q1321" s="13">
        <v>0.0339060532</v>
      </c>
      <c r="R1321" s="13">
        <v>0.1146094749</v>
      </c>
      <c r="S1321" s="13">
        <v>0</v>
      </c>
      <c r="T1321" s="13">
        <v>0.1118231065</v>
      </c>
      <c r="U1321" s="13">
        <v>0.0155363742</v>
      </c>
      <c r="V1321" s="13">
        <v>0</v>
      </c>
      <c r="W1321" s="13">
        <v>0</v>
      </c>
      <c r="X1321" s="13">
        <v>0</v>
      </c>
      <c r="Y1321" s="13">
        <v>0</v>
      </c>
      <c r="Z1321" s="13">
        <v>8.02048e-5</v>
      </c>
    </row>
    <row r="1322" s="2" customFormat="1" spans="1:26">
      <c r="A1322" s="11" t="s">
        <v>935</v>
      </c>
      <c r="B1322" s="11" t="s">
        <v>937</v>
      </c>
      <c r="C1322" s="14" t="s">
        <v>580</v>
      </c>
      <c r="D1322" s="14" t="s">
        <v>938</v>
      </c>
      <c r="E1322" s="14" t="s">
        <v>939</v>
      </c>
      <c r="F1322" s="3" t="s">
        <v>944</v>
      </c>
      <c r="G1322" s="4">
        <v>27</v>
      </c>
      <c r="H1322" s="12">
        <v>4442.712</v>
      </c>
      <c r="I1322" s="12">
        <v>-526.021794</v>
      </c>
      <c r="J1322" s="13">
        <v>-0.1184010563</v>
      </c>
      <c r="K1322" s="13">
        <v>-0.1184010563</v>
      </c>
      <c r="L1322" s="12">
        <v>24.1977777777</v>
      </c>
      <c r="M1322" s="13">
        <v>0.1496993642</v>
      </c>
      <c r="N1322" s="13">
        <v>0.1139581714</v>
      </c>
      <c r="O1322" s="13">
        <v>0.3100376526</v>
      </c>
      <c r="P1322" s="13">
        <v>0.114748829</v>
      </c>
      <c r="Q1322" s="13">
        <v>0.104125081</v>
      </c>
      <c r="R1322" s="13">
        <v>0.2065544063</v>
      </c>
      <c r="S1322" s="13">
        <v>0</v>
      </c>
      <c r="T1322" s="13">
        <v>0.1022132427</v>
      </c>
      <c r="U1322" s="13">
        <v>0.0154377497</v>
      </c>
      <c r="V1322" s="13">
        <v>0.0014540667</v>
      </c>
      <c r="W1322" s="13">
        <v>0</v>
      </c>
      <c r="X1322" s="13">
        <v>0</v>
      </c>
      <c r="Y1322" s="13">
        <v>0</v>
      </c>
      <c r="Z1322" s="13">
        <v>0.0001724921</v>
      </c>
    </row>
    <row r="1323" s="2" customFormat="1" hidden="1" spans="1:26">
      <c r="A1323" s="11" t="s">
        <v>935</v>
      </c>
      <c r="B1323" s="11" t="s">
        <v>937</v>
      </c>
      <c r="C1323" s="14" t="s">
        <v>580</v>
      </c>
      <c r="D1323" s="14" t="s">
        <v>938</v>
      </c>
      <c r="E1323" s="14" t="s">
        <v>939</v>
      </c>
      <c r="F1323" s="3" t="s">
        <v>945</v>
      </c>
      <c r="G1323" s="4">
        <v>2</v>
      </c>
      <c r="H1323" s="12">
        <v>339.864</v>
      </c>
      <c r="I1323" s="12">
        <v>68.548712</v>
      </c>
      <c r="J1323" s="13">
        <v>0.2016945366</v>
      </c>
      <c r="K1323" s="13">
        <v>0.2016945366</v>
      </c>
      <c r="L1323" s="12">
        <v>24.99</v>
      </c>
      <c r="M1323" s="13">
        <v>0.1505287997</v>
      </c>
      <c r="N1323" s="13">
        <v>0.114589577</v>
      </c>
      <c r="O1323" s="13">
        <v>0.3117246898</v>
      </c>
      <c r="P1323" s="13">
        <v>0</v>
      </c>
      <c r="Q1323" s="13">
        <v>0.0007632052</v>
      </c>
      <c r="R1323" s="13">
        <v>0.2296918767</v>
      </c>
      <c r="S1323" s="13">
        <v>0</v>
      </c>
      <c r="T1323" s="13">
        <v>0.1080432172</v>
      </c>
      <c r="U1323" s="13">
        <v>0.0155232857</v>
      </c>
      <c r="V1323" s="13">
        <v>0</v>
      </c>
      <c r="W1323" s="13">
        <v>-0.1325591883</v>
      </c>
      <c r="X1323" s="13">
        <v>0</v>
      </c>
      <c r="Y1323" s="13">
        <v>0</v>
      </c>
      <c r="Z1323" s="13">
        <v>0</v>
      </c>
    </row>
    <row r="1324" s="2" customFormat="1" hidden="1" spans="1:26">
      <c r="A1324" s="11" t="s">
        <v>935</v>
      </c>
      <c r="B1324" s="11" t="s">
        <v>937</v>
      </c>
      <c r="C1324" s="14" t="s">
        <v>585</v>
      </c>
      <c r="D1324" s="14" t="s">
        <v>938</v>
      </c>
      <c r="E1324" s="14" t="s">
        <v>939</v>
      </c>
      <c r="F1324" s="3" t="s">
        <v>936</v>
      </c>
      <c r="G1324" s="4">
        <v>28</v>
      </c>
      <c r="H1324" s="12">
        <v>4425.712</v>
      </c>
      <c r="I1324" s="12">
        <v>-14.517672</v>
      </c>
      <c r="J1324" s="13">
        <v>-0.003280302</v>
      </c>
      <c r="K1324" s="13">
        <v>-0.003280302</v>
      </c>
      <c r="L1324" s="12">
        <v>23.2442857142</v>
      </c>
      <c r="M1324" s="13">
        <v>0.1238501316</v>
      </c>
      <c r="N1324" s="13">
        <v>0.0974494594</v>
      </c>
      <c r="O1324" s="13">
        <v>0.3202015856</v>
      </c>
      <c r="P1324" s="13">
        <v>0</v>
      </c>
      <c r="Q1324" s="13">
        <v>0.0904405096</v>
      </c>
      <c r="R1324" s="13">
        <v>0.2634260757</v>
      </c>
      <c r="S1324" s="13">
        <v>0</v>
      </c>
      <c r="T1324" s="13">
        <v>0.1046032819</v>
      </c>
      <c r="U1324" s="13">
        <v>0.0127720457</v>
      </c>
      <c r="V1324" s="13">
        <v>-0.0096797984</v>
      </c>
      <c r="W1324" s="13">
        <v>0</v>
      </c>
      <c r="X1324" s="13">
        <v>0</v>
      </c>
      <c r="Y1324" s="13">
        <v>0</v>
      </c>
      <c r="Z1324" s="13">
        <v>0.0002170105</v>
      </c>
    </row>
    <row r="1325" s="2" customFormat="1" hidden="1" spans="1:26">
      <c r="A1325" s="11" t="s">
        <v>935</v>
      </c>
      <c r="B1325" s="11" t="s">
        <v>937</v>
      </c>
      <c r="C1325" s="14" t="s">
        <v>585</v>
      </c>
      <c r="D1325" s="14" t="s">
        <v>938</v>
      </c>
      <c r="E1325" s="14" t="s">
        <v>939</v>
      </c>
      <c r="F1325" s="3" t="s">
        <v>942</v>
      </c>
      <c r="G1325" s="4">
        <v>2</v>
      </c>
      <c r="H1325" s="12">
        <v>326.264</v>
      </c>
      <c r="I1325" s="12">
        <v>-218.161307</v>
      </c>
      <c r="J1325" s="13">
        <v>-0.6686649676</v>
      </c>
      <c r="K1325" s="13">
        <v>-0.6686649676</v>
      </c>
      <c r="L1325" s="12">
        <v>23.99</v>
      </c>
      <c r="M1325" s="13">
        <v>0.1221996726</v>
      </c>
      <c r="N1325" s="13">
        <v>0.0404908601</v>
      </c>
      <c r="O1325" s="13">
        <v>0.3042934556</v>
      </c>
      <c r="P1325" s="13">
        <v>0</v>
      </c>
      <c r="Q1325" s="13">
        <v>0.0060198796</v>
      </c>
      <c r="R1325" s="13">
        <v>1.169085581</v>
      </c>
      <c r="S1325" s="13">
        <v>0</v>
      </c>
      <c r="T1325" s="13">
        <v>0.0125052105</v>
      </c>
      <c r="U1325" s="13">
        <v>0.0126018439</v>
      </c>
      <c r="V1325" s="13">
        <v>0</v>
      </c>
      <c r="W1325" s="13">
        <v>0</v>
      </c>
      <c r="X1325" s="13">
        <v>0</v>
      </c>
      <c r="Y1325" s="13">
        <v>0</v>
      </c>
      <c r="Z1325" s="13">
        <v>0.0014684641</v>
      </c>
    </row>
    <row r="1326" s="2" customFormat="1" hidden="1" spans="1:26">
      <c r="A1326" s="11" t="s">
        <v>935</v>
      </c>
      <c r="B1326" s="11" t="s">
        <v>937</v>
      </c>
      <c r="C1326" s="14" t="s">
        <v>585</v>
      </c>
      <c r="D1326" s="14" t="s">
        <v>938</v>
      </c>
      <c r="E1326" s="14" t="s">
        <v>939</v>
      </c>
      <c r="F1326" s="3" t="s">
        <v>943</v>
      </c>
      <c r="G1326" s="4">
        <v>14</v>
      </c>
      <c r="H1326" s="12">
        <v>2141.864</v>
      </c>
      <c r="I1326" s="12">
        <v>185.226111</v>
      </c>
      <c r="J1326" s="13">
        <v>0.0864789319</v>
      </c>
      <c r="K1326" s="13">
        <v>0.0864789319</v>
      </c>
      <c r="L1326" s="12">
        <v>22.4985714285</v>
      </c>
      <c r="M1326" s="13">
        <v>0.1278085984</v>
      </c>
      <c r="N1326" s="13">
        <v>0.1217971318</v>
      </c>
      <c r="O1326" s="13">
        <v>0.3310686392</v>
      </c>
      <c r="P1326" s="13">
        <v>0</v>
      </c>
      <c r="Q1326" s="13">
        <v>0.0352123818</v>
      </c>
      <c r="R1326" s="13">
        <v>0.1715730368</v>
      </c>
      <c r="S1326" s="13">
        <v>0</v>
      </c>
      <c r="T1326" s="13">
        <v>0.1128008127</v>
      </c>
      <c r="U1326" s="13">
        <v>0.0131802616</v>
      </c>
      <c r="V1326" s="13">
        <v>0</v>
      </c>
      <c r="W1326" s="13">
        <v>0</v>
      </c>
      <c r="X1326" s="13">
        <v>0</v>
      </c>
      <c r="Y1326" s="13">
        <v>0</v>
      </c>
      <c r="Z1326" s="13">
        <v>8.02053e-5</v>
      </c>
    </row>
    <row r="1327" s="2" customFormat="1" spans="1:26">
      <c r="A1327" s="11" t="s">
        <v>935</v>
      </c>
      <c r="B1327" s="11" t="s">
        <v>937</v>
      </c>
      <c r="C1327" s="14" t="s">
        <v>585</v>
      </c>
      <c r="D1327" s="14" t="s">
        <v>938</v>
      </c>
      <c r="E1327" s="14" t="s">
        <v>939</v>
      </c>
      <c r="F1327" s="3" t="s">
        <v>944</v>
      </c>
      <c r="G1327" s="4">
        <v>11</v>
      </c>
      <c r="H1327" s="12">
        <v>1794.452</v>
      </c>
      <c r="I1327" s="12">
        <v>-25.272458</v>
      </c>
      <c r="J1327" s="13">
        <v>-0.0140836634</v>
      </c>
      <c r="K1327" s="13">
        <v>-0.0140836634</v>
      </c>
      <c r="L1327" s="12">
        <v>23.99</v>
      </c>
      <c r="M1327" s="13">
        <v>0.1197941053</v>
      </c>
      <c r="N1327" s="13">
        <v>0.0803028835</v>
      </c>
      <c r="O1327" s="13">
        <v>0.3109629012</v>
      </c>
      <c r="P1327" s="13">
        <v>0</v>
      </c>
      <c r="Q1327" s="13">
        <v>0.1798626795</v>
      </c>
      <c r="R1327" s="13">
        <v>0.2232499369</v>
      </c>
      <c r="S1327" s="13">
        <v>0</v>
      </c>
      <c r="T1327" s="13">
        <v>0.1112584789</v>
      </c>
      <c r="U1327" s="13">
        <v>0.0123537687</v>
      </c>
      <c r="V1327" s="13">
        <v>-0.0238735836</v>
      </c>
      <c r="W1327" s="13">
        <v>0</v>
      </c>
      <c r="X1327" s="13">
        <v>0</v>
      </c>
      <c r="Y1327" s="13">
        <v>0</v>
      </c>
      <c r="Z1327" s="13">
        <v>0.0001724927</v>
      </c>
    </row>
    <row r="1328" s="2" customFormat="1" hidden="1" spans="1:26">
      <c r="A1328" s="11" t="s">
        <v>935</v>
      </c>
      <c r="B1328" s="11" t="s">
        <v>937</v>
      </c>
      <c r="C1328" s="14" t="s">
        <v>585</v>
      </c>
      <c r="D1328" s="14" t="s">
        <v>938</v>
      </c>
      <c r="E1328" s="14" t="s">
        <v>939</v>
      </c>
      <c r="F1328" s="3" t="s">
        <v>945</v>
      </c>
      <c r="G1328" s="4">
        <v>1</v>
      </c>
      <c r="H1328" s="12">
        <v>163.132</v>
      </c>
      <c r="I1328" s="12">
        <v>43.689982</v>
      </c>
      <c r="J1328" s="13">
        <v>0.2678198146</v>
      </c>
      <c r="K1328" s="13">
        <v>0.2678198146</v>
      </c>
      <c r="L1328" s="12">
        <v>23.99</v>
      </c>
      <c r="M1328" s="13">
        <v>0.1197941053</v>
      </c>
      <c r="N1328" s="13">
        <v>0.0803028835</v>
      </c>
      <c r="O1328" s="13">
        <v>0.3109629012</v>
      </c>
      <c r="P1328" s="13">
        <v>0</v>
      </c>
      <c r="Q1328" s="13">
        <v>0.0007631917</v>
      </c>
      <c r="R1328" s="13">
        <v>0.100041684</v>
      </c>
      <c r="S1328" s="13">
        <v>0</v>
      </c>
      <c r="T1328" s="13">
        <v>0.1079616506</v>
      </c>
      <c r="U1328" s="13">
        <v>0.0123537687</v>
      </c>
      <c r="V1328" s="13">
        <v>0</v>
      </c>
      <c r="W1328" s="13">
        <v>0</v>
      </c>
      <c r="X1328" s="13">
        <v>0</v>
      </c>
      <c r="Y1328" s="13">
        <v>0</v>
      </c>
      <c r="Z1328" s="13">
        <v>0</v>
      </c>
    </row>
    <row r="1329" s="2" customFormat="1" hidden="1" spans="1:26">
      <c r="A1329" s="11" t="s">
        <v>935</v>
      </c>
      <c r="B1329" s="11" t="s">
        <v>937</v>
      </c>
      <c r="C1329" s="14" t="s">
        <v>590</v>
      </c>
      <c r="D1329" s="14" t="s">
        <v>938</v>
      </c>
      <c r="E1329" s="14" t="s">
        <v>939</v>
      </c>
      <c r="F1329" s="3" t="s">
        <v>936</v>
      </c>
      <c r="G1329" s="4">
        <v>143</v>
      </c>
      <c r="H1329" s="12">
        <v>23255.524</v>
      </c>
      <c r="I1329" s="12">
        <v>4257.755823</v>
      </c>
      <c r="J1329" s="13">
        <v>0.1830857831</v>
      </c>
      <c r="K1329" s="13">
        <v>0.1830857831</v>
      </c>
      <c r="L1329" s="12">
        <v>23.9155944055</v>
      </c>
      <c r="M1329" s="13">
        <v>0.1497864751</v>
      </c>
      <c r="N1329" s="13">
        <v>0.0739298919</v>
      </c>
      <c r="O1329" s="13">
        <v>0.3078834946</v>
      </c>
      <c r="P1329" s="13">
        <v>0.0070147634</v>
      </c>
      <c r="Q1329" s="13">
        <v>0.0230650555</v>
      </c>
      <c r="R1329" s="13">
        <v>0.1293105468</v>
      </c>
      <c r="S1329" s="13">
        <v>0</v>
      </c>
      <c r="T1329" s="13">
        <v>0.1103209714</v>
      </c>
      <c r="U1329" s="13">
        <v>0.0154467306</v>
      </c>
      <c r="V1329" s="13">
        <v>0</v>
      </c>
      <c r="W1329" s="13">
        <v>0</v>
      </c>
      <c r="X1329" s="13">
        <v>0</v>
      </c>
      <c r="Y1329" s="13">
        <v>0</v>
      </c>
      <c r="Z1329" s="13">
        <v>0.000156287</v>
      </c>
    </row>
    <row r="1330" s="2" customFormat="1" hidden="1" spans="1:26">
      <c r="A1330" s="11" t="s">
        <v>935</v>
      </c>
      <c r="B1330" s="11" t="s">
        <v>937</v>
      </c>
      <c r="C1330" s="14" t="s">
        <v>590</v>
      </c>
      <c r="D1330" s="14" t="s">
        <v>938</v>
      </c>
      <c r="E1330" s="14" t="s">
        <v>939</v>
      </c>
      <c r="F1330" s="3" t="s">
        <v>942</v>
      </c>
      <c r="G1330" s="4">
        <v>2</v>
      </c>
      <c r="H1330" s="12">
        <v>326.264</v>
      </c>
      <c r="I1330" s="12">
        <v>41.254558</v>
      </c>
      <c r="J1330" s="13">
        <v>0.1264453264</v>
      </c>
      <c r="K1330" s="13">
        <v>0.1264453264</v>
      </c>
      <c r="L1330" s="12">
        <v>23.99</v>
      </c>
      <c r="M1330" s="13">
        <v>0.1494374616</v>
      </c>
      <c r="N1330" s="13">
        <v>0.0396434114</v>
      </c>
      <c r="O1330" s="13">
        <v>0.2876198416</v>
      </c>
      <c r="P1330" s="13">
        <v>0</v>
      </c>
      <c r="Q1330" s="13">
        <v>0.0060198765</v>
      </c>
      <c r="R1330" s="13">
        <v>0.2659932263</v>
      </c>
      <c r="S1330" s="13">
        <v>0</v>
      </c>
      <c r="T1330" s="13">
        <v>0.1079616506</v>
      </c>
      <c r="U1330" s="13">
        <v>0.0154107409</v>
      </c>
      <c r="V1330" s="13">
        <v>0</v>
      </c>
      <c r="W1330" s="13">
        <v>0</v>
      </c>
      <c r="X1330" s="13">
        <v>0</v>
      </c>
      <c r="Y1330" s="13">
        <v>0</v>
      </c>
      <c r="Z1330" s="13">
        <v>0.0014684641</v>
      </c>
    </row>
    <row r="1331" s="2" customFormat="1" hidden="1" spans="1:26">
      <c r="A1331" s="11" t="s">
        <v>935</v>
      </c>
      <c r="B1331" s="11" t="s">
        <v>937</v>
      </c>
      <c r="C1331" s="14" t="s">
        <v>590</v>
      </c>
      <c r="D1331" s="14" t="s">
        <v>938</v>
      </c>
      <c r="E1331" s="14" t="s">
        <v>939</v>
      </c>
      <c r="F1331" s="3" t="s">
        <v>943</v>
      </c>
      <c r="G1331" s="4">
        <v>33</v>
      </c>
      <c r="H1331" s="12">
        <v>5311.004</v>
      </c>
      <c r="I1331" s="12">
        <v>864.304607</v>
      </c>
      <c r="J1331" s="13">
        <v>0.162738459</v>
      </c>
      <c r="K1331" s="13">
        <v>0.162738459</v>
      </c>
      <c r="L1331" s="12">
        <v>23.6675757575</v>
      </c>
      <c r="M1331" s="13">
        <v>0.1514055511</v>
      </c>
      <c r="N1331" s="13">
        <v>0.0717872052</v>
      </c>
      <c r="O1331" s="13">
        <v>0.309975289</v>
      </c>
      <c r="P1331" s="13">
        <v>0</v>
      </c>
      <c r="Q1331" s="13">
        <v>0.0157369463</v>
      </c>
      <c r="R1331" s="13">
        <v>0.1644209659</v>
      </c>
      <c r="S1331" s="13">
        <v>0</v>
      </c>
      <c r="T1331" s="13">
        <v>0.1082416808</v>
      </c>
      <c r="U1331" s="13">
        <v>0.015613698</v>
      </c>
      <c r="V1331" s="13">
        <v>0</v>
      </c>
      <c r="W1331" s="13">
        <v>0</v>
      </c>
      <c r="X1331" s="13">
        <v>0</v>
      </c>
      <c r="Y1331" s="13">
        <v>0</v>
      </c>
      <c r="Z1331" s="13">
        <v>8.02042e-5</v>
      </c>
    </row>
    <row r="1332" s="2" customFormat="1" spans="1:26">
      <c r="A1332" s="11" t="s">
        <v>935</v>
      </c>
      <c r="B1332" s="11" t="s">
        <v>937</v>
      </c>
      <c r="C1332" s="14" t="s">
        <v>590</v>
      </c>
      <c r="D1332" s="14" t="s">
        <v>938</v>
      </c>
      <c r="E1332" s="14" t="s">
        <v>939</v>
      </c>
      <c r="F1332" s="3" t="s">
        <v>944</v>
      </c>
      <c r="G1332" s="4">
        <v>97</v>
      </c>
      <c r="H1332" s="12">
        <v>15823.804</v>
      </c>
      <c r="I1332" s="12">
        <v>3066.745952</v>
      </c>
      <c r="J1332" s="13">
        <v>0.1938058605</v>
      </c>
      <c r="K1332" s="13">
        <v>0.1938058605</v>
      </c>
      <c r="L1332" s="12">
        <v>23.99</v>
      </c>
      <c r="M1332" s="13">
        <v>0.1493048696</v>
      </c>
      <c r="N1332" s="13">
        <v>0.0752107373</v>
      </c>
      <c r="O1332" s="13">
        <v>0.3076281784</v>
      </c>
      <c r="P1332" s="13">
        <v>0</v>
      </c>
      <c r="Q1332" s="13">
        <v>0.0284051406</v>
      </c>
      <c r="R1332" s="13">
        <v>0.1180014682</v>
      </c>
      <c r="S1332" s="13">
        <v>0</v>
      </c>
      <c r="T1332" s="13">
        <v>0.1120741889</v>
      </c>
      <c r="U1332" s="13">
        <v>0.0153970649</v>
      </c>
      <c r="V1332" s="13">
        <v>0</v>
      </c>
      <c r="W1332" s="13">
        <v>0</v>
      </c>
      <c r="X1332" s="13">
        <v>0</v>
      </c>
      <c r="Y1332" s="13">
        <v>0</v>
      </c>
      <c r="Z1332" s="13">
        <v>0.0001724911</v>
      </c>
    </row>
    <row r="1333" s="2" customFormat="1" hidden="1" spans="1:26">
      <c r="A1333" s="11" t="s">
        <v>935</v>
      </c>
      <c r="B1333" s="11" t="s">
        <v>937</v>
      </c>
      <c r="C1333" s="14" t="s">
        <v>590</v>
      </c>
      <c r="D1333" s="14" t="s">
        <v>938</v>
      </c>
      <c r="E1333" s="14" t="s">
        <v>939</v>
      </c>
      <c r="F1333" s="3" t="s">
        <v>945</v>
      </c>
      <c r="G1333" s="4">
        <v>11</v>
      </c>
      <c r="H1333" s="12">
        <v>1794.452</v>
      </c>
      <c r="I1333" s="12">
        <v>285.450706</v>
      </c>
      <c r="J1333" s="13">
        <v>0.159074027</v>
      </c>
      <c r="K1333" s="13">
        <v>0.159074027</v>
      </c>
      <c r="L1333" s="12">
        <v>23.99</v>
      </c>
      <c r="M1333" s="13">
        <v>0.1493048696</v>
      </c>
      <c r="N1333" s="13">
        <v>0.0752107373</v>
      </c>
      <c r="O1333" s="13">
        <v>0.3076281784</v>
      </c>
      <c r="P1333" s="13">
        <v>0.0909090909</v>
      </c>
      <c r="Q1333" s="13">
        <v>0.0007631967</v>
      </c>
      <c r="R1333" s="13">
        <v>0.1002690514</v>
      </c>
      <c r="S1333" s="13">
        <v>0</v>
      </c>
      <c r="T1333" s="13">
        <v>0.1014437833</v>
      </c>
      <c r="U1333" s="13">
        <v>0.0153970649</v>
      </c>
      <c r="V1333" s="13">
        <v>0</v>
      </c>
      <c r="W1333" s="13">
        <v>0</v>
      </c>
      <c r="X1333" s="13">
        <v>0</v>
      </c>
      <c r="Y1333" s="13">
        <v>0</v>
      </c>
      <c r="Z1333" s="13">
        <v>0</v>
      </c>
    </row>
    <row r="1334" s="2" customFormat="1" hidden="1" spans="1:26">
      <c r="A1334" s="11" t="s">
        <v>935</v>
      </c>
      <c r="B1334" s="11" t="s">
        <v>937</v>
      </c>
      <c r="C1334" s="14" t="s">
        <v>595</v>
      </c>
      <c r="D1334" s="14" t="s">
        <v>938</v>
      </c>
      <c r="E1334" s="14" t="s">
        <v>939</v>
      </c>
      <c r="F1334" s="3" t="s">
        <v>936</v>
      </c>
      <c r="G1334" s="4">
        <v>59</v>
      </c>
      <c r="H1334" s="12">
        <v>9250.04</v>
      </c>
      <c r="I1334" s="12">
        <v>-227.334077</v>
      </c>
      <c r="J1334" s="13">
        <v>-0.0245765506</v>
      </c>
      <c r="K1334" s="13">
        <v>-0.0245765506</v>
      </c>
      <c r="L1334" s="12">
        <v>23.0559322033</v>
      </c>
      <c r="M1334" s="13">
        <v>0.1560828402</v>
      </c>
      <c r="N1334" s="13">
        <v>0.0796686425</v>
      </c>
      <c r="O1334" s="13">
        <v>0.3314857016</v>
      </c>
      <c r="P1334" s="13">
        <v>0.0352716312</v>
      </c>
      <c r="Q1334" s="13">
        <v>0.0559093119</v>
      </c>
      <c r="R1334" s="13">
        <v>0.2465027752</v>
      </c>
      <c r="S1334" s="13">
        <v>0</v>
      </c>
      <c r="T1334" s="13">
        <v>0.1069616996</v>
      </c>
      <c r="U1334" s="13">
        <v>0.0160960449</v>
      </c>
      <c r="V1334" s="13">
        <v>0.0004998897</v>
      </c>
      <c r="W1334" s="13">
        <v>-0.0040444528</v>
      </c>
      <c r="X1334" s="13">
        <v>0</v>
      </c>
      <c r="Y1334" s="13">
        <v>0</v>
      </c>
      <c r="Z1334" s="13">
        <v>0.0001424663</v>
      </c>
    </row>
    <row r="1335" s="2" customFormat="1" hidden="1" spans="1:26">
      <c r="A1335" s="11" t="s">
        <v>935</v>
      </c>
      <c r="B1335" s="11" t="s">
        <v>937</v>
      </c>
      <c r="C1335" s="14" t="s">
        <v>595</v>
      </c>
      <c r="D1335" s="14" t="s">
        <v>938</v>
      </c>
      <c r="E1335" s="14" t="s">
        <v>939</v>
      </c>
      <c r="F1335" s="3" t="s">
        <v>942</v>
      </c>
      <c r="G1335" s="4">
        <v>0</v>
      </c>
      <c r="H1335" s="12">
        <v>0</v>
      </c>
      <c r="I1335" s="12">
        <v>-6.203319</v>
      </c>
      <c r="J1335" s="13"/>
      <c r="K1335" s="13"/>
      <c r="L1335" s="12"/>
      <c r="M1335" s="13"/>
      <c r="N1335" s="13"/>
      <c r="O1335" s="13"/>
      <c r="P1335" s="13"/>
      <c r="Q1335" s="13"/>
      <c r="R1335" s="13"/>
      <c r="S1335" s="13"/>
      <c r="T1335" s="13"/>
      <c r="U1335" s="13"/>
      <c r="V1335" s="13"/>
      <c r="W1335" s="13"/>
      <c r="X1335" s="13"/>
      <c r="Y1335" s="13"/>
      <c r="Z1335" s="13"/>
    </row>
    <row r="1336" s="2" customFormat="1" hidden="1" spans="1:26">
      <c r="A1336" s="11" t="s">
        <v>935</v>
      </c>
      <c r="B1336" s="11" t="s">
        <v>937</v>
      </c>
      <c r="C1336" s="14" t="s">
        <v>595</v>
      </c>
      <c r="D1336" s="14" t="s">
        <v>938</v>
      </c>
      <c r="E1336" s="14" t="s">
        <v>939</v>
      </c>
      <c r="F1336" s="3" t="s">
        <v>943</v>
      </c>
      <c r="G1336" s="4">
        <v>16</v>
      </c>
      <c r="H1336" s="12">
        <v>2399.584</v>
      </c>
      <c r="I1336" s="12">
        <v>-104.382758</v>
      </c>
      <c r="J1336" s="13">
        <v>-0.0435003558</v>
      </c>
      <c r="K1336" s="13">
        <v>-0.0435003558</v>
      </c>
      <c r="L1336" s="12">
        <v>22.055</v>
      </c>
      <c r="M1336" s="13">
        <v>0.1660154026</v>
      </c>
      <c r="N1336" s="13">
        <v>0.0879594129</v>
      </c>
      <c r="O1336" s="13">
        <v>0.3506574472</v>
      </c>
      <c r="P1336" s="13">
        <v>0</v>
      </c>
      <c r="Q1336" s="13">
        <v>0.0349476413</v>
      </c>
      <c r="R1336" s="13">
        <v>0.2818117235</v>
      </c>
      <c r="S1336" s="13">
        <v>0</v>
      </c>
      <c r="T1336" s="13">
        <v>0.104908184</v>
      </c>
      <c r="U1336" s="13">
        <v>0.0171203408</v>
      </c>
      <c r="V1336" s="13">
        <v>0</v>
      </c>
      <c r="W1336" s="13">
        <v>0</v>
      </c>
      <c r="X1336" s="13">
        <v>0</v>
      </c>
      <c r="Y1336" s="13">
        <v>0</v>
      </c>
      <c r="Z1336" s="13">
        <v>8.0203e-5</v>
      </c>
    </row>
    <row r="1337" s="2" customFormat="1" spans="1:26">
      <c r="A1337" s="11" t="s">
        <v>935</v>
      </c>
      <c r="B1337" s="11" t="s">
        <v>937</v>
      </c>
      <c r="C1337" s="14" t="s">
        <v>595</v>
      </c>
      <c r="D1337" s="14" t="s">
        <v>938</v>
      </c>
      <c r="E1337" s="14" t="s">
        <v>939</v>
      </c>
      <c r="F1337" s="3" t="s">
        <v>944</v>
      </c>
      <c r="G1337" s="4">
        <v>41</v>
      </c>
      <c r="H1337" s="12">
        <v>6524.192</v>
      </c>
      <c r="I1337" s="12">
        <v>-84.414612</v>
      </c>
      <c r="J1337" s="13">
        <v>-0.0129387075</v>
      </c>
      <c r="K1337" s="13">
        <v>-0.0129387075</v>
      </c>
      <c r="L1337" s="12">
        <v>23.4009756097</v>
      </c>
      <c r="M1337" s="13">
        <v>0.152604865</v>
      </c>
      <c r="N1337" s="13">
        <v>0.0767651534</v>
      </c>
      <c r="O1337" s="13">
        <v>0.3247727841</v>
      </c>
      <c r="P1337" s="13">
        <v>0.0500083381</v>
      </c>
      <c r="Q1337" s="13">
        <v>0.0663767358</v>
      </c>
      <c r="R1337" s="13">
        <v>0.2239220287</v>
      </c>
      <c r="S1337" s="13">
        <v>0</v>
      </c>
      <c r="T1337" s="13">
        <v>0.1076044359</v>
      </c>
      <c r="U1337" s="13">
        <v>0.0157373786</v>
      </c>
      <c r="V1337" s="13">
        <v>0.0007087467</v>
      </c>
      <c r="W1337" s="13">
        <v>-0.0057342504</v>
      </c>
      <c r="X1337" s="13">
        <v>0</v>
      </c>
      <c r="Y1337" s="13">
        <v>0</v>
      </c>
      <c r="Z1337" s="13">
        <v>0.000172491</v>
      </c>
    </row>
    <row r="1338" s="2" customFormat="1" hidden="1" spans="1:26">
      <c r="A1338" s="11" t="s">
        <v>935</v>
      </c>
      <c r="B1338" s="11" t="s">
        <v>937</v>
      </c>
      <c r="C1338" s="14" t="s">
        <v>595</v>
      </c>
      <c r="D1338" s="14" t="s">
        <v>938</v>
      </c>
      <c r="E1338" s="14" t="s">
        <v>939</v>
      </c>
      <c r="F1338" s="3" t="s">
        <v>945</v>
      </c>
      <c r="G1338" s="4">
        <v>2</v>
      </c>
      <c r="H1338" s="12">
        <v>326.264</v>
      </c>
      <c r="I1338" s="12">
        <v>-32.333388</v>
      </c>
      <c r="J1338" s="13">
        <v>-0.0991019174</v>
      </c>
      <c r="K1338" s="13">
        <v>-0.0991019174</v>
      </c>
      <c r="L1338" s="12">
        <v>23.99</v>
      </c>
      <c r="M1338" s="13">
        <v>0.1525794203</v>
      </c>
      <c r="N1338" s="13">
        <v>0.0767523539</v>
      </c>
      <c r="O1338" s="13">
        <v>0.3247186327</v>
      </c>
      <c r="P1338" s="13">
        <v>0</v>
      </c>
      <c r="Q1338" s="13">
        <v>0.0007631917</v>
      </c>
      <c r="R1338" s="13">
        <v>0.4193413922</v>
      </c>
      <c r="S1338" s="13">
        <v>0</v>
      </c>
      <c r="T1338" s="13">
        <v>0.1092121717</v>
      </c>
      <c r="U1338" s="13">
        <v>0.0157347546</v>
      </c>
      <c r="V1338" s="13">
        <v>0</v>
      </c>
      <c r="W1338" s="13">
        <v>0</v>
      </c>
      <c r="X1338" s="13">
        <v>0</v>
      </c>
      <c r="Y1338" s="13">
        <v>0</v>
      </c>
      <c r="Z1338" s="13">
        <v>0</v>
      </c>
    </row>
    <row r="1339" s="2" customFormat="1" hidden="1" spans="1:26">
      <c r="A1339" s="11" t="s">
        <v>935</v>
      </c>
      <c r="B1339" s="11" t="s">
        <v>937</v>
      </c>
      <c r="C1339" s="14" t="s">
        <v>600</v>
      </c>
      <c r="D1339" s="14" t="s">
        <v>938</v>
      </c>
      <c r="E1339" s="14" t="s">
        <v>939</v>
      </c>
      <c r="F1339" s="3" t="s">
        <v>936</v>
      </c>
      <c r="G1339" s="4">
        <v>36</v>
      </c>
      <c r="H1339" s="12">
        <v>6124.352</v>
      </c>
      <c r="I1339" s="12">
        <v>-670.460007</v>
      </c>
      <c r="J1339" s="13">
        <v>-0.1094744402</v>
      </c>
      <c r="K1339" s="13">
        <v>-0.1094744402</v>
      </c>
      <c r="L1339" s="12">
        <v>25.0177777777</v>
      </c>
      <c r="M1339" s="13">
        <v>0.1429222363</v>
      </c>
      <c r="N1339" s="13">
        <v>0.0712036675</v>
      </c>
      <c r="O1339" s="13">
        <v>0.3173410019</v>
      </c>
      <c r="P1339" s="13">
        <v>0.0266366139</v>
      </c>
      <c r="Q1339" s="13">
        <v>0.1470835224</v>
      </c>
      <c r="R1339" s="13">
        <v>0.2923428558</v>
      </c>
      <c r="S1339" s="13">
        <v>0</v>
      </c>
      <c r="T1339" s="13">
        <v>0.1031266654</v>
      </c>
      <c r="U1339" s="13">
        <v>0.0147388569</v>
      </c>
      <c r="V1339" s="13">
        <v>0</v>
      </c>
      <c r="W1339" s="13">
        <v>-0.0065589557</v>
      </c>
      <c r="X1339" s="13">
        <v>0</v>
      </c>
      <c r="Y1339" s="13">
        <v>0</v>
      </c>
      <c r="Z1339" s="13">
        <v>0.0006379754</v>
      </c>
    </row>
    <row r="1340" s="2" customFormat="1" hidden="1" spans="1:26">
      <c r="A1340" s="11" t="s">
        <v>935</v>
      </c>
      <c r="B1340" s="11" t="s">
        <v>937</v>
      </c>
      <c r="C1340" s="14" t="s">
        <v>600</v>
      </c>
      <c r="D1340" s="14" t="s">
        <v>938</v>
      </c>
      <c r="E1340" s="14" t="s">
        <v>939</v>
      </c>
      <c r="F1340" s="3" t="s">
        <v>941</v>
      </c>
      <c r="G1340" s="4">
        <v>4</v>
      </c>
      <c r="H1340" s="12">
        <v>679.728</v>
      </c>
      <c r="I1340" s="12">
        <v>-141.806482</v>
      </c>
      <c r="J1340" s="13">
        <v>-0.208622393</v>
      </c>
      <c r="K1340" s="13">
        <v>-0.208622393</v>
      </c>
      <c r="L1340" s="12">
        <v>24.99</v>
      </c>
      <c r="M1340" s="13">
        <v>0.1452846668</v>
      </c>
      <c r="N1340" s="13">
        <v>0.0575580232</v>
      </c>
      <c r="O1340" s="13">
        <v>0.3110244097</v>
      </c>
      <c r="P1340" s="13">
        <v>0</v>
      </c>
      <c r="Q1340" s="13">
        <v>0.004458551</v>
      </c>
      <c r="R1340" s="13">
        <v>0.6144226043</v>
      </c>
      <c r="S1340" s="13">
        <v>0</v>
      </c>
      <c r="T1340" s="13">
        <v>0.0600240096</v>
      </c>
      <c r="U1340" s="13">
        <v>0.0149824812</v>
      </c>
      <c r="V1340" s="13">
        <v>0</v>
      </c>
      <c r="W1340" s="13">
        <v>0</v>
      </c>
      <c r="X1340" s="13">
        <v>0</v>
      </c>
      <c r="Y1340" s="13">
        <v>0</v>
      </c>
      <c r="Z1340" s="13">
        <v>0.000867647</v>
      </c>
    </row>
    <row r="1341" s="2" customFormat="1" hidden="1" spans="1:26">
      <c r="A1341" s="11" t="s">
        <v>935</v>
      </c>
      <c r="B1341" s="11" t="s">
        <v>937</v>
      </c>
      <c r="C1341" s="14" t="s">
        <v>600</v>
      </c>
      <c r="D1341" s="14" t="s">
        <v>938</v>
      </c>
      <c r="E1341" s="14" t="s">
        <v>939</v>
      </c>
      <c r="F1341" s="3" t="s">
        <v>942</v>
      </c>
      <c r="G1341" s="4">
        <v>12</v>
      </c>
      <c r="H1341" s="12">
        <v>1977.984</v>
      </c>
      <c r="I1341" s="12">
        <v>78.581276</v>
      </c>
      <c r="J1341" s="13">
        <v>0.0397279634</v>
      </c>
      <c r="K1341" s="13">
        <v>0.0397279634</v>
      </c>
      <c r="L1341" s="12">
        <v>24.24</v>
      </c>
      <c r="M1341" s="13">
        <v>0.1497798607</v>
      </c>
      <c r="N1341" s="13">
        <v>0.0593389026</v>
      </c>
      <c r="O1341" s="13">
        <v>0.3283828382</v>
      </c>
      <c r="P1341" s="13">
        <v>0</v>
      </c>
      <c r="Q1341" s="13">
        <v>0.0870856392</v>
      </c>
      <c r="R1341" s="13">
        <v>0.209790621</v>
      </c>
      <c r="S1341" s="13">
        <v>0</v>
      </c>
      <c r="T1341" s="13">
        <v>0.1089796479</v>
      </c>
      <c r="U1341" s="13">
        <v>0.015446048</v>
      </c>
      <c r="V1341" s="13">
        <v>0</v>
      </c>
      <c r="W1341" s="13">
        <v>0</v>
      </c>
      <c r="X1341" s="13">
        <v>0</v>
      </c>
      <c r="Y1341" s="13">
        <v>0</v>
      </c>
      <c r="Z1341" s="13">
        <v>0.0014684785</v>
      </c>
    </row>
    <row r="1342" s="2" customFormat="1" hidden="1" spans="1:26">
      <c r="A1342" s="11" t="s">
        <v>935</v>
      </c>
      <c r="B1342" s="11" t="s">
        <v>937</v>
      </c>
      <c r="C1342" s="14" t="s">
        <v>600</v>
      </c>
      <c r="D1342" s="14" t="s">
        <v>938</v>
      </c>
      <c r="E1342" s="14" t="s">
        <v>939</v>
      </c>
      <c r="F1342" s="3" t="s">
        <v>943</v>
      </c>
      <c r="G1342" s="4">
        <v>8</v>
      </c>
      <c r="H1342" s="12">
        <v>1345.856</v>
      </c>
      <c r="I1342" s="12">
        <v>-217.217381</v>
      </c>
      <c r="J1342" s="13">
        <v>-0.1613971933</v>
      </c>
      <c r="K1342" s="13">
        <v>-0.1613971933</v>
      </c>
      <c r="L1342" s="12">
        <v>24.74</v>
      </c>
      <c r="M1342" s="13">
        <v>0.1427462848</v>
      </c>
      <c r="N1342" s="13">
        <v>0.063693881</v>
      </c>
      <c r="O1342" s="13">
        <v>0.32174616</v>
      </c>
      <c r="P1342" s="13">
        <v>0.1212105901</v>
      </c>
      <c r="Q1342" s="13">
        <v>0.1723984192</v>
      </c>
      <c r="R1342" s="13">
        <v>0.224204735</v>
      </c>
      <c r="S1342" s="13">
        <v>0</v>
      </c>
      <c r="T1342" s="13">
        <v>0.1005962004</v>
      </c>
      <c r="U1342" s="13">
        <v>0.014720713</v>
      </c>
      <c r="V1342" s="13">
        <v>0</v>
      </c>
      <c r="W1342" s="13">
        <v>0</v>
      </c>
      <c r="X1342" s="13">
        <v>0</v>
      </c>
      <c r="Y1342" s="13">
        <v>0</v>
      </c>
      <c r="Z1342" s="13">
        <v>8.02091e-5</v>
      </c>
    </row>
    <row r="1343" s="2" customFormat="1" spans="1:26">
      <c r="A1343" s="11" t="s">
        <v>935</v>
      </c>
      <c r="B1343" s="11" t="s">
        <v>937</v>
      </c>
      <c r="C1343" s="14" t="s">
        <v>600</v>
      </c>
      <c r="D1343" s="14" t="s">
        <v>938</v>
      </c>
      <c r="E1343" s="14" t="s">
        <v>939</v>
      </c>
      <c r="F1343" s="3" t="s">
        <v>944</v>
      </c>
      <c r="G1343" s="4">
        <v>10</v>
      </c>
      <c r="H1343" s="12">
        <v>1767.32</v>
      </c>
      <c r="I1343" s="12">
        <v>-412.099959</v>
      </c>
      <c r="J1343" s="13">
        <v>-0.2331778959</v>
      </c>
      <c r="K1343" s="13">
        <v>-0.2331778959</v>
      </c>
      <c r="L1343" s="12">
        <v>25.99</v>
      </c>
      <c r="M1343" s="13">
        <v>0.1358808421</v>
      </c>
      <c r="N1343" s="13">
        <v>0.0914088054</v>
      </c>
      <c r="O1343" s="13">
        <v>0.3062716429</v>
      </c>
      <c r="P1343" s="13">
        <v>0</v>
      </c>
      <c r="Q1343" s="13">
        <v>0.2790742208</v>
      </c>
      <c r="R1343" s="13">
        <v>0.3150038056</v>
      </c>
      <c r="S1343" s="13">
        <v>0</v>
      </c>
      <c r="T1343" s="13">
        <v>0.1140823393</v>
      </c>
      <c r="U1343" s="13">
        <v>0.0140127141</v>
      </c>
      <c r="V1343" s="13">
        <v>0</v>
      </c>
      <c r="W1343" s="13">
        <v>-0.0227289647</v>
      </c>
      <c r="X1343" s="13">
        <v>0</v>
      </c>
      <c r="Y1343" s="13">
        <v>0</v>
      </c>
      <c r="Z1343" s="13">
        <v>0.0001724899</v>
      </c>
    </row>
    <row r="1344" s="2" customFormat="1" hidden="1" spans="1:26">
      <c r="A1344" s="11" t="s">
        <v>935</v>
      </c>
      <c r="B1344" s="11" t="s">
        <v>937</v>
      </c>
      <c r="C1344" s="14" t="s">
        <v>600</v>
      </c>
      <c r="D1344" s="14" t="s">
        <v>938</v>
      </c>
      <c r="E1344" s="14" t="s">
        <v>939</v>
      </c>
      <c r="F1344" s="3" t="s">
        <v>945</v>
      </c>
      <c r="G1344" s="4">
        <v>2</v>
      </c>
      <c r="H1344" s="12">
        <v>353.464</v>
      </c>
      <c r="I1344" s="12">
        <v>22.082539</v>
      </c>
      <c r="J1344" s="13">
        <v>0.062474648</v>
      </c>
      <c r="K1344" s="13">
        <v>0.062474648</v>
      </c>
      <c r="L1344" s="12">
        <v>25.99</v>
      </c>
      <c r="M1344" s="13">
        <v>0.1358808421</v>
      </c>
      <c r="N1344" s="13">
        <v>0.0914088054</v>
      </c>
      <c r="O1344" s="13">
        <v>0.3062716429</v>
      </c>
      <c r="P1344" s="13">
        <v>0</v>
      </c>
      <c r="Q1344" s="13">
        <v>0.0007631979</v>
      </c>
      <c r="R1344" s="13">
        <v>0.2810696421</v>
      </c>
      <c r="S1344" s="13">
        <v>0</v>
      </c>
      <c r="T1344" s="13">
        <v>0.1081185071</v>
      </c>
      <c r="U1344" s="13">
        <v>0.0140127141</v>
      </c>
      <c r="V1344" s="13">
        <v>0</v>
      </c>
      <c r="W1344" s="13">
        <v>0</v>
      </c>
      <c r="X1344" s="13">
        <v>0</v>
      </c>
      <c r="Y1344" s="13">
        <v>0</v>
      </c>
      <c r="Z1344" s="13">
        <v>0</v>
      </c>
    </row>
    <row r="1345" s="2" customFormat="1" hidden="1" spans="1:26">
      <c r="A1345" s="11" t="s">
        <v>935</v>
      </c>
      <c r="B1345" s="11" t="s">
        <v>937</v>
      </c>
      <c r="C1345" s="14" t="s">
        <v>605</v>
      </c>
      <c r="D1345" s="14" t="s">
        <v>938</v>
      </c>
      <c r="E1345" s="14" t="s">
        <v>939</v>
      </c>
      <c r="F1345" s="3" t="s">
        <v>936</v>
      </c>
      <c r="G1345" s="4">
        <v>85</v>
      </c>
      <c r="H1345" s="12">
        <v>12796.444</v>
      </c>
      <c r="I1345" s="12">
        <v>364.931471</v>
      </c>
      <c r="J1345" s="13">
        <v>0.0285181938</v>
      </c>
      <c r="K1345" s="13">
        <v>0.0285181938</v>
      </c>
      <c r="L1345" s="12">
        <v>22.1391764705</v>
      </c>
      <c r="M1345" s="13">
        <v>0.1247889486</v>
      </c>
      <c r="N1345" s="13">
        <v>0.0918838718</v>
      </c>
      <c r="O1345" s="13">
        <v>0.3280742681</v>
      </c>
      <c r="P1345" s="13">
        <v>0.0682952232</v>
      </c>
      <c r="Q1345" s="13">
        <v>0.0420679299</v>
      </c>
      <c r="R1345" s="13">
        <v>0.214162374</v>
      </c>
      <c r="S1345" s="13">
        <v>0</v>
      </c>
      <c r="T1345" s="13">
        <v>0.1035056301</v>
      </c>
      <c r="U1345" s="13">
        <v>0.0128688628</v>
      </c>
      <c r="V1345" s="13">
        <v>0</v>
      </c>
      <c r="W1345" s="13">
        <v>-0.0144228942</v>
      </c>
      <c r="X1345" s="13">
        <v>0</v>
      </c>
      <c r="Y1345" s="13">
        <v>0</v>
      </c>
      <c r="Z1345" s="13">
        <v>0.0002575914</v>
      </c>
    </row>
    <row r="1346" s="2" customFormat="1" hidden="1" spans="1:26">
      <c r="A1346" s="11" t="s">
        <v>935</v>
      </c>
      <c r="B1346" s="11" t="s">
        <v>937</v>
      </c>
      <c r="C1346" s="14" t="s">
        <v>605</v>
      </c>
      <c r="D1346" s="14" t="s">
        <v>938</v>
      </c>
      <c r="E1346" s="14" t="s">
        <v>939</v>
      </c>
      <c r="F1346" s="3" t="s">
        <v>941</v>
      </c>
      <c r="G1346" s="4">
        <v>3</v>
      </c>
      <c r="H1346" s="12">
        <v>464.916</v>
      </c>
      <c r="I1346" s="12">
        <v>-198.366997</v>
      </c>
      <c r="J1346" s="13">
        <v>-0.4266727688</v>
      </c>
      <c r="K1346" s="13">
        <v>-0.4266727688</v>
      </c>
      <c r="L1346" s="12">
        <v>22.79</v>
      </c>
      <c r="M1346" s="13">
        <v>0.1212252987</v>
      </c>
      <c r="N1346" s="13">
        <v>0.1400080853</v>
      </c>
      <c r="O1346" s="13">
        <v>0.274681878</v>
      </c>
      <c r="P1346" s="13">
        <v>0</v>
      </c>
      <c r="Q1346" s="13">
        <v>0.0661391563</v>
      </c>
      <c r="R1346" s="13">
        <v>0.7664928695</v>
      </c>
      <c r="S1346" s="13">
        <v>0</v>
      </c>
      <c r="T1346" s="13">
        <v>0.0447564721</v>
      </c>
      <c r="U1346" s="13">
        <v>0.0125013615</v>
      </c>
      <c r="V1346" s="13">
        <v>0</v>
      </c>
      <c r="W1346" s="13">
        <v>0</v>
      </c>
      <c r="X1346" s="13">
        <v>0</v>
      </c>
      <c r="Y1346" s="13">
        <v>0</v>
      </c>
      <c r="Z1346" s="13">
        <v>0.000867647</v>
      </c>
    </row>
    <row r="1347" s="2" customFormat="1" hidden="1" spans="1:26">
      <c r="A1347" s="11" t="s">
        <v>935</v>
      </c>
      <c r="B1347" s="11" t="s">
        <v>937</v>
      </c>
      <c r="C1347" s="14" t="s">
        <v>605</v>
      </c>
      <c r="D1347" s="14" t="s">
        <v>938</v>
      </c>
      <c r="E1347" s="14" t="s">
        <v>939</v>
      </c>
      <c r="F1347" s="3" t="s">
        <v>942</v>
      </c>
      <c r="G1347" s="4">
        <v>7</v>
      </c>
      <c r="H1347" s="12">
        <v>1046.044</v>
      </c>
      <c r="I1347" s="12">
        <v>-72.012216</v>
      </c>
      <c r="J1347" s="13">
        <v>-0.0688424349</v>
      </c>
      <c r="K1347" s="13">
        <v>-0.0688424349</v>
      </c>
      <c r="L1347" s="12">
        <v>21.9757142857</v>
      </c>
      <c r="M1347" s="13">
        <v>0.1257171658</v>
      </c>
      <c r="N1347" s="13">
        <v>0.1019278605</v>
      </c>
      <c r="O1347" s="13">
        <v>0.3321848794</v>
      </c>
      <c r="P1347" s="13">
        <v>0.1407397776</v>
      </c>
      <c r="Q1347" s="13">
        <v>0.1120135558</v>
      </c>
      <c r="R1347" s="13">
        <v>0.1397004159</v>
      </c>
      <c r="S1347" s="13">
        <v>0</v>
      </c>
      <c r="T1347" s="13">
        <v>0.1021257232</v>
      </c>
      <c r="U1347" s="13">
        <v>0.0129645837</v>
      </c>
      <c r="V1347" s="13">
        <v>0</v>
      </c>
      <c r="W1347" s="13">
        <v>0</v>
      </c>
      <c r="X1347" s="13">
        <v>0</v>
      </c>
      <c r="Y1347" s="13">
        <v>0</v>
      </c>
      <c r="Z1347" s="13">
        <v>0.0014684726</v>
      </c>
    </row>
    <row r="1348" s="2" customFormat="1" hidden="1" spans="1:26">
      <c r="A1348" s="11" t="s">
        <v>935</v>
      </c>
      <c r="B1348" s="11" t="s">
        <v>937</v>
      </c>
      <c r="C1348" s="14" t="s">
        <v>605</v>
      </c>
      <c r="D1348" s="14" t="s">
        <v>938</v>
      </c>
      <c r="E1348" s="14" t="s">
        <v>939</v>
      </c>
      <c r="F1348" s="3" t="s">
        <v>943</v>
      </c>
      <c r="G1348" s="4">
        <v>45</v>
      </c>
      <c r="H1348" s="12">
        <v>6391.524</v>
      </c>
      <c r="I1348" s="12">
        <v>558.399411</v>
      </c>
      <c r="J1348" s="13">
        <v>0.0873656128</v>
      </c>
      <c r="K1348" s="13">
        <v>0.0873656128</v>
      </c>
      <c r="L1348" s="12">
        <v>20.8873333333</v>
      </c>
      <c r="M1348" s="13">
        <v>0.1322679403</v>
      </c>
      <c r="N1348" s="13">
        <v>0.1034455749</v>
      </c>
      <c r="O1348" s="13">
        <v>0.3494941112</v>
      </c>
      <c r="P1348" s="13">
        <v>0.0422371878</v>
      </c>
      <c r="Q1348" s="13">
        <v>0.0215111973</v>
      </c>
      <c r="R1348" s="13">
        <v>0.1449006682</v>
      </c>
      <c r="S1348" s="13">
        <v>0</v>
      </c>
      <c r="T1348" s="13">
        <v>0.1102954475</v>
      </c>
      <c r="U1348" s="13">
        <v>0.0136401341</v>
      </c>
      <c r="V1348" s="13">
        <v>0</v>
      </c>
      <c r="W1348" s="13">
        <v>-0.0052380784</v>
      </c>
      <c r="X1348" s="13">
        <v>0</v>
      </c>
      <c r="Y1348" s="13">
        <v>0</v>
      </c>
      <c r="Z1348" s="13">
        <v>8.02038e-5</v>
      </c>
    </row>
    <row r="1349" s="2" customFormat="1" spans="1:26">
      <c r="A1349" s="11" t="s">
        <v>935</v>
      </c>
      <c r="B1349" s="11" t="s">
        <v>937</v>
      </c>
      <c r="C1349" s="14" t="s">
        <v>605</v>
      </c>
      <c r="D1349" s="14" t="s">
        <v>938</v>
      </c>
      <c r="E1349" s="14" t="s">
        <v>939</v>
      </c>
      <c r="F1349" s="3" t="s">
        <v>944</v>
      </c>
      <c r="G1349" s="4">
        <v>30</v>
      </c>
      <c r="H1349" s="12">
        <v>4893.96</v>
      </c>
      <c r="I1349" s="12">
        <v>98.331273</v>
      </c>
      <c r="J1349" s="13">
        <v>0.0200923736</v>
      </c>
      <c r="K1349" s="13">
        <v>0.0200923736</v>
      </c>
      <c r="L1349" s="12">
        <v>23.99</v>
      </c>
      <c r="M1349" s="13">
        <v>0.1151615072</v>
      </c>
      <c r="N1349" s="13">
        <v>0.0700657381</v>
      </c>
      <c r="O1349" s="13">
        <v>0.3042934556</v>
      </c>
      <c r="P1349" s="13">
        <v>0.0933305543</v>
      </c>
      <c r="Q1349" s="13">
        <v>0.0516780513</v>
      </c>
      <c r="R1349" s="13">
        <v>0.2636869011</v>
      </c>
      <c r="S1349" s="13">
        <v>0</v>
      </c>
      <c r="T1349" s="13">
        <v>0.100514103</v>
      </c>
      <c r="U1349" s="13">
        <v>0.0118760329</v>
      </c>
      <c r="V1349" s="13">
        <v>0</v>
      </c>
      <c r="W1349" s="13">
        <v>-0.0308712075</v>
      </c>
      <c r="X1349" s="13">
        <v>0</v>
      </c>
      <c r="Y1349" s="13">
        <v>0</v>
      </c>
      <c r="Z1349" s="13">
        <v>0.0001724899</v>
      </c>
    </row>
    <row r="1350" s="2" customFormat="1" hidden="1" spans="1:26">
      <c r="A1350" s="11" t="s">
        <v>935</v>
      </c>
      <c r="B1350" s="11" t="s">
        <v>937</v>
      </c>
      <c r="C1350" s="14" t="s">
        <v>605</v>
      </c>
      <c r="D1350" s="14" t="s">
        <v>938</v>
      </c>
      <c r="E1350" s="14" t="s">
        <v>939</v>
      </c>
      <c r="F1350" s="3" t="s">
        <v>945</v>
      </c>
      <c r="G1350" s="4">
        <v>0</v>
      </c>
      <c r="H1350" s="12">
        <v>0</v>
      </c>
      <c r="I1350" s="12">
        <v>-21.42</v>
      </c>
      <c r="J1350" s="13"/>
      <c r="K1350" s="13"/>
      <c r="L1350" s="12"/>
      <c r="M1350" s="13"/>
      <c r="N1350" s="13"/>
      <c r="O1350" s="13"/>
      <c r="P1350" s="13"/>
      <c r="Q1350" s="13"/>
      <c r="R1350" s="13"/>
      <c r="S1350" s="13"/>
      <c r="T1350" s="13"/>
      <c r="U1350" s="13"/>
      <c r="V1350" s="13"/>
      <c r="W1350" s="13"/>
      <c r="X1350" s="13"/>
      <c r="Y1350" s="13"/>
      <c r="Z1350" s="13"/>
    </row>
    <row r="1351" s="2" customFormat="1" hidden="1" spans="1:26">
      <c r="A1351" s="11" t="s">
        <v>935</v>
      </c>
      <c r="B1351" s="11" t="s">
        <v>937</v>
      </c>
      <c r="C1351" s="14" t="s">
        <v>610</v>
      </c>
      <c r="D1351" s="14" t="s">
        <v>938</v>
      </c>
      <c r="E1351" s="14" t="s">
        <v>939</v>
      </c>
      <c r="F1351" s="3" t="s">
        <v>936</v>
      </c>
      <c r="G1351" s="4">
        <v>199</v>
      </c>
      <c r="H1351" s="12">
        <v>28922.168</v>
      </c>
      <c r="I1351" s="12">
        <v>1989.449827</v>
      </c>
      <c r="J1351" s="13">
        <v>0.0687863311</v>
      </c>
      <c r="K1351" s="13">
        <v>0.0687863311</v>
      </c>
      <c r="L1351" s="12">
        <v>21.3731658291</v>
      </c>
      <c r="M1351" s="13">
        <v>0.1757640559</v>
      </c>
      <c r="N1351" s="13">
        <v>0.0702479964</v>
      </c>
      <c r="O1351" s="13">
        <v>0.3940295208</v>
      </c>
      <c r="P1351" s="13">
        <v>0.0197401522</v>
      </c>
      <c r="Q1351" s="13">
        <v>0.0397356978</v>
      </c>
      <c r="R1351" s="13">
        <v>0.0995592523</v>
      </c>
      <c r="S1351" s="13">
        <v>0</v>
      </c>
      <c r="T1351" s="13">
        <v>0.1170537423</v>
      </c>
      <c r="U1351" s="13">
        <v>0.0181256693</v>
      </c>
      <c r="V1351" s="13">
        <v>-0.0019843602</v>
      </c>
      <c r="W1351" s="13">
        <v>-0.0012182709</v>
      </c>
      <c r="X1351" s="13">
        <v>0</v>
      </c>
      <c r="Y1351" s="13">
        <v>0</v>
      </c>
      <c r="Z1351" s="13">
        <v>0.0001602126</v>
      </c>
    </row>
    <row r="1352" s="2" customFormat="1" hidden="1" spans="1:26">
      <c r="A1352" s="11" t="s">
        <v>935</v>
      </c>
      <c r="B1352" s="11" t="s">
        <v>937</v>
      </c>
      <c r="C1352" s="14" t="s">
        <v>610</v>
      </c>
      <c r="D1352" s="14" t="s">
        <v>938</v>
      </c>
      <c r="E1352" s="14" t="s">
        <v>939</v>
      </c>
      <c r="F1352" s="3" t="s">
        <v>941</v>
      </c>
      <c r="G1352" s="4">
        <v>8</v>
      </c>
      <c r="H1352" s="12">
        <v>1114.656</v>
      </c>
      <c r="I1352" s="12">
        <v>-156.098909</v>
      </c>
      <c r="J1352" s="13">
        <v>-0.1400422273</v>
      </c>
      <c r="K1352" s="13">
        <v>-0.1400422273</v>
      </c>
      <c r="L1352" s="12">
        <v>20.49</v>
      </c>
      <c r="M1352" s="13">
        <v>0.1883380845</v>
      </c>
      <c r="N1352" s="13">
        <v>0.0920524861</v>
      </c>
      <c r="O1352" s="13">
        <v>0.4116642264</v>
      </c>
      <c r="P1352" s="13">
        <v>0</v>
      </c>
      <c r="Q1352" s="13">
        <v>0.0044585531</v>
      </c>
      <c r="R1352" s="13">
        <v>0.3288025641</v>
      </c>
      <c r="S1352" s="13">
        <v>0</v>
      </c>
      <c r="T1352" s="13">
        <v>0.0944363103</v>
      </c>
      <c r="U1352" s="13">
        <v>0.0194223652</v>
      </c>
      <c r="V1352" s="13">
        <v>0</v>
      </c>
      <c r="W1352" s="13">
        <v>0</v>
      </c>
      <c r="X1352" s="13">
        <v>0</v>
      </c>
      <c r="Y1352" s="13">
        <v>0</v>
      </c>
      <c r="Z1352" s="13">
        <v>0.0008676371</v>
      </c>
    </row>
    <row r="1353" s="2" customFormat="1" hidden="1" spans="1:26">
      <c r="A1353" s="11" t="s">
        <v>935</v>
      </c>
      <c r="B1353" s="11" t="s">
        <v>937</v>
      </c>
      <c r="C1353" s="14" t="s">
        <v>610</v>
      </c>
      <c r="D1353" s="14" t="s">
        <v>938</v>
      </c>
      <c r="E1353" s="14" t="s">
        <v>939</v>
      </c>
      <c r="F1353" s="3" t="s">
        <v>942</v>
      </c>
      <c r="G1353" s="4">
        <v>56</v>
      </c>
      <c r="H1353" s="12">
        <v>7829.792</v>
      </c>
      <c r="I1353" s="12">
        <v>487.933767</v>
      </c>
      <c r="J1353" s="13">
        <v>0.0623175899</v>
      </c>
      <c r="K1353" s="13">
        <v>0.0623175899</v>
      </c>
      <c r="L1353" s="12">
        <v>20.5614285714</v>
      </c>
      <c r="M1353" s="13">
        <v>0.1876838148</v>
      </c>
      <c r="N1353" s="13">
        <v>0.0726177655</v>
      </c>
      <c r="O1353" s="13">
        <v>0.4123532272</v>
      </c>
      <c r="P1353" s="13">
        <v>0.0173608698</v>
      </c>
      <c r="Q1353" s="13">
        <v>0.0445500821</v>
      </c>
      <c r="R1353" s="13">
        <v>0.0652224841</v>
      </c>
      <c r="S1353" s="13">
        <v>0</v>
      </c>
      <c r="T1353" s="13">
        <v>0.1183908844</v>
      </c>
      <c r="U1353" s="13">
        <v>0.0193548937</v>
      </c>
      <c r="V1353" s="13">
        <v>0</v>
      </c>
      <c r="W1353" s="13">
        <v>0</v>
      </c>
      <c r="X1353" s="13">
        <v>0</v>
      </c>
      <c r="Y1353" s="13">
        <v>0</v>
      </c>
      <c r="Z1353" s="13">
        <v>0.000148388</v>
      </c>
    </row>
    <row r="1354" s="2" customFormat="1" hidden="1" spans="1:26">
      <c r="A1354" s="11" t="s">
        <v>935</v>
      </c>
      <c r="B1354" s="11" t="s">
        <v>937</v>
      </c>
      <c r="C1354" s="14" t="s">
        <v>610</v>
      </c>
      <c r="D1354" s="14" t="s">
        <v>938</v>
      </c>
      <c r="E1354" s="14" t="s">
        <v>939</v>
      </c>
      <c r="F1354" s="3" t="s">
        <v>943</v>
      </c>
      <c r="G1354" s="4">
        <v>69</v>
      </c>
      <c r="H1354" s="12">
        <v>9868.908</v>
      </c>
      <c r="I1354" s="12">
        <v>841.605605</v>
      </c>
      <c r="J1354" s="13">
        <v>0.0852784933</v>
      </c>
      <c r="K1354" s="13">
        <v>0.0852784933</v>
      </c>
      <c r="L1354" s="12">
        <v>21.0334782608</v>
      </c>
      <c r="M1354" s="13">
        <v>0.1797264628</v>
      </c>
      <c r="N1354" s="13">
        <v>0.0709880211</v>
      </c>
      <c r="O1354" s="13">
        <v>0.4022090387</v>
      </c>
      <c r="P1354" s="13">
        <v>0</v>
      </c>
      <c r="Q1354" s="13">
        <v>0.0497167547</v>
      </c>
      <c r="R1354" s="13">
        <v>0.0735750494</v>
      </c>
      <c r="S1354" s="13">
        <v>0</v>
      </c>
      <c r="T1354" s="13">
        <v>0.119891684</v>
      </c>
      <c r="U1354" s="13">
        <v>0.0185342902</v>
      </c>
      <c r="V1354" s="13">
        <v>0</v>
      </c>
      <c r="W1354" s="13">
        <v>0</v>
      </c>
      <c r="X1354" s="13">
        <v>0</v>
      </c>
      <c r="Y1354" s="13">
        <v>0</v>
      </c>
      <c r="Z1354" s="13">
        <v>8.02054e-5</v>
      </c>
    </row>
    <row r="1355" s="2" customFormat="1" spans="1:26">
      <c r="A1355" s="11" t="s">
        <v>935</v>
      </c>
      <c r="B1355" s="11" t="s">
        <v>937</v>
      </c>
      <c r="C1355" s="14" t="s">
        <v>610</v>
      </c>
      <c r="D1355" s="14" t="s">
        <v>938</v>
      </c>
      <c r="E1355" s="14" t="s">
        <v>939</v>
      </c>
      <c r="F1355" s="3" t="s">
        <v>944</v>
      </c>
      <c r="G1355" s="4">
        <v>65</v>
      </c>
      <c r="H1355" s="12">
        <v>9932.08</v>
      </c>
      <c r="I1355" s="12">
        <v>826.085847</v>
      </c>
      <c r="J1355" s="13">
        <v>0.0831734991</v>
      </c>
      <c r="K1355" s="13">
        <v>0.0831734991</v>
      </c>
      <c r="L1355" s="12">
        <v>22.4707692307</v>
      </c>
      <c r="M1355" s="13">
        <v>0.1616211742</v>
      </c>
      <c r="N1355" s="13">
        <v>0.0654251677</v>
      </c>
      <c r="O1355" s="13">
        <v>0.3706969738</v>
      </c>
      <c r="P1355" s="13">
        <v>0.0437970696</v>
      </c>
      <c r="Q1355" s="13">
        <v>0.0306753403</v>
      </c>
      <c r="R1355" s="13">
        <v>0.1214323477</v>
      </c>
      <c r="S1355" s="13">
        <v>0</v>
      </c>
      <c r="T1355" s="13">
        <v>0.1156647952</v>
      </c>
      <c r="U1355" s="13">
        <v>0.0166671875</v>
      </c>
      <c r="V1355" s="13">
        <v>-0.0057784472</v>
      </c>
      <c r="W1355" s="13">
        <v>-0.003547599</v>
      </c>
      <c r="X1355" s="13">
        <v>0</v>
      </c>
      <c r="Y1355" s="13">
        <v>0</v>
      </c>
      <c r="Z1355" s="13">
        <v>0.0001724908</v>
      </c>
    </row>
    <row r="1356" s="2" customFormat="1" hidden="1" spans="1:26">
      <c r="A1356" s="11" t="s">
        <v>935</v>
      </c>
      <c r="B1356" s="11" t="s">
        <v>937</v>
      </c>
      <c r="C1356" s="14" t="s">
        <v>610</v>
      </c>
      <c r="D1356" s="14" t="s">
        <v>938</v>
      </c>
      <c r="E1356" s="14" t="s">
        <v>939</v>
      </c>
      <c r="F1356" s="3" t="s">
        <v>945</v>
      </c>
      <c r="G1356" s="4">
        <v>1</v>
      </c>
      <c r="H1356" s="12">
        <v>176.732</v>
      </c>
      <c r="I1356" s="12">
        <v>-10.076483</v>
      </c>
      <c r="J1356" s="13">
        <v>-0.0570156112</v>
      </c>
      <c r="K1356" s="13">
        <v>-0.0570156112</v>
      </c>
      <c r="L1356" s="12">
        <v>25.99</v>
      </c>
      <c r="M1356" s="13">
        <v>0.1419199013</v>
      </c>
      <c r="N1356" s="13">
        <v>0.0574499807</v>
      </c>
      <c r="O1356" s="13">
        <v>0.3255098114</v>
      </c>
      <c r="P1356" s="13">
        <v>0</v>
      </c>
      <c r="Q1356" s="13">
        <v>0.0007632177</v>
      </c>
      <c r="R1356" s="13">
        <v>0.396691035</v>
      </c>
      <c r="S1356" s="13">
        <v>0</v>
      </c>
      <c r="T1356" s="13">
        <v>0.1200461716</v>
      </c>
      <c r="U1356" s="13">
        <v>0.0146354932</v>
      </c>
      <c r="V1356" s="13">
        <v>0</v>
      </c>
      <c r="W1356" s="13">
        <v>0</v>
      </c>
      <c r="X1356" s="13">
        <v>0</v>
      </c>
      <c r="Y1356" s="13">
        <v>0</v>
      </c>
      <c r="Z1356" s="13">
        <v>0</v>
      </c>
    </row>
    <row r="1357" s="2" customFormat="1" hidden="1" spans="1:26">
      <c r="A1357" s="11" t="s">
        <v>935</v>
      </c>
      <c r="B1357" s="11" t="s">
        <v>937</v>
      </c>
      <c r="C1357" s="14" t="s">
        <v>615</v>
      </c>
      <c r="D1357" s="14" t="s">
        <v>938</v>
      </c>
      <c r="E1357" s="14" t="s">
        <v>939</v>
      </c>
      <c r="F1357" s="3" t="s">
        <v>936</v>
      </c>
      <c r="G1357" s="4">
        <v>23</v>
      </c>
      <c r="H1357" s="12">
        <v>3429.716</v>
      </c>
      <c r="I1357" s="12">
        <v>-392.885618</v>
      </c>
      <c r="J1357" s="13">
        <v>-0.1145533968</v>
      </c>
      <c r="K1357" s="13">
        <v>-0.1145533968</v>
      </c>
      <c r="L1357" s="12">
        <v>21.9291304347</v>
      </c>
      <c r="M1357" s="13">
        <v>0.1229769281</v>
      </c>
      <c r="N1357" s="13">
        <v>0.0613687118</v>
      </c>
      <c r="O1357" s="13">
        <v>0.3296389555</v>
      </c>
      <c r="P1357" s="13">
        <v>0.0951285762</v>
      </c>
      <c r="Q1357" s="13">
        <v>0.1333521965</v>
      </c>
      <c r="R1357" s="13">
        <v>0.3833876303</v>
      </c>
      <c r="S1357" s="13">
        <v>0</v>
      </c>
      <c r="T1357" s="13">
        <v>0.101671392</v>
      </c>
      <c r="U1357" s="13">
        <v>0.0126819958</v>
      </c>
      <c r="V1357" s="13">
        <v>-0.11743363</v>
      </c>
      <c r="W1357" s="13">
        <v>-0.0084061968</v>
      </c>
      <c r="X1357" s="13">
        <v>0</v>
      </c>
      <c r="Y1357" s="13">
        <v>0</v>
      </c>
      <c r="Z1357" s="13">
        <v>0.0001868373</v>
      </c>
    </row>
    <row r="1358" s="2" customFormat="1" hidden="1" spans="1:26">
      <c r="A1358" s="11" t="s">
        <v>935</v>
      </c>
      <c r="B1358" s="11" t="s">
        <v>937</v>
      </c>
      <c r="C1358" s="14" t="s">
        <v>615</v>
      </c>
      <c r="D1358" s="14" t="s">
        <v>938</v>
      </c>
      <c r="E1358" s="14" t="s">
        <v>939</v>
      </c>
      <c r="F1358" s="3" t="s">
        <v>941</v>
      </c>
      <c r="G1358" s="4">
        <v>0</v>
      </c>
      <c r="H1358" s="12">
        <v>0</v>
      </c>
      <c r="I1358" s="12">
        <v>-27.71001</v>
      </c>
      <c r="J1358" s="13"/>
      <c r="K1358" s="13"/>
      <c r="L1358" s="12"/>
      <c r="M1358" s="13"/>
      <c r="N1358" s="13"/>
      <c r="O1358" s="13"/>
      <c r="P1358" s="13"/>
      <c r="Q1358" s="13"/>
      <c r="R1358" s="13"/>
      <c r="S1358" s="13"/>
      <c r="T1358" s="13"/>
      <c r="U1358" s="13"/>
      <c r="V1358" s="13"/>
      <c r="W1358" s="13"/>
      <c r="X1358" s="13"/>
      <c r="Y1358" s="13"/>
      <c r="Z1358" s="13"/>
    </row>
    <row r="1359" s="2" customFormat="1" hidden="1" spans="1:26">
      <c r="A1359" s="11" t="s">
        <v>935</v>
      </c>
      <c r="B1359" s="11" t="s">
        <v>937</v>
      </c>
      <c r="C1359" s="14" t="s">
        <v>615</v>
      </c>
      <c r="D1359" s="14" t="s">
        <v>938</v>
      </c>
      <c r="E1359" s="14" t="s">
        <v>939</v>
      </c>
      <c r="F1359" s="3" t="s">
        <v>942</v>
      </c>
      <c r="G1359" s="4">
        <v>1</v>
      </c>
      <c r="H1359" s="12">
        <v>163.132</v>
      </c>
      <c r="I1359" s="12">
        <v>-0.321962</v>
      </c>
      <c r="J1359" s="13">
        <v>-0.0019736287</v>
      </c>
      <c r="K1359" s="13">
        <v>-0.0019736287</v>
      </c>
      <c r="L1359" s="12">
        <v>23.99</v>
      </c>
      <c r="M1359" s="13">
        <v>0.1178155665</v>
      </c>
      <c r="N1359" s="13">
        <v>0.0529527867</v>
      </c>
      <c r="O1359" s="13">
        <v>0.3147144643</v>
      </c>
      <c r="P1359" s="13">
        <v>0</v>
      </c>
      <c r="Q1359" s="13">
        <v>0.0060198979</v>
      </c>
      <c r="R1359" s="13">
        <v>0.386389997</v>
      </c>
      <c r="S1359" s="13">
        <v>0</v>
      </c>
      <c r="T1359" s="13">
        <v>0.1104626927</v>
      </c>
      <c r="U1359" s="13">
        <v>0.0121497315</v>
      </c>
      <c r="V1359" s="13">
        <v>0</v>
      </c>
      <c r="W1359" s="13">
        <v>0</v>
      </c>
      <c r="X1359" s="13">
        <v>0</v>
      </c>
      <c r="Y1359" s="13">
        <v>0</v>
      </c>
      <c r="Z1359" s="13">
        <v>0.0014684917</v>
      </c>
    </row>
    <row r="1360" s="2" customFormat="1" hidden="1" spans="1:26">
      <c r="A1360" s="11" t="s">
        <v>935</v>
      </c>
      <c r="B1360" s="11" t="s">
        <v>937</v>
      </c>
      <c r="C1360" s="14" t="s">
        <v>615</v>
      </c>
      <c r="D1360" s="14" t="s">
        <v>938</v>
      </c>
      <c r="E1360" s="14" t="s">
        <v>939</v>
      </c>
      <c r="F1360" s="3" t="s">
        <v>943</v>
      </c>
      <c r="G1360" s="4">
        <v>9</v>
      </c>
      <c r="H1360" s="12">
        <v>1468.188</v>
      </c>
      <c r="I1360" s="12">
        <v>-125.801754</v>
      </c>
      <c r="J1360" s="13">
        <v>-0.0856850444</v>
      </c>
      <c r="K1360" s="13">
        <v>-0.0856850444</v>
      </c>
      <c r="L1360" s="12">
        <v>23.99</v>
      </c>
      <c r="M1360" s="13">
        <v>0.1178155665</v>
      </c>
      <c r="N1360" s="13">
        <v>0.0589178027</v>
      </c>
      <c r="O1360" s="13">
        <v>0.3295354545</v>
      </c>
      <c r="P1360" s="13">
        <v>0.1111111111</v>
      </c>
      <c r="Q1360" s="13">
        <v>0.0807811751</v>
      </c>
      <c r="R1360" s="13">
        <v>0.2942872478</v>
      </c>
      <c r="S1360" s="13">
        <v>0</v>
      </c>
      <c r="T1360" s="13">
        <v>0.1006437867</v>
      </c>
      <c r="U1360" s="13">
        <v>0.0121497315</v>
      </c>
      <c r="V1360" s="13">
        <v>0</v>
      </c>
      <c r="W1360" s="13">
        <v>-0.019637041</v>
      </c>
      <c r="X1360" s="13">
        <v>0</v>
      </c>
      <c r="Y1360" s="13">
        <v>0</v>
      </c>
      <c r="Z1360" s="13">
        <v>8.0209e-5</v>
      </c>
    </row>
    <row r="1361" s="2" customFormat="1" spans="1:26">
      <c r="A1361" s="11" t="s">
        <v>935</v>
      </c>
      <c r="B1361" s="11" t="s">
        <v>937</v>
      </c>
      <c r="C1361" s="14" t="s">
        <v>615</v>
      </c>
      <c r="D1361" s="14" t="s">
        <v>938</v>
      </c>
      <c r="E1361" s="14" t="s">
        <v>939</v>
      </c>
      <c r="F1361" s="3" t="s">
        <v>944</v>
      </c>
      <c r="G1361" s="4">
        <v>12</v>
      </c>
      <c r="H1361" s="12">
        <v>1643.424</v>
      </c>
      <c r="I1361" s="12">
        <v>-221.273525</v>
      </c>
      <c r="J1361" s="13">
        <v>-0.1346417753</v>
      </c>
      <c r="K1361" s="13">
        <v>-0.1346417753</v>
      </c>
      <c r="L1361" s="12">
        <v>20.14</v>
      </c>
      <c r="M1361" s="13">
        <v>0.1280553855</v>
      </c>
      <c r="N1361" s="13">
        <v>0.0643322532</v>
      </c>
      <c r="O1361" s="13">
        <v>0.3293611386</v>
      </c>
      <c r="P1361" s="13">
        <v>0.0992634889</v>
      </c>
      <c r="Q1361" s="13">
        <v>0.1885988582</v>
      </c>
      <c r="R1361" s="13">
        <v>0.4558513876</v>
      </c>
      <c r="S1361" s="13">
        <v>0</v>
      </c>
      <c r="T1361" s="13">
        <v>0.1008771929</v>
      </c>
      <c r="U1361" s="13">
        <v>0.0132057107</v>
      </c>
      <c r="V1361" s="13">
        <v>-0.2450761337</v>
      </c>
      <c r="W1361" s="13">
        <v>0</v>
      </c>
      <c r="X1361" s="13">
        <v>0</v>
      </c>
      <c r="Y1361" s="13">
        <v>0</v>
      </c>
      <c r="Z1361" s="13">
        <v>0.0001724929</v>
      </c>
    </row>
    <row r="1362" s="2" customFormat="1" hidden="1" spans="1:26">
      <c r="A1362" s="11" t="s">
        <v>935</v>
      </c>
      <c r="B1362" s="11" t="s">
        <v>937</v>
      </c>
      <c r="C1362" s="14" t="s">
        <v>615</v>
      </c>
      <c r="D1362" s="14" t="s">
        <v>938</v>
      </c>
      <c r="E1362" s="14" t="s">
        <v>939</v>
      </c>
      <c r="F1362" s="3" t="s">
        <v>945</v>
      </c>
      <c r="G1362" s="4">
        <v>1</v>
      </c>
      <c r="H1362" s="12">
        <v>154.972</v>
      </c>
      <c r="I1362" s="12">
        <v>-17.778367</v>
      </c>
      <c r="J1362" s="13">
        <v>-0.1147198655</v>
      </c>
      <c r="K1362" s="13">
        <v>-0.1147198655</v>
      </c>
      <c r="L1362" s="12">
        <v>22.79</v>
      </c>
      <c r="M1362" s="13">
        <v>0.1234529721</v>
      </c>
      <c r="N1362" s="13">
        <v>0.0620201004</v>
      </c>
      <c r="O1362" s="13">
        <v>0.3492759982</v>
      </c>
      <c r="P1362" s="13">
        <v>0</v>
      </c>
      <c r="Q1362" s="13">
        <v>0.000763183</v>
      </c>
      <c r="R1362" s="13">
        <v>0.4559017112</v>
      </c>
      <c r="S1362" s="13">
        <v>0</v>
      </c>
      <c r="T1362" s="13">
        <v>0.1105748135</v>
      </c>
      <c r="U1362" s="13">
        <v>0.0127310869</v>
      </c>
      <c r="V1362" s="13">
        <v>0</v>
      </c>
      <c r="W1362" s="13">
        <v>0</v>
      </c>
      <c r="X1362" s="13">
        <v>0</v>
      </c>
      <c r="Y1362" s="13">
        <v>0</v>
      </c>
      <c r="Z1362" s="13">
        <v>0</v>
      </c>
    </row>
    <row r="1363" s="2" customFormat="1" hidden="1" spans="1:26">
      <c r="A1363" s="11" t="s">
        <v>935</v>
      </c>
      <c r="B1363" s="11" t="s">
        <v>937</v>
      </c>
      <c r="C1363" s="14" t="s">
        <v>620</v>
      </c>
      <c r="D1363" s="14" t="s">
        <v>938</v>
      </c>
      <c r="E1363" s="14" t="s">
        <v>939</v>
      </c>
      <c r="F1363" s="3" t="s">
        <v>936</v>
      </c>
      <c r="G1363" s="4">
        <v>156</v>
      </c>
      <c r="H1363" s="12">
        <v>24380.516</v>
      </c>
      <c r="I1363" s="12">
        <v>2320.802451</v>
      </c>
      <c r="J1363" s="13">
        <v>0.0951908667</v>
      </c>
      <c r="K1363" s="13">
        <v>0.0951908667</v>
      </c>
      <c r="L1363" s="12">
        <v>22.9831410256</v>
      </c>
      <c r="M1363" s="13">
        <v>0.1368450853</v>
      </c>
      <c r="N1363" s="13">
        <v>0.0430161558</v>
      </c>
      <c r="O1363" s="13">
        <v>0.2978744174</v>
      </c>
      <c r="P1363" s="13">
        <v>0.0573553078</v>
      </c>
      <c r="Q1363" s="13">
        <v>0.0121793759</v>
      </c>
      <c r="R1363" s="13">
        <v>0.2404541601</v>
      </c>
      <c r="S1363" s="13">
        <v>0</v>
      </c>
      <c r="T1363" s="13">
        <v>0.1045889266</v>
      </c>
      <c r="U1363" s="13">
        <v>0.0141121516</v>
      </c>
      <c r="V1363" s="13">
        <v>0.0004992511</v>
      </c>
      <c r="W1363" s="13">
        <v>-0.0025772691</v>
      </c>
      <c r="X1363" s="13">
        <v>0</v>
      </c>
      <c r="Y1363" s="13">
        <v>0</v>
      </c>
      <c r="Z1363" s="13">
        <v>0.0004615703</v>
      </c>
    </row>
    <row r="1364" s="2" customFormat="1" hidden="1" spans="1:26">
      <c r="A1364" s="11" t="s">
        <v>935</v>
      </c>
      <c r="B1364" s="11" t="s">
        <v>937</v>
      </c>
      <c r="C1364" s="14" t="s">
        <v>620</v>
      </c>
      <c r="D1364" s="14" t="s">
        <v>938</v>
      </c>
      <c r="E1364" s="14" t="s">
        <v>939</v>
      </c>
      <c r="F1364" s="3" t="s">
        <v>940</v>
      </c>
      <c r="G1364" s="4">
        <v>2</v>
      </c>
      <c r="H1364" s="12">
        <v>326.264</v>
      </c>
      <c r="I1364" s="12">
        <v>-156.119521</v>
      </c>
      <c r="J1364" s="13">
        <v>-0.4785067338</v>
      </c>
      <c r="K1364" s="13">
        <v>-0.4785067338</v>
      </c>
      <c r="L1364" s="12">
        <v>23.99</v>
      </c>
      <c r="M1364" s="13">
        <v>0.1339421327</v>
      </c>
      <c r="N1364" s="13">
        <v>0.0352867677</v>
      </c>
      <c r="O1364" s="13">
        <v>0.2609420591</v>
      </c>
      <c r="P1364" s="13">
        <v>0</v>
      </c>
      <c r="Q1364" s="13">
        <v>0.0180944357</v>
      </c>
      <c r="R1364" s="13">
        <v>1.0035442494</v>
      </c>
      <c r="S1364" s="13">
        <v>0</v>
      </c>
      <c r="T1364" s="13">
        <v>0.0125052105</v>
      </c>
      <c r="U1364" s="13">
        <v>0.0138127835</v>
      </c>
      <c r="V1364" s="13">
        <v>0</v>
      </c>
      <c r="W1364" s="13">
        <v>0</v>
      </c>
      <c r="X1364" s="13">
        <v>0</v>
      </c>
      <c r="Y1364" s="13">
        <v>0</v>
      </c>
      <c r="Z1364" s="13">
        <v>0.0003790948</v>
      </c>
    </row>
    <row r="1365" s="2" customFormat="1" hidden="1" spans="1:26">
      <c r="A1365" s="11" t="s">
        <v>935</v>
      </c>
      <c r="B1365" s="11" t="s">
        <v>937</v>
      </c>
      <c r="C1365" s="14" t="s">
        <v>620</v>
      </c>
      <c r="D1365" s="14" t="s">
        <v>938</v>
      </c>
      <c r="E1365" s="14" t="s">
        <v>939</v>
      </c>
      <c r="F1365" s="3" t="s">
        <v>941</v>
      </c>
      <c r="G1365" s="4">
        <v>15</v>
      </c>
      <c r="H1365" s="12">
        <v>2024.632</v>
      </c>
      <c r="I1365" s="12">
        <v>-22.672473</v>
      </c>
      <c r="J1365" s="13">
        <v>-0.011198318</v>
      </c>
      <c r="K1365" s="13">
        <v>-0.011198318</v>
      </c>
      <c r="L1365" s="12">
        <v>19.8493333333</v>
      </c>
      <c r="M1365" s="13">
        <v>0.1510909004</v>
      </c>
      <c r="N1365" s="13">
        <v>0.0398045669</v>
      </c>
      <c r="O1365" s="13">
        <v>0.3017397729</v>
      </c>
      <c r="P1365" s="13">
        <v>0.1419695035</v>
      </c>
      <c r="Q1365" s="13">
        <v>0.0159830616</v>
      </c>
      <c r="R1365" s="13">
        <v>0.2425293257</v>
      </c>
      <c r="S1365" s="13">
        <v>0</v>
      </c>
      <c r="T1365" s="13">
        <v>0.0995835292</v>
      </c>
      <c r="U1365" s="13">
        <v>0.0155812503</v>
      </c>
      <c r="V1365" s="13">
        <v>0.0020487673</v>
      </c>
      <c r="W1365" s="13">
        <v>0</v>
      </c>
      <c r="X1365" s="13">
        <v>0</v>
      </c>
      <c r="Y1365" s="13">
        <v>0</v>
      </c>
      <c r="Z1365" s="13">
        <v>0.0008676396</v>
      </c>
    </row>
    <row r="1366" s="2" customFormat="1" hidden="1" spans="1:26">
      <c r="A1366" s="11" t="s">
        <v>935</v>
      </c>
      <c r="B1366" s="11" t="s">
        <v>937</v>
      </c>
      <c r="C1366" s="14" t="s">
        <v>620</v>
      </c>
      <c r="D1366" s="14" t="s">
        <v>938</v>
      </c>
      <c r="E1366" s="14" t="s">
        <v>939</v>
      </c>
      <c r="F1366" s="3" t="s">
        <v>942</v>
      </c>
      <c r="G1366" s="4">
        <v>32</v>
      </c>
      <c r="H1366" s="12">
        <v>4574.496</v>
      </c>
      <c r="I1366" s="12">
        <v>844.968686</v>
      </c>
      <c r="J1366" s="13">
        <v>0.1847129576</v>
      </c>
      <c r="K1366" s="13">
        <v>0.1847129576</v>
      </c>
      <c r="L1366" s="12">
        <v>21.0225</v>
      </c>
      <c r="M1366" s="13">
        <v>0.1432961008</v>
      </c>
      <c r="N1366" s="13">
        <v>0.013115635</v>
      </c>
      <c r="O1366" s="13">
        <v>0.288976097</v>
      </c>
      <c r="P1366" s="13">
        <v>0.0288827446</v>
      </c>
      <c r="Q1366" s="13">
        <v>0.0158340969</v>
      </c>
      <c r="R1366" s="13">
        <v>0.1942676731</v>
      </c>
      <c r="S1366" s="13">
        <v>0</v>
      </c>
      <c r="T1366" s="13">
        <v>0.1129147342</v>
      </c>
      <c r="U1366" s="13">
        <v>0.0147774115</v>
      </c>
      <c r="V1366" s="13">
        <v>0.001754073</v>
      </c>
      <c r="W1366" s="13">
        <v>0</v>
      </c>
      <c r="X1366" s="13">
        <v>0</v>
      </c>
      <c r="Y1366" s="13">
        <v>0</v>
      </c>
      <c r="Z1366" s="13">
        <v>0.0014684758</v>
      </c>
    </row>
    <row r="1367" s="2" customFormat="1" hidden="1" spans="1:26">
      <c r="A1367" s="11" t="s">
        <v>935</v>
      </c>
      <c r="B1367" s="11" t="s">
        <v>937</v>
      </c>
      <c r="C1367" s="14" t="s">
        <v>620</v>
      </c>
      <c r="D1367" s="14" t="s">
        <v>938</v>
      </c>
      <c r="E1367" s="14" t="s">
        <v>939</v>
      </c>
      <c r="F1367" s="3" t="s">
        <v>943</v>
      </c>
      <c r="G1367" s="4">
        <v>18</v>
      </c>
      <c r="H1367" s="12">
        <v>2936.376</v>
      </c>
      <c r="I1367" s="12">
        <v>455.898037</v>
      </c>
      <c r="J1367" s="13">
        <v>0.1552587396</v>
      </c>
      <c r="K1367" s="13">
        <v>0.1552587396</v>
      </c>
      <c r="L1367" s="12">
        <v>23.99</v>
      </c>
      <c r="M1367" s="13">
        <v>0.1335563347</v>
      </c>
      <c r="N1367" s="13">
        <v>0.0134733283</v>
      </c>
      <c r="O1367" s="13">
        <v>0.2815061831</v>
      </c>
      <c r="P1367" s="13">
        <v>0</v>
      </c>
      <c r="Q1367" s="13">
        <v>0.0089032749</v>
      </c>
      <c r="R1367" s="13">
        <v>0.2829862415</v>
      </c>
      <c r="S1367" s="13">
        <v>0</v>
      </c>
      <c r="T1367" s="13">
        <v>0.1104626927</v>
      </c>
      <c r="U1367" s="13">
        <v>0.0137729997</v>
      </c>
      <c r="V1367" s="13">
        <v>0</v>
      </c>
      <c r="W1367" s="13">
        <v>0</v>
      </c>
      <c r="X1367" s="13">
        <v>0</v>
      </c>
      <c r="Y1367" s="13">
        <v>0</v>
      </c>
      <c r="Z1367" s="13">
        <v>8.02049e-5</v>
      </c>
    </row>
    <row r="1368" s="2" customFormat="1" spans="1:26">
      <c r="A1368" s="11" t="s">
        <v>935</v>
      </c>
      <c r="B1368" s="11" t="s">
        <v>937</v>
      </c>
      <c r="C1368" s="14" t="s">
        <v>620</v>
      </c>
      <c r="D1368" s="14" t="s">
        <v>938</v>
      </c>
      <c r="E1368" s="14" t="s">
        <v>939</v>
      </c>
      <c r="F1368" s="3" t="s">
        <v>944</v>
      </c>
      <c r="G1368" s="4">
        <v>86</v>
      </c>
      <c r="H1368" s="12">
        <v>14029.352</v>
      </c>
      <c r="I1368" s="12">
        <v>1091.130405</v>
      </c>
      <c r="J1368" s="13">
        <v>0.0777748255</v>
      </c>
      <c r="K1368" s="13">
        <v>0.0777748255</v>
      </c>
      <c r="L1368" s="12">
        <v>23.99</v>
      </c>
      <c r="M1368" s="13">
        <v>0.1335563347</v>
      </c>
      <c r="N1368" s="13">
        <v>0.0590335679</v>
      </c>
      <c r="O1368" s="13">
        <v>0.3042789146</v>
      </c>
      <c r="P1368" s="13">
        <v>0.0697674418</v>
      </c>
      <c r="Q1368" s="13">
        <v>0.0113851452</v>
      </c>
      <c r="R1368" s="13">
        <v>0.2314334121</v>
      </c>
      <c r="S1368" s="13">
        <v>0</v>
      </c>
      <c r="T1368" s="13">
        <v>0.1033037021</v>
      </c>
      <c r="U1368" s="13">
        <v>0.0137729995</v>
      </c>
      <c r="V1368" s="13">
        <v>0</v>
      </c>
      <c r="W1368" s="13">
        <v>-0.0044788349</v>
      </c>
      <c r="X1368" s="13">
        <v>0</v>
      </c>
      <c r="Y1368" s="13">
        <v>0</v>
      </c>
      <c r="Z1368" s="13">
        <v>0.000172491</v>
      </c>
    </row>
    <row r="1369" s="2" customFormat="1" hidden="1" spans="1:26">
      <c r="A1369" s="11" t="s">
        <v>935</v>
      </c>
      <c r="B1369" s="11" t="s">
        <v>937</v>
      </c>
      <c r="C1369" s="14" t="s">
        <v>620</v>
      </c>
      <c r="D1369" s="14" t="s">
        <v>938</v>
      </c>
      <c r="E1369" s="14" t="s">
        <v>939</v>
      </c>
      <c r="F1369" s="3" t="s">
        <v>945</v>
      </c>
      <c r="G1369" s="4">
        <v>3</v>
      </c>
      <c r="H1369" s="12">
        <v>489.396</v>
      </c>
      <c r="I1369" s="12">
        <v>107.597317</v>
      </c>
      <c r="J1369" s="13">
        <v>0.219857369</v>
      </c>
      <c r="K1369" s="13">
        <v>0.219857369</v>
      </c>
      <c r="L1369" s="12">
        <v>23.99</v>
      </c>
      <c r="M1369" s="13">
        <v>0.1335563347</v>
      </c>
      <c r="N1369" s="13">
        <v>0.0590335679</v>
      </c>
      <c r="O1369" s="13">
        <v>0.3042934556</v>
      </c>
      <c r="P1369" s="13">
        <v>0</v>
      </c>
      <c r="Q1369" s="13">
        <v>0.0007631938</v>
      </c>
      <c r="R1369" s="13">
        <v>0.1582603862</v>
      </c>
      <c r="S1369" s="13">
        <v>0</v>
      </c>
      <c r="T1369" s="13">
        <v>0.1104626927</v>
      </c>
      <c r="U1369" s="13">
        <v>0.0137729997</v>
      </c>
      <c r="V1369" s="13">
        <v>0</v>
      </c>
      <c r="W1369" s="13">
        <v>0</v>
      </c>
      <c r="X1369" s="13">
        <v>0</v>
      </c>
      <c r="Y1369" s="13">
        <v>0</v>
      </c>
      <c r="Z1369" s="13">
        <v>0</v>
      </c>
    </row>
    <row r="1370" s="2" customFormat="1" hidden="1" spans="1:26">
      <c r="A1370" s="11" t="s">
        <v>935</v>
      </c>
      <c r="B1370" s="11" t="s">
        <v>937</v>
      </c>
      <c r="C1370" s="14" t="s">
        <v>625</v>
      </c>
      <c r="D1370" s="14" t="s">
        <v>938</v>
      </c>
      <c r="E1370" s="14" t="s">
        <v>939</v>
      </c>
      <c r="F1370" s="3" t="s">
        <v>936</v>
      </c>
      <c r="G1370" s="4">
        <v>52</v>
      </c>
      <c r="H1370" s="12">
        <v>8836.464</v>
      </c>
      <c r="I1370" s="12">
        <v>1099.392788</v>
      </c>
      <c r="J1370" s="13">
        <v>0.1244154661</v>
      </c>
      <c r="K1370" s="13">
        <v>0.1244154661</v>
      </c>
      <c r="L1370" s="12">
        <v>24.99</v>
      </c>
      <c r="M1370" s="13">
        <v>0.1389644328</v>
      </c>
      <c r="N1370" s="13">
        <v>0.1033435142</v>
      </c>
      <c r="O1370" s="13">
        <v>0.3139794379</v>
      </c>
      <c r="P1370" s="13">
        <v>0</v>
      </c>
      <c r="Q1370" s="13">
        <v>0.0551537658</v>
      </c>
      <c r="R1370" s="13">
        <v>0.1381568804</v>
      </c>
      <c r="S1370" s="13">
        <v>0</v>
      </c>
      <c r="T1370" s="13">
        <v>0.1115061409</v>
      </c>
      <c r="U1370" s="13">
        <v>0.0143307087</v>
      </c>
      <c r="V1370" s="13">
        <v>0</v>
      </c>
      <c r="W1370" s="13">
        <v>0</v>
      </c>
      <c r="X1370" s="13">
        <v>0</v>
      </c>
      <c r="Y1370" s="13">
        <v>0</v>
      </c>
      <c r="Z1370" s="13">
        <v>0.0001496528</v>
      </c>
    </row>
    <row r="1371" s="2" customFormat="1" hidden="1" spans="1:26">
      <c r="A1371" s="11" t="s">
        <v>935</v>
      </c>
      <c r="B1371" s="11" t="s">
        <v>937</v>
      </c>
      <c r="C1371" s="14" t="s">
        <v>625</v>
      </c>
      <c r="D1371" s="14" t="s">
        <v>938</v>
      </c>
      <c r="E1371" s="14" t="s">
        <v>939</v>
      </c>
      <c r="F1371" s="3" t="s">
        <v>943</v>
      </c>
      <c r="G1371" s="4">
        <v>11</v>
      </c>
      <c r="H1371" s="12">
        <v>1869.252</v>
      </c>
      <c r="I1371" s="12">
        <v>205.612879</v>
      </c>
      <c r="J1371" s="13">
        <v>0.1099974101</v>
      </c>
      <c r="K1371" s="13">
        <v>0.1099974101</v>
      </c>
      <c r="L1371" s="12">
        <v>24.99</v>
      </c>
      <c r="M1371" s="13">
        <v>0.1389644328</v>
      </c>
      <c r="N1371" s="13">
        <v>0.0536403384</v>
      </c>
      <c r="O1371" s="13">
        <v>0.3089599476</v>
      </c>
      <c r="P1371" s="13">
        <v>0</v>
      </c>
      <c r="Q1371" s="13">
        <v>0.0063010696</v>
      </c>
      <c r="R1371" s="13">
        <v>0.2749615075</v>
      </c>
      <c r="S1371" s="13">
        <v>0</v>
      </c>
      <c r="T1371" s="13">
        <v>0.0927643784</v>
      </c>
      <c r="U1371" s="13">
        <v>0.0143307087</v>
      </c>
      <c r="V1371" s="13">
        <v>0</v>
      </c>
      <c r="W1371" s="13">
        <v>0</v>
      </c>
      <c r="X1371" s="13">
        <v>0</v>
      </c>
      <c r="Y1371" s="13">
        <v>0</v>
      </c>
      <c r="Z1371" s="13">
        <v>8.02064e-5</v>
      </c>
    </row>
    <row r="1372" s="2" customFormat="1" spans="1:26">
      <c r="A1372" s="11" t="s">
        <v>935</v>
      </c>
      <c r="B1372" s="11" t="s">
        <v>937</v>
      </c>
      <c r="C1372" s="14" t="s">
        <v>625</v>
      </c>
      <c r="D1372" s="14" t="s">
        <v>938</v>
      </c>
      <c r="E1372" s="14" t="s">
        <v>939</v>
      </c>
      <c r="F1372" s="3" t="s">
        <v>944</v>
      </c>
      <c r="G1372" s="4">
        <v>40</v>
      </c>
      <c r="H1372" s="12">
        <v>6797.28</v>
      </c>
      <c r="I1372" s="12">
        <v>885.454762</v>
      </c>
      <c r="J1372" s="13">
        <v>0.130266042</v>
      </c>
      <c r="K1372" s="13">
        <v>0.130266042</v>
      </c>
      <c r="L1372" s="12">
        <v>24.99</v>
      </c>
      <c r="M1372" s="13">
        <v>0.1389644328</v>
      </c>
      <c r="N1372" s="13">
        <v>0.1166785125</v>
      </c>
      <c r="O1372" s="13">
        <v>0.3153261304</v>
      </c>
      <c r="P1372" s="13">
        <v>0</v>
      </c>
      <c r="Q1372" s="13">
        <v>0.0699480217</v>
      </c>
      <c r="R1372" s="13">
        <v>0.097566961</v>
      </c>
      <c r="S1372" s="13">
        <v>0</v>
      </c>
      <c r="T1372" s="13">
        <v>0.1167466986</v>
      </c>
      <c r="U1372" s="13">
        <v>0.0143307087</v>
      </c>
      <c r="V1372" s="13">
        <v>0</v>
      </c>
      <c r="W1372" s="13">
        <v>0</v>
      </c>
      <c r="X1372" s="13">
        <v>0</v>
      </c>
      <c r="Y1372" s="13">
        <v>0</v>
      </c>
      <c r="Z1372" s="13">
        <v>0.0001724919</v>
      </c>
    </row>
    <row r="1373" s="2" customFormat="1" hidden="1" spans="1:26">
      <c r="A1373" s="11" t="s">
        <v>935</v>
      </c>
      <c r="B1373" s="11" t="s">
        <v>937</v>
      </c>
      <c r="C1373" s="14" t="s">
        <v>625</v>
      </c>
      <c r="D1373" s="14" t="s">
        <v>938</v>
      </c>
      <c r="E1373" s="14" t="s">
        <v>939</v>
      </c>
      <c r="F1373" s="3" t="s">
        <v>945</v>
      </c>
      <c r="G1373" s="4">
        <v>1</v>
      </c>
      <c r="H1373" s="12">
        <v>169.932</v>
      </c>
      <c r="I1373" s="12">
        <v>8.325147</v>
      </c>
      <c r="J1373" s="13">
        <v>0.0489910493</v>
      </c>
      <c r="K1373" s="13">
        <v>0.0489910493</v>
      </c>
      <c r="L1373" s="12">
        <v>24.99</v>
      </c>
      <c r="M1373" s="13">
        <v>0.1389644328</v>
      </c>
      <c r="N1373" s="13">
        <v>0.1166785125</v>
      </c>
      <c r="O1373" s="13">
        <v>0.3153261304</v>
      </c>
      <c r="P1373" s="13">
        <v>0</v>
      </c>
      <c r="Q1373" s="13">
        <v>0.0007631876</v>
      </c>
      <c r="R1373" s="13">
        <v>0.256902761</v>
      </c>
      <c r="S1373" s="13">
        <v>0</v>
      </c>
      <c r="T1373" s="13">
        <v>0.1080432172</v>
      </c>
      <c r="U1373" s="13">
        <v>0.0143307087</v>
      </c>
      <c r="V1373" s="13">
        <v>0</v>
      </c>
      <c r="W1373" s="13">
        <v>0</v>
      </c>
      <c r="X1373" s="13">
        <v>0</v>
      </c>
      <c r="Y1373" s="13">
        <v>0</v>
      </c>
      <c r="Z1373" s="13">
        <v>0</v>
      </c>
    </row>
    <row r="1374" s="2" customFormat="1" hidden="1" spans="1:26">
      <c r="A1374" s="11" t="s">
        <v>935</v>
      </c>
      <c r="B1374" s="11" t="s">
        <v>937</v>
      </c>
      <c r="C1374" s="14" t="s">
        <v>630</v>
      </c>
      <c r="D1374" s="14" t="s">
        <v>938</v>
      </c>
      <c r="E1374" s="14" t="s">
        <v>939</v>
      </c>
      <c r="F1374" s="3" t="s">
        <v>936</v>
      </c>
      <c r="G1374" s="4">
        <v>140</v>
      </c>
      <c r="H1374" s="12">
        <v>23391.048</v>
      </c>
      <c r="I1374" s="12">
        <v>-86.68502</v>
      </c>
      <c r="J1374" s="13">
        <v>-0.0037059057</v>
      </c>
      <c r="K1374" s="13">
        <v>-0.0037059057</v>
      </c>
      <c r="L1374" s="12">
        <v>24.5704285714</v>
      </c>
      <c r="M1374" s="13">
        <v>0.1339985428</v>
      </c>
      <c r="N1374" s="13">
        <v>0.1114780535</v>
      </c>
      <c r="O1374" s="13">
        <v>0.3208299174</v>
      </c>
      <c r="P1374" s="13">
        <v>0.0217944916</v>
      </c>
      <c r="Q1374" s="13">
        <v>0.0278479944</v>
      </c>
      <c r="R1374" s="13">
        <v>0.2631874839</v>
      </c>
      <c r="S1374" s="13">
        <v>0</v>
      </c>
      <c r="T1374" s="13">
        <v>0.1118272255</v>
      </c>
      <c r="U1374" s="13">
        <v>0.0138186003</v>
      </c>
      <c r="V1374" s="13">
        <v>0.0005319983</v>
      </c>
      <c r="W1374" s="13">
        <v>-0.0018131363</v>
      </c>
      <c r="X1374" s="13">
        <v>0</v>
      </c>
      <c r="Y1374" s="13">
        <v>0</v>
      </c>
      <c r="Z1374" s="13">
        <v>0.000204734</v>
      </c>
    </row>
    <row r="1375" s="2" customFormat="1" hidden="1" spans="1:26">
      <c r="A1375" s="11" t="s">
        <v>935</v>
      </c>
      <c r="B1375" s="11" t="s">
        <v>937</v>
      </c>
      <c r="C1375" s="14" t="s">
        <v>630</v>
      </c>
      <c r="D1375" s="14" t="s">
        <v>938</v>
      </c>
      <c r="E1375" s="14" t="s">
        <v>939</v>
      </c>
      <c r="F1375" s="3" t="s">
        <v>942</v>
      </c>
      <c r="G1375" s="4">
        <v>7</v>
      </c>
      <c r="H1375" s="12">
        <v>1141.924</v>
      </c>
      <c r="I1375" s="12">
        <v>-169.058163</v>
      </c>
      <c r="J1375" s="13">
        <v>-0.1480467728</v>
      </c>
      <c r="K1375" s="13">
        <v>-0.1480467728</v>
      </c>
      <c r="L1375" s="12">
        <v>23.99</v>
      </c>
      <c r="M1375" s="13">
        <v>0.1394978361</v>
      </c>
      <c r="N1375" s="13">
        <v>0.0595680614</v>
      </c>
      <c r="O1375" s="13">
        <v>0.3213839099</v>
      </c>
      <c r="P1375" s="13">
        <v>0</v>
      </c>
      <c r="Q1375" s="13">
        <v>0.0060198909</v>
      </c>
      <c r="R1375" s="13">
        <v>0.5250344978</v>
      </c>
      <c r="S1375" s="13">
        <v>0</v>
      </c>
      <c r="T1375" s="13">
        <v>0.080688382</v>
      </c>
      <c r="U1375" s="13">
        <v>0.0143857183</v>
      </c>
      <c r="V1375" s="13">
        <v>0</v>
      </c>
      <c r="W1375" s="13">
        <v>0</v>
      </c>
      <c r="X1375" s="13">
        <v>0</v>
      </c>
      <c r="Y1375" s="13">
        <v>0</v>
      </c>
      <c r="Z1375" s="13">
        <v>0.001468476</v>
      </c>
    </row>
    <row r="1376" s="2" customFormat="1" hidden="1" spans="1:26">
      <c r="A1376" s="11" t="s">
        <v>935</v>
      </c>
      <c r="B1376" s="11" t="s">
        <v>937</v>
      </c>
      <c r="C1376" s="14" t="s">
        <v>630</v>
      </c>
      <c r="D1376" s="14" t="s">
        <v>938</v>
      </c>
      <c r="E1376" s="14" t="s">
        <v>939</v>
      </c>
      <c r="F1376" s="3" t="s">
        <v>943</v>
      </c>
      <c r="G1376" s="4">
        <v>39</v>
      </c>
      <c r="H1376" s="12">
        <v>6593.348</v>
      </c>
      <c r="I1376" s="12">
        <v>300.582559</v>
      </c>
      <c r="J1376" s="13">
        <v>0.0455887599</v>
      </c>
      <c r="K1376" s="13">
        <v>0.0455887599</v>
      </c>
      <c r="L1376" s="12">
        <v>24.8617948717</v>
      </c>
      <c r="M1376" s="13">
        <v>0.1343919285</v>
      </c>
      <c r="N1376" s="13">
        <v>0.1102197763</v>
      </c>
      <c r="O1376" s="13">
        <v>0.3233877538</v>
      </c>
      <c r="P1376" s="13">
        <v>0</v>
      </c>
      <c r="Q1376" s="13">
        <v>0.01723251</v>
      </c>
      <c r="R1376" s="13">
        <v>0.2435042512</v>
      </c>
      <c r="S1376" s="13">
        <v>0</v>
      </c>
      <c r="T1376" s="13">
        <v>0.1117356462</v>
      </c>
      <c r="U1376" s="13">
        <v>0.0138591692</v>
      </c>
      <c r="V1376" s="13">
        <v>0</v>
      </c>
      <c r="W1376" s="13">
        <v>0</v>
      </c>
      <c r="X1376" s="13">
        <v>0</v>
      </c>
      <c r="Y1376" s="13">
        <v>0</v>
      </c>
      <c r="Z1376" s="13">
        <v>8.02044e-5</v>
      </c>
    </row>
    <row r="1377" s="2" customFormat="1" spans="1:26">
      <c r="A1377" s="11" t="s">
        <v>935</v>
      </c>
      <c r="B1377" s="11" t="s">
        <v>937</v>
      </c>
      <c r="C1377" s="14" t="s">
        <v>630</v>
      </c>
      <c r="D1377" s="14" t="s">
        <v>938</v>
      </c>
      <c r="E1377" s="14" t="s">
        <v>939</v>
      </c>
      <c r="F1377" s="3" t="s">
        <v>944</v>
      </c>
      <c r="G1377" s="4">
        <v>90</v>
      </c>
      <c r="H1377" s="12">
        <v>14976.048</v>
      </c>
      <c r="I1377" s="12">
        <v>-145.711675</v>
      </c>
      <c r="J1377" s="13">
        <v>-0.0097296479</v>
      </c>
      <c r="K1377" s="13">
        <v>-0.0097296479</v>
      </c>
      <c r="L1377" s="12">
        <v>24.4706666666</v>
      </c>
      <c r="M1377" s="13">
        <v>0.1334232202</v>
      </c>
      <c r="N1377" s="13">
        <v>0.1157868511</v>
      </c>
      <c r="O1377" s="13">
        <v>0.3197660691</v>
      </c>
      <c r="P1377" s="13">
        <v>0.0340407562</v>
      </c>
      <c r="Q1377" s="13">
        <v>0.0354152721</v>
      </c>
      <c r="R1377" s="13">
        <v>0.2454979648</v>
      </c>
      <c r="S1377" s="13">
        <v>0</v>
      </c>
      <c r="T1377" s="13">
        <v>0.1138687589</v>
      </c>
      <c r="U1377" s="13">
        <v>0.0137592694</v>
      </c>
      <c r="V1377" s="13">
        <v>0.0008309268</v>
      </c>
      <c r="W1377" s="13">
        <v>-0.0028319326</v>
      </c>
      <c r="X1377" s="13">
        <v>0</v>
      </c>
      <c r="Y1377" s="13">
        <v>0</v>
      </c>
      <c r="Z1377" s="13">
        <v>0.0001724913</v>
      </c>
    </row>
    <row r="1378" s="2" customFormat="1" hidden="1" spans="1:26">
      <c r="A1378" s="11" t="s">
        <v>935</v>
      </c>
      <c r="B1378" s="11" t="s">
        <v>937</v>
      </c>
      <c r="C1378" s="14" t="s">
        <v>630</v>
      </c>
      <c r="D1378" s="14" t="s">
        <v>938</v>
      </c>
      <c r="E1378" s="14" t="s">
        <v>939</v>
      </c>
      <c r="F1378" s="3" t="s">
        <v>945</v>
      </c>
      <c r="G1378" s="4">
        <v>4</v>
      </c>
      <c r="H1378" s="12">
        <v>679.728</v>
      </c>
      <c r="I1378" s="12">
        <v>-72.497741</v>
      </c>
      <c r="J1378" s="13">
        <v>-0.1066569877</v>
      </c>
      <c r="K1378" s="13">
        <v>-0.1066569877</v>
      </c>
      <c r="L1378" s="12">
        <v>24.99</v>
      </c>
      <c r="M1378" s="13">
        <v>0.1336197949</v>
      </c>
      <c r="N1378" s="13">
        <v>0.1159574418</v>
      </c>
      <c r="O1378" s="13">
        <v>0.3185274109</v>
      </c>
      <c r="P1378" s="13">
        <v>0</v>
      </c>
      <c r="Q1378" s="13">
        <v>0.0007631949</v>
      </c>
      <c r="R1378" s="13">
        <v>0.4039615846</v>
      </c>
      <c r="S1378" s="13">
        <v>0</v>
      </c>
      <c r="T1378" s="13">
        <v>0.1200480192</v>
      </c>
      <c r="U1378" s="13">
        <v>0.0137795412</v>
      </c>
      <c r="V1378" s="13">
        <v>0</v>
      </c>
      <c r="W1378" s="13">
        <v>0</v>
      </c>
      <c r="X1378" s="13">
        <v>0</v>
      </c>
      <c r="Y1378" s="13">
        <v>0</v>
      </c>
      <c r="Z1378" s="13">
        <v>0</v>
      </c>
    </row>
    <row r="1379" s="2" customFormat="1" hidden="1" spans="1:26">
      <c r="A1379" s="11" t="s">
        <v>935</v>
      </c>
      <c r="B1379" s="11" t="s">
        <v>937</v>
      </c>
      <c r="C1379" s="14" t="s">
        <v>635</v>
      </c>
      <c r="D1379" s="14" t="s">
        <v>938</v>
      </c>
      <c r="E1379" s="14" t="s">
        <v>939</v>
      </c>
      <c r="F1379" s="3" t="s">
        <v>936</v>
      </c>
      <c r="G1379" s="4">
        <v>205</v>
      </c>
      <c r="H1379" s="12">
        <v>32528.344</v>
      </c>
      <c r="I1379" s="12">
        <v>-415.825698</v>
      </c>
      <c r="J1379" s="13">
        <v>-0.012783488</v>
      </c>
      <c r="K1379" s="13">
        <v>-0.012783488</v>
      </c>
      <c r="L1379" s="12">
        <v>23.3345365853</v>
      </c>
      <c r="M1379" s="13">
        <v>0.1917654375</v>
      </c>
      <c r="N1379" s="13">
        <v>0.0609213897</v>
      </c>
      <c r="O1379" s="13">
        <v>0.2966857458</v>
      </c>
      <c r="P1379" s="13">
        <v>0.0456060105</v>
      </c>
      <c r="Q1379" s="13">
        <v>0.0228861789</v>
      </c>
      <c r="R1379" s="13">
        <v>0.2769887144</v>
      </c>
      <c r="S1379" s="13">
        <v>0</v>
      </c>
      <c r="T1379" s="13">
        <v>0.1023668465</v>
      </c>
      <c r="U1379" s="13">
        <v>0.0197758128</v>
      </c>
      <c r="V1379" s="13">
        <v>0.0003825586</v>
      </c>
      <c r="W1379" s="13">
        <v>-0.0051019857</v>
      </c>
      <c r="X1379" s="13">
        <v>0</v>
      </c>
      <c r="Y1379" s="13">
        <v>0</v>
      </c>
      <c r="Z1379" s="13">
        <v>0.0005067786</v>
      </c>
    </row>
    <row r="1380" s="2" customFormat="1" hidden="1" spans="1:26">
      <c r="A1380" s="11" t="s">
        <v>935</v>
      </c>
      <c r="B1380" s="11" t="s">
        <v>937</v>
      </c>
      <c r="C1380" s="14" t="s">
        <v>635</v>
      </c>
      <c r="D1380" s="14" t="s">
        <v>938</v>
      </c>
      <c r="E1380" s="14" t="s">
        <v>939</v>
      </c>
      <c r="F1380" s="3" t="s">
        <v>941</v>
      </c>
      <c r="G1380" s="4">
        <v>14</v>
      </c>
      <c r="H1380" s="12">
        <v>2379.048</v>
      </c>
      <c r="I1380" s="12">
        <v>-899.372012</v>
      </c>
      <c r="J1380" s="13">
        <v>-0.3780386154</v>
      </c>
      <c r="K1380" s="13">
        <v>-0.3780386154</v>
      </c>
      <c r="L1380" s="12">
        <v>24.99</v>
      </c>
      <c r="M1380" s="13">
        <v>0.1900096038</v>
      </c>
      <c r="N1380" s="13">
        <v>0.0416826671</v>
      </c>
      <c r="O1380" s="13">
        <v>0.258160407</v>
      </c>
      <c r="P1380" s="13">
        <v>0</v>
      </c>
      <c r="Q1380" s="13">
        <v>0.0044585691</v>
      </c>
      <c r="R1380" s="13">
        <v>0.8229631507</v>
      </c>
      <c r="S1380" s="13">
        <v>0</v>
      </c>
      <c r="T1380" s="13">
        <v>0.040301835</v>
      </c>
      <c r="U1380" s="13">
        <v>0.0195947437</v>
      </c>
      <c r="V1380" s="13">
        <v>0</v>
      </c>
      <c r="W1380" s="13">
        <v>0</v>
      </c>
      <c r="X1380" s="13">
        <v>0</v>
      </c>
      <c r="Y1380" s="13">
        <v>0</v>
      </c>
      <c r="Z1380" s="13">
        <v>0.0008676386</v>
      </c>
    </row>
    <row r="1381" s="2" customFormat="1" hidden="1" spans="1:26">
      <c r="A1381" s="11" t="s">
        <v>935</v>
      </c>
      <c r="B1381" s="11" t="s">
        <v>937</v>
      </c>
      <c r="C1381" s="14" t="s">
        <v>635</v>
      </c>
      <c r="D1381" s="14" t="s">
        <v>938</v>
      </c>
      <c r="E1381" s="14" t="s">
        <v>939</v>
      </c>
      <c r="F1381" s="3" t="s">
        <v>942</v>
      </c>
      <c r="G1381" s="4">
        <v>50</v>
      </c>
      <c r="H1381" s="12">
        <v>8187.2</v>
      </c>
      <c r="I1381" s="12">
        <v>964.418173</v>
      </c>
      <c r="J1381" s="13">
        <v>0.1177958487</v>
      </c>
      <c r="K1381" s="13">
        <v>0.1177958487</v>
      </c>
      <c r="L1381" s="12">
        <v>24.08</v>
      </c>
      <c r="M1381" s="13">
        <v>0.197190199</v>
      </c>
      <c r="N1381" s="13">
        <v>0.0432578842</v>
      </c>
      <c r="O1381" s="13">
        <v>0.2620598006</v>
      </c>
      <c r="P1381" s="13">
        <v>0</v>
      </c>
      <c r="Q1381" s="13">
        <v>0.0204111798</v>
      </c>
      <c r="R1381" s="13">
        <v>0.228336852</v>
      </c>
      <c r="S1381" s="13">
        <v>0</v>
      </c>
      <c r="T1381" s="13">
        <v>0.1091445182</v>
      </c>
      <c r="U1381" s="13">
        <v>0.0203352425</v>
      </c>
      <c r="V1381" s="13">
        <v>0</v>
      </c>
      <c r="W1381" s="13">
        <v>0</v>
      </c>
      <c r="X1381" s="13">
        <v>0</v>
      </c>
      <c r="Y1381" s="13">
        <v>0</v>
      </c>
      <c r="Z1381" s="13">
        <v>0.0014684743</v>
      </c>
    </row>
    <row r="1382" s="2" customFormat="1" hidden="1" spans="1:26">
      <c r="A1382" s="11" t="s">
        <v>935</v>
      </c>
      <c r="B1382" s="11" t="s">
        <v>937</v>
      </c>
      <c r="C1382" s="14" t="s">
        <v>635</v>
      </c>
      <c r="D1382" s="14" t="s">
        <v>938</v>
      </c>
      <c r="E1382" s="14" t="s">
        <v>939</v>
      </c>
      <c r="F1382" s="3" t="s">
        <v>943</v>
      </c>
      <c r="G1382" s="4">
        <v>93</v>
      </c>
      <c r="H1382" s="12">
        <v>14113.808</v>
      </c>
      <c r="I1382" s="12">
        <v>350.284468</v>
      </c>
      <c r="J1382" s="13">
        <v>0.0248185654</v>
      </c>
      <c r="K1382" s="13">
        <v>0.0248185654</v>
      </c>
      <c r="L1382" s="12">
        <v>22.3178494623</v>
      </c>
      <c r="M1382" s="13">
        <v>0.1983160373</v>
      </c>
      <c r="N1382" s="13">
        <v>0.0702968174</v>
      </c>
      <c r="O1382" s="13">
        <v>0.320915801</v>
      </c>
      <c r="P1382" s="13">
        <v>0.044908362</v>
      </c>
      <c r="Q1382" s="13">
        <v>0.0141589577</v>
      </c>
      <c r="R1382" s="13">
        <v>0.1951248129</v>
      </c>
      <c r="S1382" s="13">
        <v>0</v>
      </c>
      <c r="T1382" s="13">
        <v>0.1107315616</v>
      </c>
      <c r="U1382" s="13">
        <v>0.0204513424</v>
      </c>
      <c r="V1382" s="13">
        <v>0.000197537</v>
      </c>
      <c r="W1382" s="13">
        <v>0</v>
      </c>
      <c r="X1382" s="13">
        <v>0</v>
      </c>
      <c r="Y1382" s="13">
        <v>0</v>
      </c>
      <c r="Z1382" s="13">
        <v>8.02048e-5</v>
      </c>
    </row>
    <row r="1383" s="2" customFormat="1" spans="1:26">
      <c r="A1383" s="11" t="s">
        <v>935</v>
      </c>
      <c r="B1383" s="11" t="s">
        <v>937</v>
      </c>
      <c r="C1383" s="14" t="s">
        <v>635</v>
      </c>
      <c r="D1383" s="14" t="s">
        <v>938</v>
      </c>
      <c r="E1383" s="14" t="s">
        <v>939</v>
      </c>
      <c r="F1383" s="3" t="s">
        <v>944</v>
      </c>
      <c r="G1383" s="4">
        <v>45</v>
      </c>
      <c r="H1383" s="12">
        <v>7338.492</v>
      </c>
      <c r="I1383" s="12">
        <v>-868.292156</v>
      </c>
      <c r="J1383" s="13">
        <v>-0.1183202429</v>
      </c>
      <c r="K1383" s="13">
        <v>-0.1183202429</v>
      </c>
      <c r="L1383" s="12">
        <v>23.982</v>
      </c>
      <c r="M1383" s="13">
        <v>0.1748097074</v>
      </c>
      <c r="N1383" s="13">
        <v>0.0683002994</v>
      </c>
      <c r="O1383" s="13">
        <v>0.3008274724</v>
      </c>
      <c r="P1383" s="13">
        <v>0.1157812804</v>
      </c>
      <c r="Q1383" s="13">
        <v>0.0499429655</v>
      </c>
      <c r="R1383" s="13">
        <v>0.3135916381</v>
      </c>
      <c r="S1383" s="13">
        <v>0</v>
      </c>
      <c r="T1383" s="13">
        <v>0.0981662172</v>
      </c>
      <c r="U1383" s="13">
        <v>0.0180272532</v>
      </c>
      <c r="V1383" s="13">
        <v>0.0013158016</v>
      </c>
      <c r="W1383" s="13">
        <v>-0.0226148843</v>
      </c>
      <c r="X1383" s="13">
        <v>0</v>
      </c>
      <c r="Y1383" s="13">
        <v>0</v>
      </c>
      <c r="Z1383" s="13">
        <v>0.0001724915</v>
      </c>
    </row>
    <row r="1384" s="2" customFormat="1" hidden="1" spans="1:26">
      <c r="A1384" s="11" t="s">
        <v>935</v>
      </c>
      <c r="B1384" s="11" t="s">
        <v>937</v>
      </c>
      <c r="C1384" s="14" t="s">
        <v>635</v>
      </c>
      <c r="D1384" s="14" t="s">
        <v>938</v>
      </c>
      <c r="E1384" s="14" t="s">
        <v>939</v>
      </c>
      <c r="F1384" s="3" t="s">
        <v>945</v>
      </c>
      <c r="G1384" s="4">
        <v>3</v>
      </c>
      <c r="H1384" s="12">
        <v>509.796</v>
      </c>
      <c r="I1384" s="12">
        <v>37.135829</v>
      </c>
      <c r="J1384" s="13">
        <v>0.0728444887</v>
      </c>
      <c r="K1384" s="13">
        <v>0.0728444887</v>
      </c>
      <c r="L1384" s="12">
        <v>24.99</v>
      </c>
      <c r="M1384" s="13">
        <v>0.1755612833</v>
      </c>
      <c r="N1384" s="13">
        <v>0.0685939493</v>
      </c>
      <c r="O1384" s="13">
        <v>0.3021208483</v>
      </c>
      <c r="P1384" s="13">
        <v>0</v>
      </c>
      <c r="Q1384" s="13">
        <v>0.0007631993</v>
      </c>
      <c r="R1384" s="13">
        <v>0.2499666533</v>
      </c>
      <c r="S1384" s="13">
        <v>0</v>
      </c>
      <c r="T1384" s="13">
        <v>0.1120448179</v>
      </c>
      <c r="U1384" s="13">
        <v>0.0181047595</v>
      </c>
      <c r="V1384" s="13">
        <v>0</v>
      </c>
      <c r="W1384" s="13">
        <v>0</v>
      </c>
      <c r="X1384" s="13">
        <v>0</v>
      </c>
      <c r="Y1384" s="13">
        <v>0</v>
      </c>
      <c r="Z1384" s="13">
        <v>0</v>
      </c>
    </row>
    <row r="1385" s="2" customFormat="1" hidden="1" spans="1:26">
      <c r="A1385" s="11" t="s">
        <v>935</v>
      </c>
      <c r="B1385" s="11" t="s">
        <v>937</v>
      </c>
      <c r="C1385" s="14" t="s">
        <v>640</v>
      </c>
      <c r="D1385" s="14" t="s">
        <v>938</v>
      </c>
      <c r="E1385" s="14" t="s">
        <v>939</v>
      </c>
      <c r="F1385" s="3" t="s">
        <v>936</v>
      </c>
      <c r="G1385" s="4">
        <v>122</v>
      </c>
      <c r="H1385" s="12">
        <v>19326.824</v>
      </c>
      <c r="I1385" s="12">
        <v>3540.929322</v>
      </c>
      <c r="J1385" s="13">
        <v>0.1832132026</v>
      </c>
      <c r="K1385" s="13">
        <v>0.1832132026</v>
      </c>
      <c r="L1385" s="12">
        <v>23.296557377</v>
      </c>
      <c r="M1385" s="13">
        <v>0.1276544523</v>
      </c>
      <c r="N1385" s="13">
        <v>0.0269447604</v>
      </c>
      <c r="O1385" s="13">
        <v>0.2688745962</v>
      </c>
      <c r="P1385" s="13">
        <v>0.0084407039</v>
      </c>
      <c r="Q1385" s="13">
        <v>0.0174968036</v>
      </c>
      <c r="R1385" s="13">
        <v>0.2518893683</v>
      </c>
      <c r="S1385" s="13">
        <v>0</v>
      </c>
      <c r="T1385" s="13">
        <v>0.1027837786</v>
      </c>
      <c r="U1385" s="13">
        <v>0.013164368</v>
      </c>
      <c r="V1385" s="13">
        <v>0</v>
      </c>
      <c r="W1385" s="13">
        <v>-0.0012409069</v>
      </c>
      <c r="X1385" s="13">
        <v>0</v>
      </c>
      <c r="Y1385" s="13">
        <v>0</v>
      </c>
      <c r="Z1385" s="13">
        <v>0.0007788726</v>
      </c>
    </row>
    <row r="1386" s="2" customFormat="1" hidden="1" spans="1:26">
      <c r="A1386" s="11" t="s">
        <v>935</v>
      </c>
      <c r="B1386" s="11" t="s">
        <v>937</v>
      </c>
      <c r="C1386" s="14" t="s">
        <v>640</v>
      </c>
      <c r="D1386" s="14" t="s">
        <v>938</v>
      </c>
      <c r="E1386" s="14" t="s">
        <v>939</v>
      </c>
      <c r="F1386" s="3" t="s">
        <v>940</v>
      </c>
      <c r="G1386" s="4">
        <v>4</v>
      </c>
      <c r="H1386" s="12">
        <v>652.528</v>
      </c>
      <c r="I1386" s="12">
        <v>-183.603619</v>
      </c>
      <c r="J1386" s="13">
        <v>-0.2813727824</v>
      </c>
      <c r="K1386" s="13">
        <v>-0.2813727824</v>
      </c>
      <c r="L1386" s="12">
        <v>23.99</v>
      </c>
      <c r="M1386" s="13">
        <v>0.1243271154</v>
      </c>
      <c r="N1386" s="13">
        <v>0.0289386631</v>
      </c>
      <c r="O1386" s="13">
        <v>0.2542726135</v>
      </c>
      <c r="P1386" s="13">
        <v>0</v>
      </c>
      <c r="Q1386" s="13">
        <v>0.0180943775</v>
      </c>
      <c r="R1386" s="13">
        <v>0.7852241221</v>
      </c>
      <c r="S1386" s="13">
        <v>0</v>
      </c>
      <c r="T1386" s="13">
        <v>0.0573155481</v>
      </c>
      <c r="U1386" s="13">
        <v>0.0128212367</v>
      </c>
      <c r="V1386" s="13">
        <v>0</v>
      </c>
      <c r="W1386" s="13">
        <v>0</v>
      </c>
      <c r="X1386" s="13">
        <v>0</v>
      </c>
      <c r="Y1386" s="13">
        <v>0</v>
      </c>
      <c r="Z1386" s="13">
        <v>0.0003791055</v>
      </c>
    </row>
    <row r="1387" s="2" customFormat="1" hidden="1" spans="1:26">
      <c r="A1387" s="11" t="s">
        <v>935</v>
      </c>
      <c r="B1387" s="11" t="s">
        <v>937</v>
      </c>
      <c r="C1387" s="14" t="s">
        <v>640</v>
      </c>
      <c r="D1387" s="14" t="s">
        <v>938</v>
      </c>
      <c r="E1387" s="14" t="s">
        <v>939</v>
      </c>
      <c r="F1387" s="3" t="s">
        <v>941</v>
      </c>
      <c r="G1387" s="4">
        <v>32</v>
      </c>
      <c r="H1387" s="12">
        <v>5066.816</v>
      </c>
      <c r="I1387" s="12">
        <v>296.219319</v>
      </c>
      <c r="J1387" s="13">
        <v>0.0584626161</v>
      </c>
      <c r="K1387" s="13">
        <v>0.0584626161</v>
      </c>
      <c r="L1387" s="12">
        <v>23.285</v>
      </c>
      <c r="M1387" s="13">
        <v>0.1280913678</v>
      </c>
      <c r="N1387" s="13">
        <v>0.0333463855</v>
      </c>
      <c r="O1387" s="13">
        <v>0.2645077302</v>
      </c>
      <c r="P1387" s="13">
        <v>0.0321961563</v>
      </c>
      <c r="Q1387" s="13">
        <v>0.0091563386</v>
      </c>
      <c r="R1387" s="13">
        <v>0.3749680098</v>
      </c>
      <c r="S1387" s="13">
        <v>0</v>
      </c>
      <c r="T1387" s="13">
        <v>0.0851943311</v>
      </c>
      <c r="U1387" s="13">
        <v>0.0132094254</v>
      </c>
      <c r="V1387" s="13">
        <v>0</v>
      </c>
      <c r="W1387" s="13">
        <v>0</v>
      </c>
      <c r="X1387" s="13">
        <v>0</v>
      </c>
      <c r="Y1387" s="13">
        <v>0</v>
      </c>
      <c r="Z1387" s="13">
        <v>0.0008676387</v>
      </c>
    </row>
    <row r="1388" s="2" customFormat="1" hidden="1" spans="1:26">
      <c r="A1388" s="11" t="s">
        <v>935</v>
      </c>
      <c r="B1388" s="11" t="s">
        <v>937</v>
      </c>
      <c r="C1388" s="14" t="s">
        <v>640</v>
      </c>
      <c r="D1388" s="14" t="s">
        <v>938</v>
      </c>
      <c r="E1388" s="14" t="s">
        <v>939</v>
      </c>
      <c r="F1388" s="3" t="s">
        <v>942</v>
      </c>
      <c r="G1388" s="4">
        <v>43</v>
      </c>
      <c r="H1388" s="12">
        <v>6592.804</v>
      </c>
      <c r="I1388" s="12">
        <v>1543.633039</v>
      </c>
      <c r="J1388" s="13">
        <v>0.2341390763</v>
      </c>
      <c r="K1388" s="13">
        <v>0.2341390763</v>
      </c>
      <c r="L1388" s="12">
        <v>22.5472093023</v>
      </c>
      <c r="M1388" s="13">
        <v>0.1322827787</v>
      </c>
      <c r="N1388" s="13">
        <v>0.0252184462</v>
      </c>
      <c r="O1388" s="13">
        <v>0.2798675646</v>
      </c>
      <c r="P1388" s="13">
        <v>0</v>
      </c>
      <c r="Q1388" s="13">
        <v>0.0214431545</v>
      </c>
      <c r="R1388" s="13">
        <v>0.1811222581</v>
      </c>
      <c r="S1388" s="13">
        <v>0</v>
      </c>
      <c r="T1388" s="13">
        <v>0.1108165812</v>
      </c>
      <c r="U1388" s="13">
        <v>0.0136416646</v>
      </c>
      <c r="V1388" s="13">
        <v>0</v>
      </c>
      <c r="W1388" s="13">
        <v>0</v>
      </c>
      <c r="X1388" s="13">
        <v>0</v>
      </c>
      <c r="Y1388" s="13">
        <v>0</v>
      </c>
      <c r="Z1388" s="13">
        <v>0.0014684754</v>
      </c>
    </row>
    <row r="1389" s="2" customFormat="1" hidden="1" spans="1:26">
      <c r="A1389" s="11" t="s">
        <v>935</v>
      </c>
      <c r="B1389" s="11" t="s">
        <v>937</v>
      </c>
      <c r="C1389" s="14" t="s">
        <v>640</v>
      </c>
      <c r="D1389" s="14" t="s">
        <v>938</v>
      </c>
      <c r="E1389" s="14" t="s">
        <v>939</v>
      </c>
      <c r="F1389" s="3" t="s">
        <v>943</v>
      </c>
      <c r="G1389" s="4">
        <v>32</v>
      </c>
      <c r="H1389" s="12">
        <v>5220.224</v>
      </c>
      <c r="I1389" s="12">
        <v>1620.31099</v>
      </c>
      <c r="J1389" s="13">
        <v>0.3103910847</v>
      </c>
      <c r="K1389" s="13">
        <v>0.3103910847</v>
      </c>
      <c r="L1389" s="12">
        <v>23.99</v>
      </c>
      <c r="M1389" s="13">
        <v>0.1233128566</v>
      </c>
      <c r="N1389" s="13">
        <v>0.0237017748</v>
      </c>
      <c r="O1389" s="13">
        <v>0.2630523134</v>
      </c>
      <c r="P1389" s="13">
        <v>0</v>
      </c>
      <c r="Q1389" s="13">
        <v>0.0181455975</v>
      </c>
      <c r="R1389" s="13">
        <v>0.1395786864</v>
      </c>
      <c r="S1389" s="13">
        <v>0</v>
      </c>
      <c r="T1389" s="13">
        <v>0.1136150479</v>
      </c>
      <c r="U1389" s="13">
        <v>0.0127166401</v>
      </c>
      <c r="V1389" s="13">
        <v>0</v>
      </c>
      <c r="W1389" s="13">
        <v>-0.0045942072</v>
      </c>
      <c r="X1389" s="13">
        <v>0</v>
      </c>
      <c r="Y1389" s="13">
        <v>0</v>
      </c>
      <c r="Z1389" s="13">
        <v>8.02053e-5</v>
      </c>
    </row>
    <row r="1390" s="2" customFormat="1" spans="1:26">
      <c r="A1390" s="11" t="s">
        <v>935</v>
      </c>
      <c r="B1390" s="11" t="s">
        <v>937</v>
      </c>
      <c r="C1390" s="14" t="s">
        <v>640</v>
      </c>
      <c r="D1390" s="14" t="s">
        <v>938</v>
      </c>
      <c r="E1390" s="14" t="s">
        <v>939</v>
      </c>
      <c r="F1390" s="3" t="s">
        <v>944</v>
      </c>
      <c r="G1390" s="4">
        <v>11</v>
      </c>
      <c r="H1390" s="12">
        <v>1794.452</v>
      </c>
      <c r="I1390" s="12">
        <v>264.369593</v>
      </c>
      <c r="J1390" s="13">
        <v>0.1473260878</v>
      </c>
      <c r="K1390" s="13">
        <v>0.1473260878</v>
      </c>
      <c r="L1390" s="12">
        <v>23.99</v>
      </c>
      <c r="M1390" s="13">
        <v>0.1232563757</v>
      </c>
      <c r="N1390" s="13">
        <v>0.0239206771</v>
      </c>
      <c r="O1390" s="13">
        <v>0.2630641555</v>
      </c>
      <c r="P1390" s="13">
        <v>0</v>
      </c>
      <c r="Q1390" s="13">
        <v>0.024443381</v>
      </c>
      <c r="R1390" s="13">
        <v>0.2971443627</v>
      </c>
      <c r="S1390" s="13">
        <v>0</v>
      </c>
      <c r="T1390" s="13">
        <v>0.1079616506</v>
      </c>
      <c r="U1390" s="13">
        <v>0.0127108164</v>
      </c>
      <c r="V1390" s="13">
        <v>0</v>
      </c>
      <c r="W1390" s="13">
        <v>0</v>
      </c>
      <c r="X1390" s="13">
        <v>0</v>
      </c>
      <c r="Y1390" s="13">
        <v>0</v>
      </c>
      <c r="Z1390" s="13">
        <v>0.0001724927</v>
      </c>
    </row>
    <row r="1391" s="2" customFormat="1" hidden="1" spans="1:26">
      <c r="A1391" s="11" t="s">
        <v>935</v>
      </c>
      <c r="B1391" s="11" t="s">
        <v>937</v>
      </c>
      <c r="C1391" s="14" t="s">
        <v>645</v>
      </c>
      <c r="D1391" s="14" t="s">
        <v>938</v>
      </c>
      <c r="E1391" s="14" t="s">
        <v>939</v>
      </c>
      <c r="F1391" s="3" t="s">
        <v>936</v>
      </c>
      <c r="G1391" s="4">
        <v>108</v>
      </c>
      <c r="H1391" s="12">
        <v>15125.104</v>
      </c>
      <c r="I1391" s="12">
        <v>-258.824067</v>
      </c>
      <c r="J1391" s="13">
        <v>-0.0171122173</v>
      </c>
      <c r="K1391" s="13">
        <v>-0.0171122173</v>
      </c>
      <c r="L1391" s="12">
        <v>20.5951851851</v>
      </c>
      <c r="M1391" s="13">
        <v>0.1478956895</v>
      </c>
      <c r="N1391" s="13">
        <v>0.0337575576</v>
      </c>
      <c r="O1391" s="13">
        <v>0.3380105022</v>
      </c>
      <c r="P1391" s="13">
        <v>0.0714118726</v>
      </c>
      <c r="Q1391" s="13">
        <v>0.0274266087</v>
      </c>
      <c r="R1391" s="13">
        <v>0.2940621325</v>
      </c>
      <c r="S1391" s="13">
        <v>0</v>
      </c>
      <c r="T1391" s="13">
        <v>0.108106893</v>
      </c>
      <c r="U1391" s="13">
        <v>0.0152517439</v>
      </c>
      <c r="V1391" s="13">
        <v>-0.004491341</v>
      </c>
      <c r="W1391" s="13">
        <v>-0.0037547212</v>
      </c>
      <c r="X1391" s="13">
        <v>0</v>
      </c>
      <c r="Y1391" s="13">
        <v>0</v>
      </c>
      <c r="Z1391" s="13">
        <v>-0.0105647207</v>
      </c>
    </row>
    <row r="1392" s="2" customFormat="1" hidden="1" spans="1:26">
      <c r="A1392" s="11" t="s">
        <v>935</v>
      </c>
      <c r="B1392" s="11" t="s">
        <v>937</v>
      </c>
      <c r="C1392" s="14" t="s">
        <v>645</v>
      </c>
      <c r="D1392" s="14" t="s">
        <v>938</v>
      </c>
      <c r="E1392" s="14" t="s">
        <v>939</v>
      </c>
      <c r="F1392" s="3" t="s">
        <v>940</v>
      </c>
      <c r="G1392" s="4">
        <v>3</v>
      </c>
      <c r="H1392" s="12">
        <v>481.236</v>
      </c>
      <c r="I1392" s="12">
        <v>-119.152568</v>
      </c>
      <c r="J1392" s="13">
        <v>-0.2475969545</v>
      </c>
      <c r="K1392" s="13">
        <v>-0.2475969545</v>
      </c>
      <c r="L1392" s="12">
        <v>23.59</v>
      </c>
      <c r="M1392" s="13">
        <v>0.1351474827</v>
      </c>
      <c r="N1392" s="13">
        <v>0.0331146984</v>
      </c>
      <c r="O1392" s="13">
        <v>0.2585841458</v>
      </c>
      <c r="P1392" s="13">
        <v>0</v>
      </c>
      <c r="Q1392" s="13">
        <v>0.0180943923</v>
      </c>
      <c r="R1392" s="13">
        <v>0.7451013847</v>
      </c>
      <c r="S1392" s="13">
        <v>0</v>
      </c>
      <c r="T1392" s="13">
        <v>0.0432386604</v>
      </c>
      <c r="U1392" s="13">
        <v>0.013937087</v>
      </c>
      <c r="V1392" s="13">
        <v>0</v>
      </c>
      <c r="W1392" s="13">
        <v>0</v>
      </c>
      <c r="X1392" s="13">
        <v>0</v>
      </c>
      <c r="Y1392" s="13">
        <v>0</v>
      </c>
      <c r="Z1392" s="13">
        <v>0.0003791029</v>
      </c>
    </row>
    <row r="1393" s="2" customFormat="1" hidden="1" spans="1:26">
      <c r="A1393" s="11" t="s">
        <v>935</v>
      </c>
      <c r="B1393" s="11" t="s">
        <v>937</v>
      </c>
      <c r="C1393" s="14" t="s">
        <v>645</v>
      </c>
      <c r="D1393" s="14" t="s">
        <v>938</v>
      </c>
      <c r="E1393" s="14" t="s">
        <v>939</v>
      </c>
      <c r="F1393" s="3" t="s">
        <v>941</v>
      </c>
      <c r="G1393" s="4">
        <v>28</v>
      </c>
      <c r="H1393" s="12">
        <v>3776.312</v>
      </c>
      <c r="I1393" s="12">
        <v>-129.880659</v>
      </c>
      <c r="J1393" s="13">
        <v>-0.0343935191</v>
      </c>
      <c r="K1393" s="13">
        <v>-0.0343935191</v>
      </c>
      <c r="L1393" s="12">
        <v>19.8335714285</v>
      </c>
      <c r="M1393" s="13">
        <v>0.1585124099</v>
      </c>
      <c r="N1393" s="13">
        <v>0.0330825143</v>
      </c>
      <c r="O1393" s="13">
        <v>0.3580689307</v>
      </c>
      <c r="P1393" s="13">
        <v>0.0410379227</v>
      </c>
      <c r="Q1393" s="13">
        <v>0.0104091669</v>
      </c>
      <c r="R1393" s="13">
        <v>0.3036507234</v>
      </c>
      <c r="S1393" s="13">
        <v>0</v>
      </c>
      <c r="T1393" s="13">
        <v>0.112417618</v>
      </c>
      <c r="U1393" s="13">
        <v>0.0163465931</v>
      </c>
      <c r="V1393" s="13">
        <v>0</v>
      </c>
      <c r="W1393" s="13">
        <v>0</v>
      </c>
      <c r="X1393" s="13">
        <v>0</v>
      </c>
      <c r="Y1393" s="13">
        <v>0</v>
      </c>
      <c r="Z1393" s="13">
        <v>0.0008676396</v>
      </c>
    </row>
    <row r="1394" s="2" customFormat="1" hidden="1" spans="1:26">
      <c r="A1394" s="11" t="s">
        <v>935</v>
      </c>
      <c r="B1394" s="11" t="s">
        <v>937</v>
      </c>
      <c r="C1394" s="14" t="s">
        <v>645</v>
      </c>
      <c r="D1394" s="14" t="s">
        <v>938</v>
      </c>
      <c r="E1394" s="14" t="s">
        <v>939</v>
      </c>
      <c r="F1394" s="3" t="s">
        <v>942</v>
      </c>
      <c r="G1394" s="4">
        <v>45</v>
      </c>
      <c r="H1394" s="12">
        <v>5794.212</v>
      </c>
      <c r="I1394" s="12">
        <v>203.590617</v>
      </c>
      <c r="J1394" s="13">
        <v>0.0351368947</v>
      </c>
      <c r="K1394" s="13">
        <v>0.0351368947</v>
      </c>
      <c r="L1394" s="12">
        <v>18.9353333333</v>
      </c>
      <c r="M1394" s="13">
        <v>0.1586525952</v>
      </c>
      <c r="N1394" s="13">
        <v>0.0335176224</v>
      </c>
      <c r="O1394" s="13">
        <v>0.368364844</v>
      </c>
      <c r="P1394" s="13">
        <v>0.0498656245</v>
      </c>
      <c r="Q1394" s="13">
        <v>0.0232344001</v>
      </c>
      <c r="R1394" s="13">
        <v>0.2287047609</v>
      </c>
      <c r="S1394" s="13">
        <v>0</v>
      </c>
      <c r="T1394" s="13">
        <v>0.1130749099</v>
      </c>
      <c r="U1394" s="13">
        <v>0.0163610497</v>
      </c>
      <c r="V1394" s="13">
        <v>0.0013613585</v>
      </c>
      <c r="W1394" s="13">
        <v>0</v>
      </c>
      <c r="X1394" s="13">
        <v>0</v>
      </c>
      <c r="Y1394" s="13">
        <v>0</v>
      </c>
      <c r="Z1394" s="13">
        <v>-0.0282740604</v>
      </c>
    </row>
    <row r="1395" s="2" customFormat="1" hidden="1" spans="1:26">
      <c r="A1395" s="11" t="s">
        <v>935</v>
      </c>
      <c r="B1395" s="11" t="s">
        <v>937</v>
      </c>
      <c r="C1395" s="14" t="s">
        <v>645</v>
      </c>
      <c r="D1395" s="14" t="s">
        <v>938</v>
      </c>
      <c r="E1395" s="14" t="s">
        <v>939</v>
      </c>
      <c r="F1395" s="3" t="s">
        <v>943</v>
      </c>
      <c r="G1395" s="4">
        <v>19</v>
      </c>
      <c r="H1395" s="12">
        <v>2952.628</v>
      </c>
      <c r="I1395" s="12">
        <v>391.759005</v>
      </c>
      <c r="J1395" s="13">
        <v>0.1326814637</v>
      </c>
      <c r="K1395" s="13">
        <v>0.1326814637</v>
      </c>
      <c r="L1395" s="12">
        <v>22.8531578947</v>
      </c>
      <c r="M1395" s="13">
        <v>0.1317271356</v>
      </c>
      <c r="N1395" s="13">
        <v>0.0242067202</v>
      </c>
      <c r="O1395" s="13">
        <v>0.3019276387</v>
      </c>
      <c r="P1395" s="13">
        <v>0.0497224845</v>
      </c>
      <c r="Q1395" s="13">
        <v>0.0239821467</v>
      </c>
      <c r="R1395" s="13">
        <v>0.232522885</v>
      </c>
      <c r="S1395" s="13">
        <v>0</v>
      </c>
      <c r="T1395" s="13">
        <v>0.115243776</v>
      </c>
      <c r="U1395" s="13">
        <v>0.0135843628</v>
      </c>
      <c r="V1395" s="13">
        <v>-0.025678819</v>
      </c>
      <c r="W1395" s="13">
        <v>0</v>
      </c>
      <c r="X1395" s="13">
        <v>0</v>
      </c>
      <c r="Y1395" s="13">
        <v>0</v>
      </c>
      <c r="Z1395" s="13">
        <v>8.02054e-5</v>
      </c>
    </row>
    <row r="1396" s="2" customFormat="1" spans="1:26">
      <c r="A1396" s="11" t="s">
        <v>935</v>
      </c>
      <c r="B1396" s="11" t="s">
        <v>937</v>
      </c>
      <c r="C1396" s="14" t="s">
        <v>645</v>
      </c>
      <c r="D1396" s="14" t="s">
        <v>938</v>
      </c>
      <c r="E1396" s="14" t="s">
        <v>939</v>
      </c>
      <c r="F1396" s="3" t="s">
        <v>944</v>
      </c>
      <c r="G1396" s="4">
        <v>12</v>
      </c>
      <c r="H1396" s="12">
        <v>1957.584</v>
      </c>
      <c r="I1396" s="12">
        <v>-613.685733</v>
      </c>
      <c r="J1396" s="13">
        <v>-0.3134913919</v>
      </c>
      <c r="K1396" s="13">
        <v>-0.3134913919</v>
      </c>
      <c r="L1396" s="12">
        <v>23.99</v>
      </c>
      <c r="M1396" s="13">
        <v>0.1250047323</v>
      </c>
      <c r="N1396" s="13">
        <v>0.0490584495</v>
      </c>
      <c r="O1396" s="13">
        <v>0.2876198416</v>
      </c>
      <c r="P1396" s="13">
        <v>0.25</v>
      </c>
      <c r="Q1396" s="13">
        <v>0.0823742301</v>
      </c>
      <c r="R1396" s="13">
        <v>0.4451003915</v>
      </c>
      <c r="S1396" s="13">
        <v>0</v>
      </c>
      <c r="T1396" s="13">
        <v>0.0902806725</v>
      </c>
      <c r="U1396" s="13">
        <v>0.0128911127</v>
      </c>
      <c r="V1396" s="13">
        <v>0</v>
      </c>
      <c r="W1396" s="13">
        <v>-0.0290105303</v>
      </c>
      <c r="X1396" s="13">
        <v>0</v>
      </c>
      <c r="Y1396" s="13">
        <v>0</v>
      </c>
      <c r="Z1396" s="13">
        <v>0.0001724917</v>
      </c>
    </row>
    <row r="1397" s="2" customFormat="1" hidden="1" spans="1:26">
      <c r="A1397" s="11" t="s">
        <v>935</v>
      </c>
      <c r="B1397" s="11" t="s">
        <v>937</v>
      </c>
      <c r="C1397" s="14" t="s">
        <v>645</v>
      </c>
      <c r="D1397" s="14" t="s">
        <v>938</v>
      </c>
      <c r="E1397" s="14" t="s">
        <v>939</v>
      </c>
      <c r="F1397" s="3" t="s">
        <v>945</v>
      </c>
      <c r="G1397" s="4">
        <v>1</v>
      </c>
      <c r="H1397" s="12">
        <v>163.132</v>
      </c>
      <c r="I1397" s="12">
        <v>8.545271</v>
      </c>
      <c r="J1397" s="13">
        <v>0.0523825552</v>
      </c>
      <c r="K1397" s="13">
        <v>0.0523825552</v>
      </c>
      <c r="L1397" s="12">
        <v>23.99</v>
      </c>
      <c r="M1397" s="13">
        <v>0.1250047323</v>
      </c>
      <c r="N1397" s="13">
        <v>0.0490584495</v>
      </c>
      <c r="O1397" s="13">
        <v>0.2876198416</v>
      </c>
      <c r="P1397" s="13">
        <v>0</v>
      </c>
      <c r="Q1397" s="13">
        <v>0.0007631917</v>
      </c>
      <c r="R1397" s="13">
        <v>0.3643184659</v>
      </c>
      <c r="S1397" s="13">
        <v>0</v>
      </c>
      <c r="T1397" s="13">
        <v>0.1079616506</v>
      </c>
      <c r="U1397" s="13">
        <v>0.0128911127</v>
      </c>
      <c r="V1397" s="13">
        <v>0</v>
      </c>
      <c r="W1397" s="13">
        <v>0</v>
      </c>
      <c r="X1397" s="13">
        <v>0</v>
      </c>
      <c r="Y1397" s="13">
        <v>0</v>
      </c>
      <c r="Z1397" s="13">
        <v>0</v>
      </c>
    </row>
    <row r="1398" s="2" customFormat="1" hidden="1" spans="1:26">
      <c r="A1398" s="11" t="s">
        <v>935</v>
      </c>
      <c r="B1398" s="11" t="s">
        <v>937</v>
      </c>
      <c r="C1398" s="14" t="s">
        <v>650</v>
      </c>
      <c r="D1398" s="14" t="s">
        <v>938</v>
      </c>
      <c r="E1398" s="14" t="s">
        <v>939</v>
      </c>
      <c r="F1398" s="3" t="s">
        <v>936</v>
      </c>
      <c r="G1398" s="4">
        <v>134</v>
      </c>
      <c r="H1398" s="12">
        <v>18026.324</v>
      </c>
      <c r="I1398" s="12">
        <v>1167.001915</v>
      </c>
      <c r="J1398" s="13">
        <v>0.0647387628</v>
      </c>
      <c r="K1398" s="13">
        <v>0.0647387628</v>
      </c>
      <c r="L1398" s="12">
        <v>19.7830597014</v>
      </c>
      <c r="M1398" s="13">
        <v>0.1927806156</v>
      </c>
      <c r="N1398" s="13">
        <v>0.0347497951</v>
      </c>
      <c r="O1398" s="13">
        <v>0.3431625882</v>
      </c>
      <c r="P1398" s="13">
        <v>0.0775727763</v>
      </c>
      <c r="Q1398" s="13">
        <v>0.0166919063</v>
      </c>
      <c r="R1398" s="13">
        <v>0.1434838542</v>
      </c>
      <c r="S1398" s="13">
        <v>0</v>
      </c>
      <c r="T1398" s="13">
        <v>0.1077923596</v>
      </c>
      <c r="U1398" s="13">
        <v>0.019880504</v>
      </c>
      <c r="V1398" s="13">
        <v>0.0018710414</v>
      </c>
      <c r="W1398" s="13">
        <v>-0.0037198312</v>
      </c>
      <c r="X1398" s="13">
        <v>0</v>
      </c>
      <c r="Y1398" s="13">
        <v>0</v>
      </c>
      <c r="Z1398" s="13">
        <v>0.0009956271</v>
      </c>
    </row>
    <row r="1399" s="2" customFormat="1" hidden="1" spans="1:26">
      <c r="A1399" s="11" t="s">
        <v>935</v>
      </c>
      <c r="B1399" s="11" t="s">
        <v>937</v>
      </c>
      <c r="C1399" s="14" t="s">
        <v>650</v>
      </c>
      <c r="D1399" s="14" t="s">
        <v>938</v>
      </c>
      <c r="E1399" s="14" t="s">
        <v>939</v>
      </c>
      <c r="F1399" s="3" t="s">
        <v>940</v>
      </c>
      <c r="G1399" s="4">
        <v>7</v>
      </c>
      <c r="H1399" s="12">
        <v>1084.804</v>
      </c>
      <c r="I1399" s="12">
        <v>-0.678802</v>
      </c>
      <c r="J1399" s="13">
        <v>-0.0006257369</v>
      </c>
      <c r="K1399" s="13">
        <v>-0.0006257369</v>
      </c>
      <c r="L1399" s="12">
        <v>22.79</v>
      </c>
      <c r="M1399" s="13">
        <v>0.1818210257</v>
      </c>
      <c r="N1399" s="13">
        <v>0.038990695</v>
      </c>
      <c r="O1399" s="13">
        <v>0.274681878</v>
      </c>
      <c r="P1399" s="13">
        <v>0</v>
      </c>
      <c r="Q1399" s="13">
        <v>0.0180944235</v>
      </c>
      <c r="R1399" s="13">
        <v>0.3836608336</v>
      </c>
      <c r="S1399" s="13">
        <v>0</v>
      </c>
      <c r="T1399" s="13">
        <v>0.0842474769</v>
      </c>
      <c r="U1399" s="13">
        <v>0.0187502968</v>
      </c>
      <c r="V1399" s="13">
        <v>0</v>
      </c>
      <c r="W1399" s="13">
        <v>0</v>
      </c>
      <c r="X1399" s="13">
        <v>0</v>
      </c>
      <c r="Y1399" s="13">
        <v>0</v>
      </c>
      <c r="Z1399" s="13">
        <v>0.0003791071</v>
      </c>
    </row>
    <row r="1400" s="2" customFormat="1" hidden="1" spans="1:26">
      <c r="A1400" s="11" t="s">
        <v>935</v>
      </c>
      <c r="B1400" s="11" t="s">
        <v>937</v>
      </c>
      <c r="C1400" s="14" t="s">
        <v>650</v>
      </c>
      <c r="D1400" s="14" t="s">
        <v>938</v>
      </c>
      <c r="E1400" s="14" t="s">
        <v>939</v>
      </c>
      <c r="F1400" s="3" t="s">
        <v>941</v>
      </c>
      <c r="G1400" s="4">
        <v>56</v>
      </c>
      <c r="H1400" s="12">
        <v>7659.656</v>
      </c>
      <c r="I1400" s="12">
        <v>1128.041686</v>
      </c>
      <c r="J1400" s="13">
        <v>0.1472705413</v>
      </c>
      <c r="K1400" s="13">
        <v>0.1472705413</v>
      </c>
      <c r="L1400" s="12">
        <v>20.1146428571</v>
      </c>
      <c r="M1400" s="13">
        <v>0.2060042132</v>
      </c>
      <c r="N1400" s="13">
        <v>0.0329514557</v>
      </c>
      <c r="O1400" s="13">
        <v>0.3580902327</v>
      </c>
      <c r="P1400" s="13">
        <v>0</v>
      </c>
      <c r="Q1400" s="13">
        <v>0.0061967263</v>
      </c>
      <c r="R1400" s="13">
        <v>0.1112815389</v>
      </c>
      <c r="S1400" s="13">
        <v>0</v>
      </c>
      <c r="T1400" s="13">
        <v>0.1160934642</v>
      </c>
      <c r="U1400" s="13">
        <v>0.0212441881</v>
      </c>
      <c r="V1400" s="13">
        <v>0</v>
      </c>
      <c r="W1400" s="13">
        <v>0</v>
      </c>
      <c r="X1400" s="13">
        <v>0</v>
      </c>
      <c r="Y1400" s="13">
        <v>0</v>
      </c>
      <c r="Z1400" s="13">
        <v>0.000867639</v>
      </c>
    </row>
    <row r="1401" s="2" customFormat="1" hidden="1" spans="1:26">
      <c r="A1401" s="11" t="s">
        <v>935</v>
      </c>
      <c r="B1401" s="11" t="s">
        <v>937</v>
      </c>
      <c r="C1401" s="14" t="s">
        <v>650</v>
      </c>
      <c r="D1401" s="14" t="s">
        <v>938</v>
      </c>
      <c r="E1401" s="14" t="s">
        <v>939</v>
      </c>
      <c r="F1401" s="3" t="s">
        <v>942</v>
      </c>
      <c r="G1401" s="4">
        <v>58</v>
      </c>
      <c r="H1401" s="12">
        <v>7229.284</v>
      </c>
      <c r="I1401" s="12">
        <v>-313.953936</v>
      </c>
      <c r="J1401" s="13">
        <v>-0.0434280816</v>
      </c>
      <c r="K1401" s="13">
        <v>-0.0434280816</v>
      </c>
      <c r="L1401" s="12">
        <v>18.3298275862</v>
      </c>
      <c r="M1401" s="13">
        <v>0.1948821487</v>
      </c>
      <c r="N1401" s="13">
        <v>0.0370041764</v>
      </c>
      <c r="O1401" s="13">
        <v>0.3508507896</v>
      </c>
      <c r="P1401" s="13">
        <v>0.1934288374</v>
      </c>
      <c r="Q1401" s="13">
        <v>0.0223528992</v>
      </c>
      <c r="R1401" s="13">
        <v>0.129292014</v>
      </c>
      <c r="S1401" s="13">
        <v>0</v>
      </c>
      <c r="T1401" s="13">
        <v>0.0992729017</v>
      </c>
      <c r="U1401" s="13">
        <v>0.0200972252</v>
      </c>
      <c r="V1401" s="13">
        <v>0.0040540667</v>
      </c>
      <c r="W1401" s="13">
        <v>-0.009275453</v>
      </c>
      <c r="X1401" s="13">
        <v>0</v>
      </c>
      <c r="Y1401" s="13">
        <v>0</v>
      </c>
      <c r="Z1401" s="13">
        <v>0.0014684751</v>
      </c>
    </row>
    <row r="1402" s="2" customFormat="1" hidden="1" spans="1:26">
      <c r="A1402" s="11" t="s">
        <v>935</v>
      </c>
      <c r="B1402" s="11" t="s">
        <v>937</v>
      </c>
      <c r="C1402" s="14" t="s">
        <v>650</v>
      </c>
      <c r="D1402" s="14" t="s">
        <v>938</v>
      </c>
      <c r="E1402" s="14" t="s">
        <v>939</v>
      </c>
      <c r="F1402" s="3" t="s">
        <v>943</v>
      </c>
      <c r="G1402" s="4">
        <v>6</v>
      </c>
      <c r="H1402" s="12">
        <v>863.056</v>
      </c>
      <c r="I1402" s="12">
        <v>104.597111</v>
      </c>
      <c r="J1402" s="13">
        <v>0.1211938866</v>
      </c>
      <c r="K1402" s="13">
        <v>0.1211938866</v>
      </c>
      <c r="L1402" s="12">
        <v>21.1533333333</v>
      </c>
      <c r="M1402" s="13">
        <v>0.1407283478</v>
      </c>
      <c r="N1402" s="13">
        <v>0.0309960999</v>
      </c>
      <c r="O1402" s="13">
        <v>0.2938859123</v>
      </c>
      <c r="P1402" s="13">
        <v>0</v>
      </c>
      <c r="Q1402" s="13">
        <v>0.0577848459</v>
      </c>
      <c r="R1402" s="13">
        <v>0.217512078</v>
      </c>
      <c r="S1402" s="13">
        <v>0</v>
      </c>
      <c r="T1402" s="13">
        <v>0.1181846832</v>
      </c>
      <c r="U1402" s="13">
        <v>0.0145126098</v>
      </c>
      <c r="V1402" s="13">
        <v>0.0051213362</v>
      </c>
      <c r="W1402" s="13">
        <v>0</v>
      </c>
      <c r="X1402" s="13">
        <v>0</v>
      </c>
      <c r="Y1402" s="13">
        <v>0</v>
      </c>
      <c r="Z1402" s="13">
        <v>8.01998e-5</v>
      </c>
    </row>
    <row r="1403" s="2" customFormat="1" spans="1:26">
      <c r="A1403" s="11" t="s">
        <v>935</v>
      </c>
      <c r="B1403" s="11" t="s">
        <v>937</v>
      </c>
      <c r="C1403" s="14" t="s">
        <v>650</v>
      </c>
      <c r="D1403" s="14" t="s">
        <v>938</v>
      </c>
      <c r="E1403" s="14" t="s">
        <v>939</v>
      </c>
      <c r="F1403" s="3" t="s">
        <v>944</v>
      </c>
      <c r="G1403" s="4">
        <v>7</v>
      </c>
      <c r="H1403" s="12">
        <v>1189.524</v>
      </c>
      <c r="I1403" s="12">
        <v>248.995856</v>
      </c>
      <c r="J1403" s="13">
        <v>0.2093239447</v>
      </c>
      <c r="K1403" s="13">
        <v>0.2093239447</v>
      </c>
      <c r="L1403" s="12">
        <v>24.99</v>
      </c>
      <c r="M1403" s="13">
        <v>0.1426195772</v>
      </c>
      <c r="N1403" s="13">
        <v>0.0314847939</v>
      </c>
      <c r="O1403" s="13">
        <v>0.2985194077</v>
      </c>
      <c r="P1403" s="13">
        <v>0</v>
      </c>
      <c r="Q1403" s="13">
        <v>0.0187747384</v>
      </c>
      <c r="R1403" s="13">
        <v>0.1643493859</v>
      </c>
      <c r="S1403" s="13">
        <v>0</v>
      </c>
      <c r="T1403" s="13">
        <v>0.1200480192</v>
      </c>
      <c r="U1403" s="13">
        <v>0.0147076418</v>
      </c>
      <c r="V1403" s="13">
        <v>0</v>
      </c>
      <c r="W1403" s="13">
        <v>0</v>
      </c>
      <c r="X1403" s="13">
        <v>0</v>
      </c>
      <c r="Y1403" s="13">
        <v>0</v>
      </c>
      <c r="Z1403" s="13">
        <v>0.0001724908</v>
      </c>
    </row>
    <row r="1404" s="2" customFormat="1" hidden="1" spans="1:26">
      <c r="A1404" s="11" t="s">
        <v>935</v>
      </c>
      <c r="B1404" s="11" t="s">
        <v>937</v>
      </c>
      <c r="C1404" s="14" t="s">
        <v>655</v>
      </c>
      <c r="D1404" s="14" t="s">
        <v>938</v>
      </c>
      <c r="E1404" s="14" t="s">
        <v>939</v>
      </c>
      <c r="F1404" s="3" t="s">
        <v>936</v>
      </c>
      <c r="G1404" s="4">
        <v>85</v>
      </c>
      <c r="H1404" s="12">
        <v>12968.144</v>
      </c>
      <c r="I1404" s="12">
        <v>495.219403</v>
      </c>
      <c r="J1404" s="13">
        <v>0.0381873769</v>
      </c>
      <c r="K1404" s="13">
        <v>0.0381873769</v>
      </c>
      <c r="L1404" s="12">
        <v>22.4362352941</v>
      </c>
      <c r="M1404" s="13">
        <v>0.1551331419</v>
      </c>
      <c r="N1404" s="13">
        <v>0.0973920515</v>
      </c>
      <c r="O1404" s="13">
        <v>0.3387325125</v>
      </c>
      <c r="P1404" s="13">
        <v>0</v>
      </c>
      <c r="Q1404" s="13">
        <v>0.0337320324</v>
      </c>
      <c r="R1404" s="13">
        <v>0.2061535837</v>
      </c>
      <c r="S1404" s="13">
        <v>0</v>
      </c>
      <c r="T1404" s="13">
        <v>0.1144472177</v>
      </c>
      <c r="U1404" s="13">
        <v>0.0159981072</v>
      </c>
      <c r="V1404" s="13">
        <v>0</v>
      </c>
      <c r="W1404" s="13">
        <v>0</v>
      </c>
      <c r="X1404" s="13">
        <v>0</v>
      </c>
      <c r="Y1404" s="13">
        <v>0</v>
      </c>
      <c r="Z1404" s="13">
        <v>0.0002239758</v>
      </c>
    </row>
    <row r="1405" s="2" customFormat="1" hidden="1" spans="1:26">
      <c r="A1405" s="11" t="s">
        <v>935</v>
      </c>
      <c r="B1405" s="11" t="s">
        <v>937</v>
      </c>
      <c r="C1405" s="14" t="s">
        <v>655</v>
      </c>
      <c r="D1405" s="14" t="s">
        <v>938</v>
      </c>
      <c r="E1405" s="14" t="s">
        <v>939</v>
      </c>
      <c r="F1405" s="3" t="s">
        <v>942</v>
      </c>
      <c r="G1405" s="4">
        <v>5</v>
      </c>
      <c r="H1405" s="12">
        <v>815.66</v>
      </c>
      <c r="I1405" s="12">
        <v>-164.859441</v>
      </c>
      <c r="J1405" s="13">
        <v>-0.2021178444</v>
      </c>
      <c r="K1405" s="13">
        <v>-0.2021178444</v>
      </c>
      <c r="L1405" s="12">
        <v>23.99</v>
      </c>
      <c r="M1405" s="13">
        <v>0.1451753181</v>
      </c>
      <c r="N1405" s="13">
        <v>0.0453067515</v>
      </c>
      <c r="O1405" s="13">
        <v>0.3076281784</v>
      </c>
      <c r="P1405" s="13">
        <v>0</v>
      </c>
      <c r="Q1405" s="13">
        <v>0.0060198992</v>
      </c>
      <c r="R1405" s="13">
        <v>0.6117689453</v>
      </c>
      <c r="S1405" s="13">
        <v>0</v>
      </c>
      <c r="T1405" s="13">
        <v>0.0697790746</v>
      </c>
      <c r="U1405" s="13">
        <v>0.0149712073</v>
      </c>
      <c r="V1405" s="13">
        <v>0</v>
      </c>
      <c r="W1405" s="13">
        <v>0</v>
      </c>
      <c r="X1405" s="13">
        <v>0</v>
      </c>
      <c r="Y1405" s="13">
        <v>0</v>
      </c>
      <c r="Z1405" s="13">
        <v>0.0014684697</v>
      </c>
    </row>
    <row r="1406" s="2" customFormat="1" hidden="1" spans="1:26">
      <c r="A1406" s="11" t="s">
        <v>935</v>
      </c>
      <c r="B1406" s="11" t="s">
        <v>937</v>
      </c>
      <c r="C1406" s="14" t="s">
        <v>655</v>
      </c>
      <c r="D1406" s="14" t="s">
        <v>938</v>
      </c>
      <c r="E1406" s="14" t="s">
        <v>939</v>
      </c>
      <c r="F1406" s="3" t="s">
        <v>943</v>
      </c>
      <c r="G1406" s="4">
        <v>22</v>
      </c>
      <c r="H1406" s="12">
        <v>3304.936</v>
      </c>
      <c r="I1406" s="12">
        <v>292.776598</v>
      </c>
      <c r="J1406" s="13">
        <v>0.0885876755</v>
      </c>
      <c r="K1406" s="13">
        <v>0.0885876755</v>
      </c>
      <c r="L1406" s="12">
        <v>22.0918181818</v>
      </c>
      <c r="M1406" s="13">
        <v>0.1575686488</v>
      </c>
      <c r="N1406" s="13">
        <v>0.09923172</v>
      </c>
      <c r="O1406" s="13">
        <v>0.3489979836</v>
      </c>
      <c r="P1406" s="13">
        <v>0</v>
      </c>
      <c r="Q1406" s="13">
        <v>0.0298827475</v>
      </c>
      <c r="R1406" s="13">
        <v>0.1438303757</v>
      </c>
      <c r="S1406" s="13">
        <v>0</v>
      </c>
      <c r="T1406" s="13">
        <v>0.1155713756</v>
      </c>
      <c r="U1406" s="13">
        <v>0.0162492683</v>
      </c>
      <c r="V1406" s="13">
        <v>0</v>
      </c>
      <c r="W1406" s="13">
        <v>0</v>
      </c>
      <c r="X1406" s="13">
        <v>0</v>
      </c>
      <c r="Y1406" s="13">
        <v>0</v>
      </c>
      <c r="Z1406" s="13">
        <v>8.02045e-5</v>
      </c>
    </row>
    <row r="1407" s="2" customFormat="1" spans="1:26">
      <c r="A1407" s="11" t="s">
        <v>935</v>
      </c>
      <c r="B1407" s="11" t="s">
        <v>937</v>
      </c>
      <c r="C1407" s="14" t="s">
        <v>655</v>
      </c>
      <c r="D1407" s="14" t="s">
        <v>938</v>
      </c>
      <c r="E1407" s="14" t="s">
        <v>939</v>
      </c>
      <c r="F1407" s="3" t="s">
        <v>944</v>
      </c>
      <c r="G1407" s="4">
        <v>55</v>
      </c>
      <c r="H1407" s="12">
        <v>8358.152</v>
      </c>
      <c r="I1407" s="12">
        <v>330.403676</v>
      </c>
      <c r="J1407" s="13">
        <v>0.0395307091</v>
      </c>
      <c r="K1407" s="13">
        <v>0.0395307091</v>
      </c>
      <c r="L1407" s="12">
        <v>22.348</v>
      </c>
      <c r="M1407" s="13">
        <v>0.1557309905</v>
      </c>
      <c r="N1407" s="13">
        <v>0.101892392</v>
      </c>
      <c r="O1407" s="13">
        <v>0.3387246367</v>
      </c>
      <c r="P1407" s="13">
        <v>0</v>
      </c>
      <c r="Q1407" s="13">
        <v>0.0398889121</v>
      </c>
      <c r="R1407" s="13">
        <v>0.1899663603</v>
      </c>
      <c r="S1407" s="13">
        <v>0</v>
      </c>
      <c r="T1407" s="13">
        <v>0.1180337471</v>
      </c>
      <c r="U1407" s="13">
        <v>0.0160597605</v>
      </c>
      <c r="V1407" s="13">
        <v>0</v>
      </c>
      <c r="W1407" s="13">
        <v>0</v>
      </c>
      <c r="X1407" s="13">
        <v>0</v>
      </c>
      <c r="Y1407" s="13">
        <v>0</v>
      </c>
      <c r="Z1407" s="13">
        <v>0.0001724912</v>
      </c>
    </row>
    <row r="1408" s="2" customFormat="1" hidden="1" spans="1:26">
      <c r="A1408" s="11" t="s">
        <v>935</v>
      </c>
      <c r="B1408" s="11" t="s">
        <v>937</v>
      </c>
      <c r="C1408" s="14" t="s">
        <v>655</v>
      </c>
      <c r="D1408" s="14" t="s">
        <v>938</v>
      </c>
      <c r="E1408" s="14" t="s">
        <v>939</v>
      </c>
      <c r="F1408" s="3" t="s">
        <v>945</v>
      </c>
      <c r="G1408" s="4">
        <v>3</v>
      </c>
      <c r="H1408" s="12">
        <v>489.396</v>
      </c>
      <c r="I1408" s="12">
        <v>36.89857</v>
      </c>
      <c r="J1408" s="13">
        <v>0.0753961413</v>
      </c>
      <c r="K1408" s="13">
        <v>0.0753961413</v>
      </c>
      <c r="L1408" s="12">
        <v>23.99</v>
      </c>
      <c r="M1408" s="13">
        <v>0.145071954</v>
      </c>
      <c r="N1408" s="13">
        <v>0.0949183483</v>
      </c>
      <c r="O1408" s="13">
        <v>0.3213839099</v>
      </c>
      <c r="P1408" s="13">
        <v>0</v>
      </c>
      <c r="Q1408" s="13">
        <v>0.0007631938</v>
      </c>
      <c r="R1408" s="13">
        <v>0.2274558843</v>
      </c>
      <c r="S1408" s="13">
        <v>0</v>
      </c>
      <c r="T1408" s="13">
        <v>0.1200500208</v>
      </c>
      <c r="U1408" s="13">
        <v>0.0149605472</v>
      </c>
      <c r="V1408" s="13">
        <v>0</v>
      </c>
      <c r="W1408" s="13">
        <v>0</v>
      </c>
      <c r="X1408" s="13">
        <v>0</v>
      </c>
      <c r="Y1408" s="13">
        <v>0</v>
      </c>
      <c r="Z1408" s="13">
        <v>0</v>
      </c>
    </row>
    <row r="1409" s="2" customFormat="1" hidden="1" spans="1:26">
      <c r="A1409" s="11" t="s">
        <v>935</v>
      </c>
      <c r="B1409" s="11" t="s">
        <v>937</v>
      </c>
      <c r="C1409" s="14" t="s">
        <v>660</v>
      </c>
      <c r="D1409" s="14" t="s">
        <v>938</v>
      </c>
      <c r="E1409" s="14" t="s">
        <v>939</v>
      </c>
      <c r="F1409" s="3" t="s">
        <v>936</v>
      </c>
      <c r="G1409" s="4">
        <v>148</v>
      </c>
      <c r="H1409" s="12">
        <v>21963.184</v>
      </c>
      <c r="I1409" s="12">
        <v>4638.058396</v>
      </c>
      <c r="J1409" s="13">
        <v>0.2111742266</v>
      </c>
      <c r="K1409" s="13">
        <v>0.2111742266</v>
      </c>
      <c r="L1409" s="12">
        <v>21.8235135135</v>
      </c>
      <c r="M1409" s="13">
        <v>0.1454941778</v>
      </c>
      <c r="N1409" s="13">
        <v>0.0312574427</v>
      </c>
      <c r="O1409" s="13">
        <v>0.3118629794</v>
      </c>
      <c r="P1409" s="13">
        <v>0.0131088461</v>
      </c>
      <c r="Q1409" s="13">
        <v>0.0168689939</v>
      </c>
      <c r="R1409" s="13">
        <v>0.1455820545</v>
      </c>
      <c r="S1409" s="13">
        <v>0</v>
      </c>
      <c r="T1409" s="13">
        <v>0.1130103904</v>
      </c>
      <c r="U1409" s="13">
        <v>0.0150040902</v>
      </c>
      <c r="V1409" s="13">
        <v>-0.0028638834</v>
      </c>
      <c r="W1409" s="13">
        <v>-0.0013332934</v>
      </c>
      <c r="X1409" s="13">
        <v>0</v>
      </c>
      <c r="Y1409" s="13">
        <v>0</v>
      </c>
      <c r="Z1409" s="13">
        <v>0.0008339749</v>
      </c>
    </row>
    <row r="1410" s="2" customFormat="1" hidden="1" spans="1:26">
      <c r="A1410" s="11" t="s">
        <v>935</v>
      </c>
      <c r="B1410" s="11" t="s">
        <v>937</v>
      </c>
      <c r="C1410" s="14" t="s">
        <v>660</v>
      </c>
      <c r="D1410" s="14" t="s">
        <v>938</v>
      </c>
      <c r="E1410" s="14" t="s">
        <v>939</v>
      </c>
      <c r="F1410" s="3" t="s">
        <v>940</v>
      </c>
      <c r="G1410" s="4">
        <v>3</v>
      </c>
      <c r="H1410" s="12">
        <v>489.396</v>
      </c>
      <c r="I1410" s="12">
        <v>-193.869963</v>
      </c>
      <c r="J1410" s="13">
        <v>-0.3961412904</v>
      </c>
      <c r="K1410" s="13">
        <v>-0.3961412904</v>
      </c>
      <c r="L1410" s="12">
        <v>23.99</v>
      </c>
      <c r="M1410" s="13">
        <v>0.142736753</v>
      </c>
      <c r="N1410" s="13">
        <v>0.0325625567</v>
      </c>
      <c r="O1410" s="13">
        <v>0.2542726135</v>
      </c>
      <c r="P1410" s="13">
        <v>0</v>
      </c>
      <c r="Q1410" s="13">
        <v>0.0180944327</v>
      </c>
      <c r="R1410" s="13">
        <v>0.8909973333</v>
      </c>
      <c r="S1410" s="13">
        <v>0</v>
      </c>
      <c r="T1410" s="13">
        <v>0.0423787689</v>
      </c>
      <c r="U1410" s="13">
        <v>0.01471973</v>
      </c>
      <c r="V1410" s="13">
        <v>0</v>
      </c>
      <c r="W1410" s="13">
        <v>0</v>
      </c>
      <c r="X1410" s="13">
        <v>0</v>
      </c>
      <c r="Y1410" s="13">
        <v>0</v>
      </c>
      <c r="Z1410" s="13">
        <v>0.0003791019</v>
      </c>
    </row>
    <row r="1411" s="2" customFormat="1" hidden="1" spans="1:26">
      <c r="A1411" s="11" t="s">
        <v>935</v>
      </c>
      <c r="B1411" s="11" t="s">
        <v>937</v>
      </c>
      <c r="C1411" s="14" t="s">
        <v>660</v>
      </c>
      <c r="D1411" s="14" t="s">
        <v>938</v>
      </c>
      <c r="E1411" s="14" t="s">
        <v>939</v>
      </c>
      <c r="F1411" s="3" t="s">
        <v>941</v>
      </c>
      <c r="G1411" s="4">
        <v>37</v>
      </c>
      <c r="H1411" s="12">
        <v>5345.548</v>
      </c>
      <c r="I1411" s="12">
        <v>1287.999081</v>
      </c>
      <c r="J1411" s="13">
        <v>0.2409479965</v>
      </c>
      <c r="K1411" s="13">
        <v>0.2409479965</v>
      </c>
      <c r="L1411" s="12">
        <v>21.2462162162</v>
      </c>
      <c r="M1411" s="13">
        <v>0.1536369135</v>
      </c>
      <c r="N1411" s="13">
        <v>0.0214125741</v>
      </c>
      <c r="O1411" s="13">
        <v>0.3100965513</v>
      </c>
      <c r="P1411" s="13">
        <v>0</v>
      </c>
      <c r="Q1411" s="13">
        <v>0.0073655454</v>
      </c>
      <c r="R1411" s="13">
        <v>0.1351630825</v>
      </c>
      <c r="S1411" s="13">
        <v>0</v>
      </c>
      <c r="T1411" s="13">
        <v>0.1146658864</v>
      </c>
      <c r="U1411" s="13">
        <v>0.0158438104</v>
      </c>
      <c r="V1411" s="13">
        <v>0</v>
      </c>
      <c r="W1411" s="13">
        <v>0</v>
      </c>
      <c r="X1411" s="13">
        <v>0</v>
      </c>
      <c r="Y1411" s="13">
        <v>0</v>
      </c>
      <c r="Z1411" s="13">
        <v>0.0008676393</v>
      </c>
    </row>
    <row r="1412" s="2" customFormat="1" hidden="1" spans="1:26">
      <c r="A1412" s="11" t="s">
        <v>935</v>
      </c>
      <c r="B1412" s="11" t="s">
        <v>937</v>
      </c>
      <c r="C1412" s="14" t="s">
        <v>660</v>
      </c>
      <c r="D1412" s="14" t="s">
        <v>938</v>
      </c>
      <c r="E1412" s="14" t="s">
        <v>939</v>
      </c>
      <c r="F1412" s="3" t="s">
        <v>942</v>
      </c>
      <c r="G1412" s="4">
        <v>59</v>
      </c>
      <c r="H1412" s="12">
        <v>8589.284</v>
      </c>
      <c r="I1412" s="12">
        <v>1712.747092</v>
      </c>
      <c r="J1412" s="13">
        <v>0.1994051066</v>
      </c>
      <c r="K1412" s="13">
        <v>0.1994051066</v>
      </c>
      <c r="L1412" s="12">
        <v>21.4089830508</v>
      </c>
      <c r="M1412" s="13">
        <v>0.1524688529</v>
      </c>
      <c r="N1412" s="13">
        <v>0.0277458298</v>
      </c>
      <c r="O1412" s="13">
        <v>0.3222946173</v>
      </c>
      <c r="P1412" s="13">
        <v>0.0145274041</v>
      </c>
      <c r="Q1412" s="13">
        <v>0.0169367539</v>
      </c>
      <c r="R1412" s="13">
        <v>0.1351974996</v>
      </c>
      <c r="S1412" s="13">
        <v>0</v>
      </c>
      <c r="T1412" s="13">
        <v>0.1142321059</v>
      </c>
      <c r="U1412" s="13">
        <v>0.0157233544</v>
      </c>
      <c r="V1412" s="13">
        <v>0</v>
      </c>
      <c r="W1412" s="13">
        <v>0</v>
      </c>
      <c r="X1412" s="13">
        <v>0</v>
      </c>
      <c r="Y1412" s="13">
        <v>0</v>
      </c>
      <c r="Z1412" s="13">
        <v>0.001468475</v>
      </c>
    </row>
    <row r="1413" s="2" customFormat="1" hidden="1" spans="1:26">
      <c r="A1413" s="11" t="s">
        <v>935</v>
      </c>
      <c r="B1413" s="11" t="s">
        <v>937</v>
      </c>
      <c r="C1413" s="14" t="s">
        <v>660</v>
      </c>
      <c r="D1413" s="14" t="s">
        <v>938</v>
      </c>
      <c r="E1413" s="14" t="s">
        <v>939</v>
      </c>
      <c r="F1413" s="3" t="s">
        <v>943</v>
      </c>
      <c r="G1413" s="4">
        <v>25</v>
      </c>
      <c r="H1413" s="12">
        <v>3640.108</v>
      </c>
      <c r="I1413" s="12">
        <v>953.73635</v>
      </c>
      <c r="J1413" s="13">
        <v>0.2620077069</v>
      </c>
      <c r="K1413" s="13">
        <v>0.2620077069</v>
      </c>
      <c r="L1413" s="12">
        <v>21.4124</v>
      </c>
      <c r="M1413" s="13">
        <v>0.1397773019</v>
      </c>
      <c r="N1413" s="13">
        <v>0.0277414021</v>
      </c>
      <c r="O1413" s="13">
        <v>0.3222431861</v>
      </c>
      <c r="P1413" s="13">
        <v>0</v>
      </c>
      <c r="Q1413" s="13">
        <v>0.0110231729</v>
      </c>
      <c r="R1413" s="13">
        <v>0.1046313741</v>
      </c>
      <c r="S1413" s="13">
        <v>0</v>
      </c>
      <c r="T1413" s="13">
        <v>0.1180811118</v>
      </c>
      <c r="U1413" s="13">
        <v>0.0144145379</v>
      </c>
      <c r="V1413" s="13">
        <v>0</v>
      </c>
      <c r="W1413" s="13">
        <v>0</v>
      </c>
      <c r="X1413" s="13">
        <v>0</v>
      </c>
      <c r="Y1413" s="13">
        <v>0</v>
      </c>
      <c r="Z1413" s="13">
        <v>8.02058e-5</v>
      </c>
    </row>
    <row r="1414" s="2" customFormat="1" spans="1:26">
      <c r="A1414" s="11" t="s">
        <v>935</v>
      </c>
      <c r="B1414" s="11" t="s">
        <v>937</v>
      </c>
      <c r="C1414" s="14" t="s">
        <v>660</v>
      </c>
      <c r="D1414" s="14" t="s">
        <v>938</v>
      </c>
      <c r="E1414" s="14" t="s">
        <v>939</v>
      </c>
      <c r="F1414" s="3" t="s">
        <v>944</v>
      </c>
      <c r="G1414" s="4">
        <v>21</v>
      </c>
      <c r="H1414" s="12">
        <v>3409.452</v>
      </c>
      <c r="I1414" s="12">
        <v>694.834092</v>
      </c>
      <c r="J1414" s="13">
        <v>0.2037964142</v>
      </c>
      <c r="K1414" s="13">
        <v>0.2037964142</v>
      </c>
      <c r="L1414" s="12">
        <v>23.8757142857</v>
      </c>
      <c r="M1414" s="13">
        <v>0.1247227733</v>
      </c>
      <c r="N1414" s="13">
        <v>0.0556436814</v>
      </c>
      <c r="O1414" s="13">
        <v>0.289016534</v>
      </c>
      <c r="P1414" s="13">
        <v>0.0478469853</v>
      </c>
      <c r="Q1414" s="13">
        <v>0.0399756218</v>
      </c>
      <c r="R1414" s="13">
        <v>0.1419497769</v>
      </c>
      <c r="S1414" s="13">
        <v>0</v>
      </c>
      <c r="T1414" s="13">
        <v>0.1110512774</v>
      </c>
      <c r="U1414" s="13">
        <v>0.0128620358</v>
      </c>
      <c r="V1414" s="13">
        <v>-0.0184487125</v>
      </c>
      <c r="W1414" s="13">
        <v>-0.0085888787</v>
      </c>
      <c r="X1414" s="13">
        <v>0</v>
      </c>
      <c r="Y1414" s="13">
        <v>0</v>
      </c>
      <c r="Z1414" s="13">
        <v>0.0001724907</v>
      </c>
    </row>
    <row r="1415" s="2" customFormat="1" hidden="1" spans="1:26">
      <c r="A1415" s="11" t="s">
        <v>935</v>
      </c>
      <c r="B1415" s="11" t="s">
        <v>937</v>
      </c>
      <c r="C1415" s="14" t="s">
        <v>660</v>
      </c>
      <c r="D1415" s="14" t="s">
        <v>938</v>
      </c>
      <c r="E1415" s="14" t="s">
        <v>939</v>
      </c>
      <c r="F1415" s="3" t="s">
        <v>945</v>
      </c>
      <c r="G1415" s="4">
        <v>3</v>
      </c>
      <c r="H1415" s="12">
        <v>489.396</v>
      </c>
      <c r="I1415" s="12">
        <v>182.611744</v>
      </c>
      <c r="J1415" s="13">
        <v>0.373136977</v>
      </c>
      <c r="K1415" s="13">
        <v>0.373136977</v>
      </c>
      <c r="L1415" s="12">
        <v>23.99</v>
      </c>
      <c r="M1415" s="13">
        <v>0.1241286075</v>
      </c>
      <c r="N1415" s="13">
        <v>0.0553786013</v>
      </c>
      <c r="O1415" s="13">
        <v>0.2876198416</v>
      </c>
      <c r="P1415" s="13">
        <v>0</v>
      </c>
      <c r="Q1415" s="13">
        <v>0.0007631938</v>
      </c>
      <c r="R1415" s="13">
        <v>0.0261219952</v>
      </c>
      <c r="S1415" s="13">
        <v>0</v>
      </c>
      <c r="T1415" s="13">
        <v>0.1200500208</v>
      </c>
      <c r="U1415" s="13">
        <v>0.0128007625</v>
      </c>
      <c r="V1415" s="13">
        <v>0</v>
      </c>
      <c r="W1415" s="13">
        <v>0</v>
      </c>
      <c r="X1415" s="13">
        <v>0</v>
      </c>
      <c r="Y1415" s="13">
        <v>0</v>
      </c>
      <c r="Z1415" s="13">
        <v>0</v>
      </c>
    </row>
    <row r="1416" s="2" customFormat="1" hidden="1" spans="1:26">
      <c r="A1416" s="11" t="s">
        <v>935</v>
      </c>
      <c r="B1416" s="11" t="s">
        <v>937</v>
      </c>
      <c r="C1416" s="14" t="s">
        <v>665</v>
      </c>
      <c r="D1416" s="14" t="s">
        <v>938</v>
      </c>
      <c r="E1416" s="14" t="s">
        <v>939</v>
      </c>
      <c r="F1416" s="3" t="s">
        <v>936</v>
      </c>
      <c r="G1416" s="4">
        <v>114</v>
      </c>
      <c r="H1416" s="12">
        <v>17656.472</v>
      </c>
      <c r="I1416" s="12">
        <v>2314.692771</v>
      </c>
      <c r="J1416" s="13">
        <v>0.1310959953</v>
      </c>
      <c r="K1416" s="13">
        <v>0.1310959953</v>
      </c>
      <c r="L1416" s="12">
        <v>22.7766666666</v>
      </c>
      <c r="M1416" s="13">
        <v>0.1657577301</v>
      </c>
      <c r="N1416" s="13">
        <v>0.029225371</v>
      </c>
      <c r="O1416" s="13">
        <v>0.3279864743</v>
      </c>
      <c r="P1416" s="13">
        <v>0.027717655</v>
      </c>
      <c r="Q1416" s="13">
        <v>0.039308241</v>
      </c>
      <c r="R1416" s="13">
        <v>0.1821557692</v>
      </c>
      <c r="S1416" s="13">
        <v>0</v>
      </c>
      <c r="T1416" s="13">
        <v>0.1091760573</v>
      </c>
      <c r="U1416" s="13">
        <v>0.0170937685</v>
      </c>
      <c r="V1416" s="13">
        <v>-0.0266778097</v>
      </c>
      <c r="W1416" s="13">
        <v>-0.0033584138</v>
      </c>
      <c r="X1416" s="13">
        <v>0</v>
      </c>
      <c r="Y1416" s="13">
        <v>0</v>
      </c>
      <c r="Z1416" s="13">
        <v>0.0005191614</v>
      </c>
    </row>
    <row r="1417" s="2" customFormat="1" hidden="1" spans="1:26">
      <c r="A1417" s="11" t="s">
        <v>935</v>
      </c>
      <c r="B1417" s="11" t="s">
        <v>937</v>
      </c>
      <c r="C1417" s="14" t="s">
        <v>665</v>
      </c>
      <c r="D1417" s="14" t="s">
        <v>938</v>
      </c>
      <c r="E1417" s="14" t="s">
        <v>939</v>
      </c>
      <c r="F1417" s="3" t="s">
        <v>940</v>
      </c>
      <c r="G1417" s="4">
        <v>1</v>
      </c>
      <c r="H1417" s="12">
        <v>154.972</v>
      </c>
      <c r="I1417" s="12">
        <v>-94.187044</v>
      </c>
      <c r="J1417" s="13">
        <v>-0.6077681387</v>
      </c>
      <c r="K1417" s="13">
        <v>-0.6077681387</v>
      </c>
      <c r="L1417" s="12">
        <v>22.79</v>
      </c>
      <c r="M1417" s="13">
        <v>0.1971980551</v>
      </c>
      <c r="N1417" s="13">
        <v>0.0457064372</v>
      </c>
      <c r="O1417" s="13">
        <v>0.3093462044</v>
      </c>
      <c r="P1417" s="13">
        <v>0</v>
      </c>
      <c r="Q1417" s="13">
        <v>0.0180944299</v>
      </c>
      <c r="R1417" s="13">
        <v>1.0035441757</v>
      </c>
      <c r="S1417" s="13">
        <v>0</v>
      </c>
      <c r="T1417" s="13">
        <v>0.0131636682</v>
      </c>
      <c r="U1417" s="13">
        <v>0.0203360478</v>
      </c>
      <c r="V1417" s="13">
        <v>0</v>
      </c>
      <c r="W1417" s="13">
        <v>0</v>
      </c>
      <c r="X1417" s="13">
        <v>0</v>
      </c>
      <c r="Y1417" s="13">
        <v>0</v>
      </c>
      <c r="Z1417" s="13">
        <v>0.00037912</v>
      </c>
    </row>
    <row r="1418" s="2" customFormat="1" hidden="1" spans="1:26">
      <c r="A1418" s="11" t="s">
        <v>935</v>
      </c>
      <c r="B1418" s="11" t="s">
        <v>937</v>
      </c>
      <c r="C1418" s="14" t="s">
        <v>665</v>
      </c>
      <c r="D1418" s="14" t="s">
        <v>938</v>
      </c>
      <c r="E1418" s="14" t="s">
        <v>939</v>
      </c>
      <c r="F1418" s="3" t="s">
        <v>941</v>
      </c>
      <c r="G1418" s="4">
        <v>9</v>
      </c>
      <c r="H1418" s="12">
        <v>1411.068</v>
      </c>
      <c r="I1418" s="12">
        <v>68.116822</v>
      </c>
      <c r="J1418" s="13">
        <v>0.0482732384</v>
      </c>
      <c r="K1418" s="13">
        <v>0.0482732384</v>
      </c>
      <c r="L1418" s="12">
        <v>23.0566666666</v>
      </c>
      <c r="M1418" s="13">
        <v>0.1649284499</v>
      </c>
      <c r="N1418" s="13">
        <v>0.0386890589</v>
      </c>
      <c r="O1418" s="13">
        <v>0.3225386728</v>
      </c>
      <c r="P1418" s="13">
        <v>0</v>
      </c>
      <c r="Q1418" s="13">
        <v>0.0240060549</v>
      </c>
      <c r="R1418" s="13">
        <v>0.2831633592</v>
      </c>
      <c r="S1418" s="13">
        <v>0</v>
      </c>
      <c r="T1418" s="13">
        <v>0.1005252758</v>
      </c>
      <c r="U1418" s="13">
        <v>0.017008249</v>
      </c>
      <c r="V1418" s="13">
        <v>0</v>
      </c>
      <c r="W1418" s="13">
        <v>0</v>
      </c>
      <c r="X1418" s="13">
        <v>0</v>
      </c>
      <c r="Y1418" s="13">
        <v>0</v>
      </c>
      <c r="Z1418" s="13">
        <v>0.0008676406</v>
      </c>
    </row>
    <row r="1419" s="2" customFormat="1" hidden="1" spans="1:26">
      <c r="A1419" s="11" t="s">
        <v>935</v>
      </c>
      <c r="B1419" s="11" t="s">
        <v>937</v>
      </c>
      <c r="C1419" s="14" t="s">
        <v>665</v>
      </c>
      <c r="D1419" s="14" t="s">
        <v>938</v>
      </c>
      <c r="E1419" s="14" t="s">
        <v>939</v>
      </c>
      <c r="F1419" s="3" t="s">
        <v>942</v>
      </c>
      <c r="G1419" s="4">
        <v>30</v>
      </c>
      <c r="H1419" s="12">
        <v>4306.984</v>
      </c>
      <c r="I1419" s="12">
        <v>440.038141</v>
      </c>
      <c r="J1419" s="13">
        <v>0.1021685107</v>
      </c>
      <c r="K1419" s="13">
        <v>0.1021685107</v>
      </c>
      <c r="L1419" s="12">
        <v>21.1126666666</v>
      </c>
      <c r="M1419" s="13">
        <v>0.180114637</v>
      </c>
      <c r="N1419" s="13">
        <v>0.0412431878</v>
      </c>
      <c r="O1419" s="13">
        <v>0.357605229</v>
      </c>
      <c r="P1419" s="13">
        <v>0.0378761564</v>
      </c>
      <c r="Q1419" s="13">
        <v>0.037671353</v>
      </c>
      <c r="R1419" s="13">
        <v>0.1109916604</v>
      </c>
      <c r="S1419" s="13">
        <v>0</v>
      </c>
      <c r="T1419" s="13">
        <v>0.1122864631</v>
      </c>
      <c r="U1419" s="13">
        <v>0.0185743248</v>
      </c>
      <c r="V1419" s="13">
        <v>0</v>
      </c>
      <c r="W1419" s="13">
        <v>0</v>
      </c>
      <c r="X1419" s="13">
        <v>0</v>
      </c>
      <c r="Y1419" s="13">
        <v>0</v>
      </c>
      <c r="Z1419" s="13">
        <v>0.0014684772</v>
      </c>
    </row>
    <row r="1420" s="2" customFormat="1" hidden="1" spans="1:26">
      <c r="A1420" s="11" t="s">
        <v>935</v>
      </c>
      <c r="B1420" s="11" t="s">
        <v>937</v>
      </c>
      <c r="C1420" s="14" t="s">
        <v>665</v>
      </c>
      <c r="D1420" s="14" t="s">
        <v>938</v>
      </c>
      <c r="E1420" s="14" t="s">
        <v>939</v>
      </c>
      <c r="F1420" s="3" t="s">
        <v>943</v>
      </c>
      <c r="G1420" s="4">
        <v>23</v>
      </c>
      <c r="H1420" s="12">
        <v>3608.828</v>
      </c>
      <c r="I1420" s="12">
        <v>655.212608</v>
      </c>
      <c r="J1420" s="13">
        <v>0.1815582809</v>
      </c>
      <c r="K1420" s="13">
        <v>0.1815582809</v>
      </c>
      <c r="L1420" s="12">
        <v>23.074347826</v>
      </c>
      <c r="M1420" s="13">
        <v>0.1648020703</v>
      </c>
      <c r="N1420" s="13">
        <v>0.0241578939</v>
      </c>
      <c r="O1420" s="13">
        <v>0.3272031806</v>
      </c>
      <c r="P1420" s="13">
        <v>0</v>
      </c>
      <c r="Q1420" s="13">
        <v>0.0565261838</v>
      </c>
      <c r="R1420" s="13">
        <v>0.1168270485</v>
      </c>
      <c r="S1420" s="13">
        <v>0</v>
      </c>
      <c r="T1420" s="13">
        <v>0.1200655725</v>
      </c>
      <c r="U1420" s="13">
        <v>0.0169952161</v>
      </c>
      <c r="V1420" s="13">
        <v>0</v>
      </c>
      <c r="W1420" s="13">
        <v>-0.0082156506</v>
      </c>
      <c r="X1420" s="13">
        <v>0</v>
      </c>
      <c r="Y1420" s="13">
        <v>0</v>
      </c>
      <c r="Z1420" s="13">
        <v>8.02036e-5</v>
      </c>
    </row>
    <row r="1421" s="2" customFormat="1" spans="1:26">
      <c r="A1421" s="11" t="s">
        <v>935</v>
      </c>
      <c r="B1421" s="11" t="s">
        <v>937</v>
      </c>
      <c r="C1421" s="14" t="s">
        <v>665</v>
      </c>
      <c r="D1421" s="14" t="s">
        <v>938</v>
      </c>
      <c r="E1421" s="14" t="s">
        <v>939</v>
      </c>
      <c r="F1421" s="3" t="s">
        <v>944</v>
      </c>
      <c r="G1421" s="4">
        <v>46</v>
      </c>
      <c r="H1421" s="12">
        <v>7358.96</v>
      </c>
      <c r="I1421" s="12">
        <v>1126.668327</v>
      </c>
      <c r="J1421" s="13">
        <v>0.1531015696</v>
      </c>
      <c r="K1421" s="13">
        <v>0.1531015696</v>
      </c>
      <c r="L1421" s="12">
        <v>23.5260869565</v>
      </c>
      <c r="M1421" s="13">
        <v>0.1581237416</v>
      </c>
      <c r="N1421" s="13">
        <v>0.0231789356</v>
      </c>
      <c r="O1421" s="13">
        <v>0.3139438181</v>
      </c>
      <c r="P1421" s="13">
        <v>0.0443356126</v>
      </c>
      <c r="Q1421" s="13">
        <v>0.039475802</v>
      </c>
      <c r="R1421" s="13">
        <v>0.2136236923</v>
      </c>
      <c r="S1421" s="13">
        <v>0</v>
      </c>
      <c r="T1421" s="13">
        <v>0.1057752725</v>
      </c>
      <c r="U1421" s="13">
        <v>0.0163065134</v>
      </c>
      <c r="V1421" s="13">
        <v>-0.0640085012</v>
      </c>
      <c r="W1421" s="13">
        <v>-0.0040289483</v>
      </c>
      <c r="X1421" s="13">
        <v>0</v>
      </c>
      <c r="Y1421" s="13">
        <v>0</v>
      </c>
      <c r="Z1421" s="13">
        <v>0.0001724913</v>
      </c>
    </row>
    <row r="1422" s="2" customFormat="1" hidden="1" spans="1:26">
      <c r="A1422" s="11" t="s">
        <v>935</v>
      </c>
      <c r="B1422" s="11" t="s">
        <v>937</v>
      </c>
      <c r="C1422" s="14" t="s">
        <v>665</v>
      </c>
      <c r="D1422" s="14" t="s">
        <v>938</v>
      </c>
      <c r="E1422" s="14" t="s">
        <v>939</v>
      </c>
      <c r="F1422" s="3" t="s">
        <v>945</v>
      </c>
      <c r="G1422" s="4">
        <v>5</v>
      </c>
      <c r="H1422" s="12">
        <v>815.66</v>
      </c>
      <c r="I1422" s="12">
        <v>118.843917</v>
      </c>
      <c r="J1422" s="13">
        <v>0.1457027646</v>
      </c>
      <c r="K1422" s="13">
        <v>0.1457027646</v>
      </c>
      <c r="L1422" s="12">
        <v>23.99</v>
      </c>
      <c r="M1422" s="13">
        <v>0.1585118922</v>
      </c>
      <c r="N1422" s="13">
        <v>0.0232358335</v>
      </c>
      <c r="O1422" s="13">
        <v>0.3147144643</v>
      </c>
      <c r="P1422" s="13">
        <v>0</v>
      </c>
      <c r="Q1422" s="13">
        <v>0.0007632015</v>
      </c>
      <c r="R1422" s="13">
        <v>0.232263443</v>
      </c>
      <c r="S1422" s="13">
        <v>0</v>
      </c>
      <c r="T1422" s="13">
        <v>0.1084618591</v>
      </c>
      <c r="U1422" s="13">
        <v>0.0163465414</v>
      </c>
      <c r="V1422" s="13">
        <v>0</v>
      </c>
      <c r="W1422" s="13">
        <v>0</v>
      </c>
      <c r="X1422" s="13">
        <v>0</v>
      </c>
      <c r="Y1422" s="13">
        <v>0</v>
      </c>
      <c r="Z1422" s="13">
        <v>0</v>
      </c>
    </row>
    <row r="1423" s="2" customFormat="1" hidden="1" spans="1:26">
      <c r="A1423" s="11" t="s">
        <v>935</v>
      </c>
      <c r="B1423" s="11" t="s">
        <v>937</v>
      </c>
      <c r="C1423" s="14" t="s">
        <v>670</v>
      </c>
      <c r="D1423" s="14" t="s">
        <v>938</v>
      </c>
      <c r="E1423" s="14" t="s">
        <v>939</v>
      </c>
      <c r="F1423" s="3" t="s">
        <v>936</v>
      </c>
      <c r="G1423" s="4">
        <v>200</v>
      </c>
      <c r="H1423" s="12">
        <v>29855.06</v>
      </c>
      <c r="I1423" s="12">
        <v>5817.82858</v>
      </c>
      <c r="J1423" s="13">
        <v>0.1948690968</v>
      </c>
      <c r="K1423" s="13">
        <v>0.1948690968</v>
      </c>
      <c r="L1423" s="12">
        <v>21.95225</v>
      </c>
      <c r="M1423" s="13">
        <v>0.124962965</v>
      </c>
      <c r="N1423" s="13">
        <v>0.0569435303</v>
      </c>
      <c r="O1423" s="13">
        <v>0.3426095274</v>
      </c>
      <c r="P1423" s="13">
        <v>0.0145201516</v>
      </c>
      <c r="Q1423" s="13">
        <v>0.0171008083</v>
      </c>
      <c r="R1423" s="13">
        <v>0.1238143542</v>
      </c>
      <c r="S1423" s="13">
        <v>0</v>
      </c>
      <c r="T1423" s="13">
        <v>0.1134006764</v>
      </c>
      <c r="U1423" s="13">
        <v>0.0128868086</v>
      </c>
      <c r="V1423" s="13">
        <v>0.0001731029</v>
      </c>
      <c r="W1423" s="13">
        <v>-0.0019041008</v>
      </c>
      <c r="X1423" s="13">
        <v>0</v>
      </c>
      <c r="Y1423" s="13">
        <v>0</v>
      </c>
      <c r="Z1423" s="13">
        <v>0.0006230787</v>
      </c>
    </row>
    <row r="1424" s="2" customFormat="1" hidden="1" spans="1:26">
      <c r="A1424" s="11" t="s">
        <v>935</v>
      </c>
      <c r="B1424" s="11" t="s">
        <v>937</v>
      </c>
      <c r="C1424" s="14" t="s">
        <v>670</v>
      </c>
      <c r="D1424" s="14" t="s">
        <v>938</v>
      </c>
      <c r="E1424" s="14" t="s">
        <v>939</v>
      </c>
      <c r="F1424" s="3" t="s">
        <v>940</v>
      </c>
      <c r="G1424" s="4">
        <v>2</v>
      </c>
      <c r="H1424" s="12">
        <v>326.264</v>
      </c>
      <c r="I1424" s="12">
        <v>-235.799847</v>
      </c>
      <c r="J1424" s="13">
        <v>-0.7227271381</v>
      </c>
      <c r="K1424" s="13">
        <v>-0.7227271381</v>
      </c>
      <c r="L1424" s="12">
        <v>23.99</v>
      </c>
      <c r="M1424" s="13">
        <v>0.1163229838</v>
      </c>
      <c r="N1424" s="13">
        <v>0.0434201628</v>
      </c>
      <c r="O1424" s="13">
        <v>0.2938724468</v>
      </c>
      <c r="P1424" s="13">
        <v>0</v>
      </c>
      <c r="Q1424" s="13">
        <v>0.0180944357</v>
      </c>
      <c r="R1424" s="13">
        <v>1.2261369964</v>
      </c>
      <c r="S1424" s="13">
        <v>0</v>
      </c>
      <c r="T1424" s="13">
        <v>0.0125052105</v>
      </c>
      <c r="U1424" s="13">
        <v>0.011995807</v>
      </c>
      <c r="V1424" s="13">
        <v>0</v>
      </c>
      <c r="W1424" s="13">
        <v>0</v>
      </c>
      <c r="X1424" s="13">
        <v>0</v>
      </c>
      <c r="Y1424" s="13">
        <v>0</v>
      </c>
      <c r="Z1424" s="13">
        <v>0.0003790948</v>
      </c>
    </row>
    <row r="1425" s="2" customFormat="1" hidden="1" spans="1:26">
      <c r="A1425" s="11" t="s">
        <v>935</v>
      </c>
      <c r="B1425" s="11" t="s">
        <v>937</v>
      </c>
      <c r="C1425" s="14" t="s">
        <v>670</v>
      </c>
      <c r="D1425" s="14" t="s">
        <v>938</v>
      </c>
      <c r="E1425" s="14" t="s">
        <v>939</v>
      </c>
      <c r="F1425" s="3" t="s">
        <v>941</v>
      </c>
      <c r="G1425" s="4">
        <v>62</v>
      </c>
      <c r="H1425" s="12">
        <v>9412.424</v>
      </c>
      <c r="I1425" s="12">
        <v>2438.443322</v>
      </c>
      <c r="J1425" s="13">
        <v>0.2590664553</v>
      </c>
      <c r="K1425" s="13">
        <v>0.2590664553</v>
      </c>
      <c r="L1425" s="12">
        <v>22.3254838709</v>
      </c>
      <c r="M1425" s="13">
        <v>0.1244894697</v>
      </c>
      <c r="N1425" s="13">
        <v>0.0361033674</v>
      </c>
      <c r="O1425" s="13">
        <v>0.3323700674</v>
      </c>
      <c r="P1425" s="13">
        <v>0</v>
      </c>
      <c r="Q1425" s="13">
        <v>0.0059064314</v>
      </c>
      <c r="R1425" s="13">
        <v>0.1147317494</v>
      </c>
      <c r="S1425" s="13">
        <v>0</v>
      </c>
      <c r="T1425" s="13">
        <v>0.1136268404</v>
      </c>
      <c r="U1425" s="13">
        <v>0.0128379799</v>
      </c>
      <c r="V1425" s="13">
        <v>0</v>
      </c>
      <c r="W1425" s="13">
        <v>0</v>
      </c>
      <c r="X1425" s="13">
        <v>0</v>
      </c>
      <c r="Y1425" s="13">
        <v>0</v>
      </c>
      <c r="Z1425" s="13">
        <v>0.0008676385</v>
      </c>
    </row>
    <row r="1426" s="2" customFormat="1" hidden="1" spans="1:26">
      <c r="A1426" s="11" t="s">
        <v>935</v>
      </c>
      <c r="B1426" s="11" t="s">
        <v>937</v>
      </c>
      <c r="C1426" s="14" t="s">
        <v>670</v>
      </c>
      <c r="D1426" s="14" t="s">
        <v>938</v>
      </c>
      <c r="E1426" s="14" t="s">
        <v>939</v>
      </c>
      <c r="F1426" s="3" t="s">
        <v>942</v>
      </c>
      <c r="G1426" s="4">
        <v>40</v>
      </c>
      <c r="H1426" s="12">
        <v>5668.48</v>
      </c>
      <c r="I1426" s="12">
        <v>892.618029</v>
      </c>
      <c r="J1426" s="13">
        <v>0.1574704381</v>
      </c>
      <c r="K1426" s="13">
        <v>0.1574704381</v>
      </c>
      <c r="L1426" s="12">
        <v>20.84</v>
      </c>
      <c r="M1426" s="13">
        <v>0.133363131</v>
      </c>
      <c r="N1426" s="13">
        <v>0.0478412486</v>
      </c>
      <c r="O1426" s="13">
        <v>0.3661228406</v>
      </c>
      <c r="P1426" s="13">
        <v>0.0244601727</v>
      </c>
      <c r="Q1426" s="13">
        <v>0.0306764501</v>
      </c>
      <c r="R1426" s="13">
        <v>0.1124716863</v>
      </c>
      <c r="S1426" s="13">
        <v>0</v>
      </c>
      <c r="T1426" s="13">
        <v>0.1169025911</v>
      </c>
      <c r="U1426" s="13">
        <v>0.0137530764</v>
      </c>
      <c r="V1426" s="13">
        <v>0</v>
      </c>
      <c r="W1426" s="13">
        <v>-0.0045301094</v>
      </c>
      <c r="X1426" s="13">
        <v>0</v>
      </c>
      <c r="Y1426" s="13">
        <v>0</v>
      </c>
      <c r="Z1426" s="13">
        <v>0.001468474</v>
      </c>
    </row>
    <row r="1427" s="2" customFormat="1" hidden="1" spans="1:26">
      <c r="A1427" s="11" t="s">
        <v>935</v>
      </c>
      <c r="B1427" s="11" t="s">
        <v>937</v>
      </c>
      <c r="C1427" s="14" t="s">
        <v>670</v>
      </c>
      <c r="D1427" s="14" t="s">
        <v>938</v>
      </c>
      <c r="E1427" s="14" t="s">
        <v>939</v>
      </c>
      <c r="F1427" s="3" t="s">
        <v>943</v>
      </c>
      <c r="G1427" s="4">
        <v>34</v>
      </c>
      <c r="H1427" s="12">
        <v>4855.336</v>
      </c>
      <c r="I1427" s="12">
        <v>969.411572</v>
      </c>
      <c r="J1427" s="13">
        <v>0.1996590085</v>
      </c>
      <c r="K1427" s="13">
        <v>0.1996590085</v>
      </c>
      <c r="L1427" s="12">
        <v>21.0005882352</v>
      </c>
      <c r="M1427" s="13">
        <v>0.130650675</v>
      </c>
      <c r="N1427" s="13">
        <v>0.0626889302</v>
      </c>
      <c r="O1427" s="13">
        <v>0.3633231562</v>
      </c>
      <c r="P1427" s="13">
        <v>0</v>
      </c>
      <c r="Q1427" s="13">
        <v>0.0104704679</v>
      </c>
      <c r="R1427" s="13">
        <v>0.1019544187</v>
      </c>
      <c r="S1427" s="13">
        <v>0</v>
      </c>
      <c r="T1427" s="13">
        <v>0.1176997843</v>
      </c>
      <c r="U1427" s="13">
        <v>0.013473355</v>
      </c>
      <c r="V1427" s="13">
        <v>0</v>
      </c>
      <c r="W1427" s="13">
        <v>0</v>
      </c>
      <c r="X1427" s="13">
        <v>0</v>
      </c>
      <c r="Y1427" s="13">
        <v>0</v>
      </c>
      <c r="Z1427" s="13">
        <v>8.02037e-5</v>
      </c>
    </row>
    <row r="1428" s="2" customFormat="1" spans="1:26">
      <c r="A1428" s="11" t="s">
        <v>935</v>
      </c>
      <c r="B1428" s="11" t="s">
        <v>937</v>
      </c>
      <c r="C1428" s="14" t="s">
        <v>670</v>
      </c>
      <c r="D1428" s="14" t="s">
        <v>938</v>
      </c>
      <c r="E1428" s="14" t="s">
        <v>939</v>
      </c>
      <c r="F1428" s="3" t="s">
        <v>944</v>
      </c>
      <c r="G1428" s="4">
        <v>60</v>
      </c>
      <c r="H1428" s="12">
        <v>9266.292</v>
      </c>
      <c r="I1428" s="12">
        <v>1663.572188</v>
      </c>
      <c r="J1428" s="13">
        <v>0.1795294372</v>
      </c>
      <c r="K1428" s="13">
        <v>0.1795294372</v>
      </c>
      <c r="L1428" s="12">
        <v>22.7115</v>
      </c>
      <c r="M1428" s="13">
        <v>0.1180282192</v>
      </c>
      <c r="N1428" s="13">
        <v>0.0804248889</v>
      </c>
      <c r="O1428" s="13">
        <v>0.3303539322</v>
      </c>
      <c r="P1428" s="13">
        <v>0.031819416</v>
      </c>
      <c r="Q1428" s="13">
        <v>0.0241814926</v>
      </c>
      <c r="R1428" s="13">
        <v>0.1140298922</v>
      </c>
      <c r="S1428" s="13">
        <v>0</v>
      </c>
      <c r="T1428" s="13">
        <v>0.1120944602</v>
      </c>
      <c r="U1428" s="13">
        <v>0.0121716615</v>
      </c>
      <c r="V1428" s="13">
        <v>0.0005577203</v>
      </c>
      <c r="W1428" s="13">
        <v>-0.003363612</v>
      </c>
      <c r="X1428" s="13">
        <v>0</v>
      </c>
      <c r="Y1428" s="13">
        <v>0</v>
      </c>
      <c r="Z1428" s="13">
        <v>0.0001724912</v>
      </c>
    </row>
    <row r="1429" s="2" customFormat="1" hidden="1" spans="1:26">
      <c r="A1429" s="11" t="s">
        <v>935</v>
      </c>
      <c r="B1429" s="11" t="s">
        <v>937</v>
      </c>
      <c r="C1429" s="14" t="s">
        <v>670</v>
      </c>
      <c r="D1429" s="14" t="s">
        <v>938</v>
      </c>
      <c r="E1429" s="14" t="s">
        <v>939</v>
      </c>
      <c r="F1429" s="3" t="s">
        <v>945</v>
      </c>
      <c r="G1429" s="4">
        <v>2</v>
      </c>
      <c r="H1429" s="12">
        <v>326.264</v>
      </c>
      <c r="I1429" s="12">
        <v>89.583316</v>
      </c>
      <c r="J1429" s="13">
        <v>0.2745730941</v>
      </c>
      <c r="K1429" s="13">
        <v>0.2745730941</v>
      </c>
      <c r="L1429" s="12">
        <v>23.99</v>
      </c>
      <c r="M1429" s="13">
        <v>0.1136320035</v>
      </c>
      <c r="N1429" s="13">
        <v>0.0774292903</v>
      </c>
      <c r="O1429" s="13">
        <v>0.3180491871</v>
      </c>
      <c r="P1429" s="13">
        <v>0</v>
      </c>
      <c r="Q1429" s="13">
        <v>0.0007631917</v>
      </c>
      <c r="R1429" s="13">
        <v>0.0837849103</v>
      </c>
      <c r="S1429" s="13">
        <v>0</v>
      </c>
      <c r="T1429" s="13">
        <v>0.1200500208</v>
      </c>
      <c r="U1429" s="13">
        <v>0.0117183017</v>
      </c>
      <c r="V1429" s="13">
        <v>0</v>
      </c>
      <c r="W1429" s="13">
        <v>0</v>
      </c>
      <c r="X1429" s="13">
        <v>0</v>
      </c>
      <c r="Y1429" s="13">
        <v>0</v>
      </c>
      <c r="Z1429" s="13">
        <v>0</v>
      </c>
    </row>
    <row r="1430" s="2" customFormat="1" hidden="1" spans="1:26">
      <c r="A1430" s="11" t="s">
        <v>935</v>
      </c>
      <c r="B1430" s="11" t="s">
        <v>937</v>
      </c>
      <c r="C1430" s="14" t="s">
        <v>675</v>
      </c>
      <c r="D1430" s="14" t="s">
        <v>938</v>
      </c>
      <c r="E1430" s="14" t="s">
        <v>939</v>
      </c>
      <c r="F1430" s="3" t="s">
        <v>936</v>
      </c>
      <c r="G1430" s="4">
        <v>44</v>
      </c>
      <c r="H1430" s="12">
        <v>6846.24</v>
      </c>
      <c r="I1430" s="12">
        <v>-708.458216</v>
      </c>
      <c r="J1430" s="13">
        <v>-0.1034813585</v>
      </c>
      <c r="K1430" s="13">
        <v>-0.1034813585</v>
      </c>
      <c r="L1430" s="12">
        <v>22.8818181818</v>
      </c>
      <c r="M1430" s="13">
        <v>0.1566105454</v>
      </c>
      <c r="N1430" s="13">
        <v>0.0965314305</v>
      </c>
      <c r="O1430" s="13">
        <v>0.317798967</v>
      </c>
      <c r="P1430" s="13">
        <v>0.0714839094</v>
      </c>
      <c r="Q1430" s="13">
        <v>0.0681497036</v>
      </c>
      <c r="R1430" s="13">
        <v>0.2728988229</v>
      </c>
      <c r="S1430" s="13">
        <v>0</v>
      </c>
      <c r="T1430" s="13">
        <v>0.1022050059</v>
      </c>
      <c r="U1430" s="13">
        <v>0.0161504614</v>
      </c>
      <c r="V1430" s="13">
        <v>0.0014700039</v>
      </c>
      <c r="W1430" s="13">
        <v>0</v>
      </c>
      <c r="X1430" s="13">
        <v>0</v>
      </c>
      <c r="Y1430" s="13">
        <v>0</v>
      </c>
      <c r="Z1430" s="13">
        <v>0.000182508</v>
      </c>
    </row>
    <row r="1431" s="2" customFormat="1" hidden="1" spans="1:26">
      <c r="A1431" s="11" t="s">
        <v>935</v>
      </c>
      <c r="B1431" s="11" t="s">
        <v>937</v>
      </c>
      <c r="C1431" s="14" t="s">
        <v>675</v>
      </c>
      <c r="D1431" s="14" t="s">
        <v>938</v>
      </c>
      <c r="E1431" s="14" t="s">
        <v>939</v>
      </c>
      <c r="F1431" s="3" t="s">
        <v>942</v>
      </c>
      <c r="G1431" s="4">
        <v>1</v>
      </c>
      <c r="H1431" s="12">
        <v>163.132</v>
      </c>
      <c r="I1431" s="12">
        <v>-61.082937</v>
      </c>
      <c r="J1431" s="13">
        <v>-0.3744387183</v>
      </c>
      <c r="K1431" s="13">
        <v>-0.3744387183</v>
      </c>
      <c r="L1431" s="12">
        <v>23.99</v>
      </c>
      <c r="M1431" s="13">
        <v>0.1564950653</v>
      </c>
      <c r="N1431" s="13">
        <v>0.045718081</v>
      </c>
      <c r="O1431" s="13">
        <v>0.3076281784</v>
      </c>
      <c r="P1431" s="13">
        <v>0</v>
      </c>
      <c r="Q1431" s="13">
        <v>0.0060198979</v>
      </c>
      <c r="R1431" s="13">
        <v>0.7305077544</v>
      </c>
      <c r="S1431" s="13">
        <v>0</v>
      </c>
      <c r="T1431" s="13">
        <v>0.1104626927</v>
      </c>
      <c r="U1431" s="13">
        <v>0.0161385565</v>
      </c>
      <c r="V1431" s="13">
        <v>0</v>
      </c>
      <c r="W1431" s="13">
        <v>0</v>
      </c>
      <c r="X1431" s="13">
        <v>0</v>
      </c>
      <c r="Y1431" s="13">
        <v>0</v>
      </c>
      <c r="Z1431" s="13">
        <v>0.0014684917</v>
      </c>
    </row>
    <row r="1432" s="2" customFormat="1" hidden="1" spans="1:26">
      <c r="A1432" s="11" t="s">
        <v>935</v>
      </c>
      <c r="B1432" s="11" t="s">
        <v>937</v>
      </c>
      <c r="C1432" s="14" t="s">
        <v>675</v>
      </c>
      <c r="D1432" s="14" t="s">
        <v>938</v>
      </c>
      <c r="E1432" s="14" t="s">
        <v>939</v>
      </c>
      <c r="F1432" s="3" t="s">
        <v>943</v>
      </c>
      <c r="G1432" s="4">
        <v>6</v>
      </c>
      <c r="H1432" s="12">
        <v>937.992</v>
      </c>
      <c r="I1432" s="12">
        <v>-293.057959</v>
      </c>
      <c r="J1432" s="13">
        <v>-0.3124311923</v>
      </c>
      <c r="K1432" s="13">
        <v>-0.3124311923</v>
      </c>
      <c r="L1432" s="12">
        <v>22.99</v>
      </c>
      <c r="M1432" s="13">
        <v>0.1633021582</v>
      </c>
      <c r="N1432" s="13">
        <v>0.1125094926</v>
      </c>
      <c r="O1432" s="13">
        <v>0.3300710453</v>
      </c>
      <c r="P1432" s="13">
        <v>0.1739161954</v>
      </c>
      <c r="Q1432" s="13">
        <v>0.0822038972</v>
      </c>
      <c r="R1432" s="13">
        <v>0.3383213502</v>
      </c>
      <c r="S1432" s="13">
        <v>0</v>
      </c>
      <c r="T1432" s="13">
        <v>0.0951863128</v>
      </c>
      <c r="U1432" s="13">
        <v>0.016840538</v>
      </c>
      <c r="V1432" s="13">
        <v>0</v>
      </c>
      <c r="W1432" s="13">
        <v>0</v>
      </c>
      <c r="X1432" s="13">
        <v>0</v>
      </c>
      <c r="Y1432" s="13">
        <v>0</v>
      </c>
      <c r="Z1432" s="13">
        <v>8.02021e-5</v>
      </c>
    </row>
    <row r="1433" s="2" customFormat="1" spans="1:26">
      <c r="A1433" s="11" t="s">
        <v>935</v>
      </c>
      <c r="B1433" s="11" t="s">
        <v>937</v>
      </c>
      <c r="C1433" s="14" t="s">
        <v>675</v>
      </c>
      <c r="D1433" s="14" t="s">
        <v>938</v>
      </c>
      <c r="E1433" s="14" t="s">
        <v>939</v>
      </c>
      <c r="F1433" s="3" t="s">
        <v>944</v>
      </c>
      <c r="G1433" s="4">
        <v>35</v>
      </c>
      <c r="H1433" s="12">
        <v>5418.852</v>
      </c>
      <c r="I1433" s="12">
        <v>-379.726884</v>
      </c>
      <c r="J1433" s="13">
        <v>-0.0700751531</v>
      </c>
      <c r="K1433" s="13">
        <v>-0.0700751531</v>
      </c>
      <c r="L1433" s="12">
        <v>22.7682857142</v>
      </c>
      <c r="M1433" s="13">
        <v>0.1554630866</v>
      </c>
      <c r="N1433" s="13">
        <v>0.0953298722</v>
      </c>
      <c r="O1433" s="13">
        <v>0.3159658171</v>
      </c>
      <c r="P1433" s="13">
        <v>0.0602090627</v>
      </c>
      <c r="Q1433" s="13">
        <v>0.0716446193</v>
      </c>
      <c r="R1433" s="13">
        <v>0.2506514159</v>
      </c>
      <c r="S1433" s="13">
        <v>0</v>
      </c>
      <c r="T1433" s="13">
        <v>0.1027494384</v>
      </c>
      <c r="U1433" s="13">
        <v>0.0160321289</v>
      </c>
      <c r="V1433" s="13">
        <v>0.0018572199</v>
      </c>
      <c r="W1433" s="13">
        <v>0</v>
      </c>
      <c r="X1433" s="13">
        <v>0</v>
      </c>
      <c r="Y1433" s="13">
        <v>0</v>
      </c>
      <c r="Z1433" s="13">
        <v>0.0001724917</v>
      </c>
    </row>
    <row r="1434" s="2" customFormat="1" hidden="1" spans="1:26">
      <c r="A1434" s="11" t="s">
        <v>935</v>
      </c>
      <c r="B1434" s="11" t="s">
        <v>937</v>
      </c>
      <c r="C1434" s="14" t="s">
        <v>675</v>
      </c>
      <c r="D1434" s="14" t="s">
        <v>938</v>
      </c>
      <c r="E1434" s="14" t="s">
        <v>939</v>
      </c>
      <c r="F1434" s="3" t="s">
        <v>945</v>
      </c>
      <c r="G1434" s="4">
        <v>2</v>
      </c>
      <c r="H1434" s="12">
        <v>326.264</v>
      </c>
      <c r="I1434" s="12">
        <v>25.409564</v>
      </c>
      <c r="J1434" s="13">
        <v>0.077880379</v>
      </c>
      <c r="K1434" s="13">
        <v>0.077880379</v>
      </c>
      <c r="L1434" s="12">
        <v>23.99</v>
      </c>
      <c r="M1434" s="13">
        <v>0.1564881568</v>
      </c>
      <c r="N1434" s="13">
        <v>0.0959584446</v>
      </c>
      <c r="O1434" s="13">
        <v>0.3180491871</v>
      </c>
      <c r="P1434" s="13">
        <v>0</v>
      </c>
      <c r="Q1434" s="13">
        <v>0.0007631917</v>
      </c>
      <c r="R1434" s="13">
        <v>0.2255106293</v>
      </c>
      <c r="S1434" s="13">
        <v>0</v>
      </c>
      <c r="T1434" s="13">
        <v>0.1092121717</v>
      </c>
      <c r="U1434" s="13">
        <v>0.0161378392</v>
      </c>
      <c r="V1434" s="13">
        <v>0</v>
      </c>
      <c r="W1434" s="13">
        <v>0</v>
      </c>
      <c r="X1434" s="13">
        <v>0</v>
      </c>
      <c r="Y1434" s="13">
        <v>0</v>
      </c>
      <c r="Z1434" s="13">
        <v>0</v>
      </c>
    </row>
    <row r="1435" s="2" customFormat="1" hidden="1" spans="1:26">
      <c r="A1435" s="11" t="s">
        <v>935</v>
      </c>
      <c r="B1435" s="11" t="s">
        <v>937</v>
      </c>
      <c r="C1435" s="14" t="s">
        <v>680</v>
      </c>
      <c r="D1435" s="14" t="s">
        <v>938</v>
      </c>
      <c r="E1435" s="14" t="s">
        <v>939</v>
      </c>
      <c r="F1435" s="3" t="s">
        <v>936</v>
      </c>
      <c r="G1435" s="4">
        <v>140</v>
      </c>
      <c r="H1435" s="12">
        <v>20376.472</v>
      </c>
      <c r="I1435" s="12">
        <v>4438.256318</v>
      </c>
      <c r="J1435" s="13">
        <v>0.2178127949</v>
      </c>
      <c r="K1435" s="13">
        <v>0.2178127949</v>
      </c>
      <c r="L1435" s="12">
        <v>21.4038571428</v>
      </c>
      <c r="M1435" s="13">
        <v>0.0997078851</v>
      </c>
      <c r="N1435" s="13">
        <v>0.0490472604</v>
      </c>
      <c r="O1435" s="13">
        <v>0.2838673937</v>
      </c>
      <c r="P1435" s="13">
        <v>0.0293538547</v>
      </c>
      <c r="Q1435" s="13">
        <v>0.0153191872</v>
      </c>
      <c r="R1435" s="13">
        <v>0.1896409233</v>
      </c>
      <c r="S1435" s="13">
        <v>0</v>
      </c>
      <c r="T1435" s="13">
        <v>0.1064060549</v>
      </c>
      <c r="U1435" s="13">
        <v>0.0102823752</v>
      </c>
      <c r="V1435" s="13">
        <v>0.0005072516</v>
      </c>
      <c r="W1435" s="13">
        <v>-0.0021906018</v>
      </c>
      <c r="X1435" s="13">
        <v>0</v>
      </c>
      <c r="Y1435" s="13">
        <v>0</v>
      </c>
      <c r="Z1435" s="13">
        <v>0.0002456202</v>
      </c>
    </row>
    <row r="1436" s="2" customFormat="1" hidden="1" spans="1:26">
      <c r="A1436" s="11" t="s">
        <v>935</v>
      </c>
      <c r="B1436" s="11" t="s">
        <v>937</v>
      </c>
      <c r="C1436" s="14" t="s">
        <v>680</v>
      </c>
      <c r="D1436" s="14" t="s">
        <v>938</v>
      </c>
      <c r="E1436" s="14" t="s">
        <v>939</v>
      </c>
      <c r="F1436" s="3" t="s">
        <v>942</v>
      </c>
      <c r="G1436" s="4">
        <v>11</v>
      </c>
      <c r="H1436" s="12">
        <v>1644.852</v>
      </c>
      <c r="I1436" s="12">
        <v>166.634129</v>
      </c>
      <c r="J1436" s="13">
        <v>0.1013064573</v>
      </c>
      <c r="K1436" s="13">
        <v>0.1013064573</v>
      </c>
      <c r="L1436" s="12">
        <v>21.99</v>
      </c>
      <c r="M1436" s="13">
        <v>0.099297234</v>
      </c>
      <c r="N1436" s="13">
        <v>0.0281568493</v>
      </c>
      <c r="O1436" s="13">
        <v>0.2737608003</v>
      </c>
      <c r="P1436" s="13">
        <v>0</v>
      </c>
      <c r="Q1436" s="13">
        <v>0.0060198899</v>
      </c>
      <c r="R1436" s="13">
        <v>0.3890892219</v>
      </c>
      <c r="S1436" s="13">
        <v>0</v>
      </c>
      <c r="T1436" s="13">
        <v>0.0906610442</v>
      </c>
      <c r="U1436" s="13">
        <v>0.0102400288</v>
      </c>
      <c r="V1436" s="13">
        <v>0</v>
      </c>
      <c r="W1436" s="13">
        <v>0</v>
      </c>
      <c r="X1436" s="13">
        <v>0</v>
      </c>
      <c r="Y1436" s="13">
        <v>0</v>
      </c>
      <c r="Z1436" s="13">
        <v>0.0014684737</v>
      </c>
    </row>
    <row r="1437" s="2" customFormat="1" hidden="1" spans="1:26">
      <c r="A1437" s="11" t="s">
        <v>935</v>
      </c>
      <c r="B1437" s="11" t="s">
        <v>937</v>
      </c>
      <c r="C1437" s="14" t="s">
        <v>680</v>
      </c>
      <c r="D1437" s="14" t="s">
        <v>938</v>
      </c>
      <c r="E1437" s="14" t="s">
        <v>939</v>
      </c>
      <c r="F1437" s="3" t="s">
        <v>943</v>
      </c>
      <c r="G1437" s="4">
        <v>38</v>
      </c>
      <c r="H1437" s="12">
        <v>5275.1</v>
      </c>
      <c r="I1437" s="12">
        <v>1374.868744</v>
      </c>
      <c r="J1437" s="13">
        <v>0.2606336835</v>
      </c>
      <c r="K1437" s="13">
        <v>0.2606336835</v>
      </c>
      <c r="L1437" s="12">
        <v>20.4144736842</v>
      </c>
      <c r="M1437" s="13">
        <v>0.1005741904</v>
      </c>
      <c r="N1437" s="13">
        <v>0.0492789641</v>
      </c>
      <c r="O1437" s="13">
        <v>0.2790847566</v>
      </c>
      <c r="P1437" s="13">
        <v>0.0283467611</v>
      </c>
      <c r="Q1437" s="13">
        <v>0.0109175822</v>
      </c>
      <c r="R1437" s="13">
        <v>0.1509602911</v>
      </c>
      <c r="S1437" s="13">
        <v>0</v>
      </c>
      <c r="T1437" s="13">
        <v>0.1077924589</v>
      </c>
      <c r="U1437" s="13">
        <v>0.0103717139</v>
      </c>
      <c r="V1437" s="13">
        <v>0.0019593941</v>
      </c>
      <c r="W1437" s="13">
        <v>0</v>
      </c>
      <c r="X1437" s="13">
        <v>0</v>
      </c>
      <c r="Y1437" s="13">
        <v>0</v>
      </c>
      <c r="Z1437" s="13">
        <v>8.02035e-5</v>
      </c>
    </row>
    <row r="1438" s="2" customFormat="1" spans="1:26">
      <c r="A1438" s="11" t="s">
        <v>935</v>
      </c>
      <c r="B1438" s="11" t="s">
        <v>937</v>
      </c>
      <c r="C1438" s="14" t="s">
        <v>680</v>
      </c>
      <c r="D1438" s="14" t="s">
        <v>938</v>
      </c>
      <c r="E1438" s="14" t="s">
        <v>939</v>
      </c>
      <c r="F1438" s="3" t="s">
        <v>944</v>
      </c>
      <c r="G1438" s="4">
        <v>85</v>
      </c>
      <c r="H1438" s="12">
        <v>12559.328</v>
      </c>
      <c r="I1438" s="12">
        <v>2707.380878</v>
      </c>
      <c r="J1438" s="13">
        <v>0.2155673359</v>
      </c>
      <c r="K1438" s="13">
        <v>0.2155673359</v>
      </c>
      <c r="L1438" s="12">
        <v>21.7289411764</v>
      </c>
      <c r="M1438" s="13">
        <v>0.0994972346</v>
      </c>
      <c r="N1438" s="13">
        <v>0.0515507644</v>
      </c>
      <c r="O1438" s="13">
        <v>0.2869796855</v>
      </c>
      <c r="P1438" s="13">
        <v>0.035718153</v>
      </c>
      <c r="Q1438" s="13">
        <v>0.0194256484</v>
      </c>
      <c r="R1438" s="13">
        <v>0.1767403595</v>
      </c>
      <c r="S1438" s="13">
        <v>0</v>
      </c>
      <c r="T1438" s="13">
        <v>0.1076417464</v>
      </c>
      <c r="U1438" s="13">
        <v>0.0102606512</v>
      </c>
      <c r="V1438" s="13">
        <v>0</v>
      </c>
      <c r="W1438" s="13">
        <v>-0.0035540705</v>
      </c>
      <c r="X1438" s="13">
        <v>0</v>
      </c>
      <c r="Y1438" s="13">
        <v>0</v>
      </c>
      <c r="Z1438" s="13">
        <v>0.0001724909</v>
      </c>
    </row>
    <row r="1439" s="2" customFormat="1" hidden="1" spans="1:26">
      <c r="A1439" s="11" t="s">
        <v>935</v>
      </c>
      <c r="B1439" s="11" t="s">
        <v>937</v>
      </c>
      <c r="C1439" s="14" t="s">
        <v>680</v>
      </c>
      <c r="D1439" s="14" t="s">
        <v>938</v>
      </c>
      <c r="E1439" s="14" t="s">
        <v>939</v>
      </c>
      <c r="F1439" s="3" t="s">
        <v>945</v>
      </c>
      <c r="G1439" s="4">
        <v>6</v>
      </c>
      <c r="H1439" s="12">
        <v>897.192</v>
      </c>
      <c r="I1439" s="12">
        <v>189.372567</v>
      </c>
      <c r="J1439" s="13">
        <v>0.2110725095</v>
      </c>
      <c r="K1439" s="13">
        <v>0.2110725095</v>
      </c>
      <c r="L1439" s="12">
        <v>21.99</v>
      </c>
      <c r="M1439" s="13">
        <v>0.0983160326</v>
      </c>
      <c r="N1439" s="13">
        <v>0.0509387689</v>
      </c>
      <c r="O1439" s="13">
        <v>0.286948613</v>
      </c>
      <c r="P1439" s="13">
        <v>0</v>
      </c>
      <c r="Q1439" s="13">
        <v>0.0007631956</v>
      </c>
      <c r="R1439" s="13">
        <v>0.2319993936</v>
      </c>
      <c r="S1439" s="13">
        <v>0</v>
      </c>
      <c r="T1439" s="13">
        <v>0.1098226466</v>
      </c>
      <c r="U1439" s="13">
        <v>0.0101388398</v>
      </c>
      <c r="V1439" s="13">
        <v>0</v>
      </c>
      <c r="W1439" s="13">
        <v>0</v>
      </c>
      <c r="X1439" s="13">
        <v>0</v>
      </c>
      <c r="Y1439" s="13">
        <v>0</v>
      </c>
      <c r="Z1439" s="13">
        <v>0</v>
      </c>
    </row>
    <row r="1440" s="2" customFormat="1" hidden="1" spans="1:26">
      <c r="A1440" s="11" t="s">
        <v>935</v>
      </c>
      <c r="B1440" s="11" t="s">
        <v>937</v>
      </c>
      <c r="C1440" s="14" t="s">
        <v>685</v>
      </c>
      <c r="D1440" s="14" t="s">
        <v>938</v>
      </c>
      <c r="E1440" s="14" t="s">
        <v>939</v>
      </c>
      <c r="F1440" s="3" t="s">
        <v>936</v>
      </c>
      <c r="G1440" s="4">
        <v>206</v>
      </c>
      <c r="H1440" s="12">
        <v>31575.052</v>
      </c>
      <c r="I1440" s="12">
        <v>7315.305732</v>
      </c>
      <c r="J1440" s="13">
        <v>0.2316799266</v>
      </c>
      <c r="K1440" s="13">
        <v>0.2316799266</v>
      </c>
      <c r="L1440" s="12">
        <v>22.5407281553</v>
      </c>
      <c r="M1440" s="13">
        <v>0.1138715916</v>
      </c>
      <c r="N1440" s="13">
        <v>0.0381095043</v>
      </c>
      <c r="O1440" s="13">
        <v>0.2897452077</v>
      </c>
      <c r="P1440" s="13">
        <v>0.0143580444</v>
      </c>
      <c r="Q1440" s="13">
        <v>0.0086872002</v>
      </c>
      <c r="R1440" s="13">
        <v>0.1839071873</v>
      </c>
      <c r="S1440" s="13">
        <v>0</v>
      </c>
      <c r="T1440" s="13">
        <v>0.1109297302</v>
      </c>
      <c r="U1440" s="13">
        <v>0.0117430073</v>
      </c>
      <c r="V1440" s="13">
        <v>-0.0017379543</v>
      </c>
      <c r="W1440" s="13">
        <v>-0.001690039</v>
      </c>
      <c r="X1440" s="13">
        <v>0</v>
      </c>
      <c r="Y1440" s="13">
        <v>0</v>
      </c>
      <c r="Z1440" s="13">
        <v>0.0003965934</v>
      </c>
    </row>
    <row r="1441" s="2" customFormat="1" hidden="1" spans="1:26">
      <c r="A1441" s="11" t="s">
        <v>935</v>
      </c>
      <c r="B1441" s="11" t="s">
        <v>937</v>
      </c>
      <c r="C1441" s="14" t="s">
        <v>685</v>
      </c>
      <c r="D1441" s="14" t="s">
        <v>938</v>
      </c>
      <c r="E1441" s="14" t="s">
        <v>939</v>
      </c>
      <c r="F1441" s="3" t="s">
        <v>940</v>
      </c>
      <c r="G1441" s="4">
        <v>6</v>
      </c>
      <c r="H1441" s="12">
        <v>937.992</v>
      </c>
      <c r="I1441" s="12">
        <v>-42.060832</v>
      </c>
      <c r="J1441" s="13">
        <v>-0.0448413547</v>
      </c>
      <c r="K1441" s="13">
        <v>-0.0448413547</v>
      </c>
      <c r="L1441" s="12">
        <v>22.99</v>
      </c>
      <c r="M1441" s="13">
        <v>0.113160722</v>
      </c>
      <c r="N1441" s="13">
        <v>0.0368216424</v>
      </c>
      <c r="O1441" s="13">
        <v>0.272292301</v>
      </c>
      <c r="P1441" s="13">
        <v>0</v>
      </c>
      <c r="Q1441" s="13">
        <v>0.0180944197</v>
      </c>
      <c r="R1441" s="13">
        <v>0.5171733511</v>
      </c>
      <c r="S1441" s="13">
        <v>0</v>
      </c>
      <c r="T1441" s="13">
        <v>0.0752501087</v>
      </c>
      <c r="U1441" s="13">
        <v>0.0116697018</v>
      </c>
      <c r="V1441" s="13">
        <v>0</v>
      </c>
      <c r="W1441" s="13">
        <v>0</v>
      </c>
      <c r="X1441" s="13">
        <v>0</v>
      </c>
      <c r="Y1441" s="13">
        <v>0</v>
      </c>
      <c r="Z1441" s="13">
        <v>0.0003791077</v>
      </c>
    </row>
    <row r="1442" s="2" customFormat="1" hidden="1" spans="1:26">
      <c r="A1442" s="11" t="s">
        <v>935</v>
      </c>
      <c r="B1442" s="11" t="s">
        <v>937</v>
      </c>
      <c r="C1442" s="14" t="s">
        <v>685</v>
      </c>
      <c r="D1442" s="14" t="s">
        <v>938</v>
      </c>
      <c r="E1442" s="14" t="s">
        <v>939</v>
      </c>
      <c r="F1442" s="3" t="s">
        <v>941</v>
      </c>
      <c r="G1442" s="4">
        <v>77</v>
      </c>
      <c r="H1442" s="12">
        <v>12037.564</v>
      </c>
      <c r="I1442" s="12">
        <v>3085.132395</v>
      </c>
      <c r="J1442" s="13">
        <v>0.2562920865</v>
      </c>
      <c r="K1442" s="13">
        <v>0.2562920865</v>
      </c>
      <c r="L1442" s="12">
        <v>22.99</v>
      </c>
      <c r="M1442" s="13">
        <v>0.1130931479</v>
      </c>
      <c r="N1442" s="13">
        <v>0.03837034</v>
      </c>
      <c r="O1442" s="13">
        <v>0.2845392971</v>
      </c>
      <c r="P1442" s="13">
        <v>0</v>
      </c>
      <c r="Q1442" s="13">
        <v>0.0060651915</v>
      </c>
      <c r="R1442" s="13">
        <v>0.1774404623</v>
      </c>
      <c r="S1442" s="13">
        <v>0</v>
      </c>
      <c r="T1442" s="13">
        <v>0.1116691051</v>
      </c>
      <c r="U1442" s="13">
        <v>0.0116627305</v>
      </c>
      <c r="V1442" s="13">
        <v>0</v>
      </c>
      <c r="W1442" s="13">
        <v>0</v>
      </c>
      <c r="X1442" s="13">
        <v>0</v>
      </c>
      <c r="Y1442" s="13">
        <v>0</v>
      </c>
      <c r="Z1442" s="13">
        <v>0.0008676385</v>
      </c>
    </row>
    <row r="1443" s="2" customFormat="1" hidden="1" spans="1:26">
      <c r="A1443" s="11" t="s">
        <v>935</v>
      </c>
      <c r="B1443" s="11" t="s">
        <v>937</v>
      </c>
      <c r="C1443" s="14" t="s">
        <v>685</v>
      </c>
      <c r="D1443" s="14" t="s">
        <v>938</v>
      </c>
      <c r="E1443" s="14" t="s">
        <v>939</v>
      </c>
      <c r="F1443" s="3" t="s">
        <v>942</v>
      </c>
      <c r="G1443" s="4">
        <v>0</v>
      </c>
      <c r="H1443" s="12">
        <v>0</v>
      </c>
      <c r="I1443" s="12">
        <v>-118.074875</v>
      </c>
      <c r="J1443" s="13"/>
      <c r="K1443" s="13"/>
      <c r="L1443" s="12"/>
      <c r="M1443" s="13"/>
      <c r="N1443" s="13"/>
      <c r="O1443" s="13"/>
      <c r="P1443" s="13"/>
      <c r="Q1443" s="13"/>
      <c r="R1443" s="13"/>
      <c r="S1443" s="13"/>
      <c r="T1443" s="13"/>
      <c r="U1443" s="13"/>
      <c r="V1443" s="13"/>
      <c r="W1443" s="13"/>
      <c r="X1443" s="13"/>
      <c r="Y1443" s="13"/>
      <c r="Z1443" s="13"/>
    </row>
    <row r="1444" s="2" customFormat="1" hidden="1" spans="1:26">
      <c r="A1444" s="11" t="s">
        <v>935</v>
      </c>
      <c r="B1444" s="11" t="s">
        <v>937</v>
      </c>
      <c r="C1444" s="14" t="s">
        <v>685</v>
      </c>
      <c r="D1444" s="14" t="s">
        <v>938</v>
      </c>
      <c r="E1444" s="14" t="s">
        <v>939</v>
      </c>
      <c r="F1444" s="3" t="s">
        <v>943</v>
      </c>
      <c r="G1444" s="4">
        <v>107</v>
      </c>
      <c r="H1444" s="12">
        <v>16098.184</v>
      </c>
      <c r="I1444" s="12">
        <v>4346.64886</v>
      </c>
      <c r="J1444" s="13">
        <v>0.2700086456</v>
      </c>
      <c r="K1444" s="13">
        <v>0.2700086456</v>
      </c>
      <c r="L1444" s="12">
        <v>22.1250467289</v>
      </c>
      <c r="M1444" s="13">
        <v>0.1149130969</v>
      </c>
      <c r="N1444" s="13">
        <v>0.0346672994</v>
      </c>
      <c r="O1444" s="13">
        <v>0.2928807373</v>
      </c>
      <c r="P1444" s="13">
        <v>0.0184507768</v>
      </c>
      <c r="Q1444" s="13">
        <v>0.0041854999</v>
      </c>
      <c r="R1444" s="13">
        <v>0.1405183464</v>
      </c>
      <c r="S1444" s="13">
        <v>0</v>
      </c>
      <c r="T1444" s="13">
        <v>0.1122084329</v>
      </c>
      <c r="U1444" s="13">
        <v>0.0118504116</v>
      </c>
      <c r="V1444" s="13">
        <v>0.0002365484</v>
      </c>
      <c r="W1444" s="13">
        <v>0</v>
      </c>
      <c r="X1444" s="13">
        <v>0</v>
      </c>
      <c r="Y1444" s="13">
        <v>0</v>
      </c>
      <c r="Z1444" s="13">
        <v>8.02043e-5</v>
      </c>
    </row>
    <row r="1445" s="2" customFormat="1" spans="1:26">
      <c r="A1445" s="11" t="s">
        <v>935</v>
      </c>
      <c r="B1445" s="11" t="s">
        <v>937</v>
      </c>
      <c r="C1445" s="14" t="s">
        <v>685</v>
      </c>
      <c r="D1445" s="14" t="s">
        <v>938</v>
      </c>
      <c r="E1445" s="14" t="s">
        <v>939</v>
      </c>
      <c r="F1445" s="3" t="s">
        <v>944</v>
      </c>
      <c r="G1445" s="4">
        <v>16</v>
      </c>
      <c r="H1445" s="12">
        <v>2501.312</v>
      </c>
      <c r="I1445" s="12">
        <v>128.660184</v>
      </c>
      <c r="J1445" s="13">
        <v>0.0514370794</v>
      </c>
      <c r="K1445" s="13">
        <v>0.0514370794</v>
      </c>
      <c r="L1445" s="12">
        <v>22.99</v>
      </c>
      <c r="M1445" s="13">
        <v>0.1111814087</v>
      </c>
      <c r="N1445" s="13">
        <v>0.0594908528</v>
      </c>
      <c r="O1445" s="13">
        <v>0.3011635493</v>
      </c>
      <c r="P1445" s="13">
        <v>0.0625</v>
      </c>
      <c r="Q1445" s="13">
        <v>0.0317346116</v>
      </c>
      <c r="R1445" s="13">
        <v>0.2796667028</v>
      </c>
      <c r="S1445" s="13">
        <v>0</v>
      </c>
      <c r="T1445" s="13">
        <v>0.1125217485</v>
      </c>
      <c r="U1445" s="13">
        <v>0.011465586</v>
      </c>
      <c r="V1445" s="13">
        <v>0</v>
      </c>
      <c r="W1445" s="13">
        <v>-0.0213340326</v>
      </c>
      <c r="X1445" s="13">
        <v>0</v>
      </c>
      <c r="Y1445" s="13">
        <v>0</v>
      </c>
      <c r="Z1445" s="13">
        <v>0.000172493</v>
      </c>
    </row>
    <row r="1446" s="2" customFormat="1" hidden="1" spans="1:26">
      <c r="A1446" s="11" t="s">
        <v>935</v>
      </c>
      <c r="B1446" s="11" t="s">
        <v>937</v>
      </c>
      <c r="C1446" s="14" t="s">
        <v>685</v>
      </c>
      <c r="D1446" s="14" t="s">
        <v>938</v>
      </c>
      <c r="E1446" s="14" t="s">
        <v>939</v>
      </c>
      <c r="F1446" s="3" t="s">
        <v>945</v>
      </c>
      <c r="G1446" s="4">
        <v>0</v>
      </c>
      <c r="H1446" s="12">
        <v>0</v>
      </c>
      <c r="I1446" s="12">
        <v>-85</v>
      </c>
      <c r="J1446" s="13"/>
      <c r="K1446" s="13"/>
      <c r="L1446" s="12"/>
      <c r="M1446" s="13"/>
      <c r="N1446" s="13"/>
      <c r="O1446" s="13"/>
      <c r="P1446" s="13"/>
      <c r="Q1446" s="13"/>
      <c r="R1446" s="13"/>
      <c r="S1446" s="13"/>
      <c r="T1446" s="13"/>
      <c r="U1446" s="13"/>
      <c r="V1446" s="13"/>
      <c r="W1446" s="13"/>
      <c r="X1446" s="13"/>
      <c r="Y1446" s="13"/>
      <c r="Z1446" s="13"/>
    </row>
    <row r="1447" s="2" customFormat="1" hidden="1" spans="1:26">
      <c r="A1447" s="11" t="s">
        <v>935</v>
      </c>
      <c r="B1447" s="11" t="s">
        <v>937</v>
      </c>
      <c r="C1447" s="14" t="s">
        <v>690</v>
      </c>
      <c r="D1447" s="14" t="s">
        <v>938</v>
      </c>
      <c r="E1447" s="14" t="s">
        <v>939</v>
      </c>
      <c r="F1447" s="3" t="s">
        <v>936</v>
      </c>
      <c r="G1447" s="4">
        <v>61</v>
      </c>
      <c r="H1447" s="12">
        <v>8814.364</v>
      </c>
      <c r="I1447" s="12">
        <v>423.504088</v>
      </c>
      <c r="J1447" s="13">
        <v>0.0480470386</v>
      </c>
      <c r="K1447" s="13">
        <v>0.0480470386</v>
      </c>
      <c r="L1447" s="12">
        <v>21.2496721311</v>
      </c>
      <c r="M1447" s="13">
        <v>0.1241979923</v>
      </c>
      <c r="N1447" s="13">
        <v>0.0248788841</v>
      </c>
      <c r="O1447" s="13">
        <v>0.3450930776</v>
      </c>
      <c r="P1447" s="13">
        <v>0.0185075179</v>
      </c>
      <c r="Q1447" s="13">
        <v>0.0619802327</v>
      </c>
      <c r="R1447" s="13">
        <v>0.2663789305</v>
      </c>
      <c r="S1447" s="13">
        <v>0</v>
      </c>
      <c r="T1447" s="13">
        <v>0.1092321578</v>
      </c>
      <c r="U1447" s="13">
        <v>0.0128079205</v>
      </c>
      <c r="V1447" s="13">
        <v>-0.0093501924</v>
      </c>
      <c r="W1447" s="13">
        <v>0</v>
      </c>
      <c r="X1447" s="13">
        <v>0</v>
      </c>
      <c r="Y1447" s="13">
        <v>0</v>
      </c>
      <c r="Z1447" s="13">
        <v>-0.0017735601</v>
      </c>
    </row>
    <row r="1448" s="2" customFormat="1" hidden="1" spans="1:26">
      <c r="A1448" s="11" t="s">
        <v>935</v>
      </c>
      <c r="B1448" s="11" t="s">
        <v>937</v>
      </c>
      <c r="C1448" s="14" t="s">
        <v>690</v>
      </c>
      <c r="D1448" s="14" t="s">
        <v>938</v>
      </c>
      <c r="E1448" s="14" t="s">
        <v>939</v>
      </c>
      <c r="F1448" s="3" t="s">
        <v>941</v>
      </c>
      <c r="G1448" s="4">
        <v>22</v>
      </c>
      <c r="H1448" s="12">
        <v>3046.944</v>
      </c>
      <c r="I1448" s="12">
        <v>433.241993</v>
      </c>
      <c r="J1448" s="13">
        <v>0.1421890238</v>
      </c>
      <c r="K1448" s="13">
        <v>0.1421890238</v>
      </c>
      <c r="L1448" s="12">
        <v>20.3672727272</v>
      </c>
      <c r="M1448" s="13">
        <v>0.129578793</v>
      </c>
      <c r="N1448" s="13">
        <v>0.0320252462</v>
      </c>
      <c r="O1448" s="13">
        <v>0.3564988394</v>
      </c>
      <c r="P1448" s="13">
        <v>0</v>
      </c>
      <c r="Q1448" s="13">
        <v>0.0137263448</v>
      </c>
      <c r="R1448" s="13">
        <v>0.1958344966</v>
      </c>
      <c r="S1448" s="13">
        <v>0</v>
      </c>
      <c r="T1448" s="13">
        <v>0.1159168005</v>
      </c>
      <c r="U1448" s="13">
        <v>0.0133628153</v>
      </c>
      <c r="V1448" s="13">
        <v>0</v>
      </c>
      <c r="W1448" s="13">
        <v>0</v>
      </c>
      <c r="X1448" s="13">
        <v>0</v>
      </c>
      <c r="Y1448" s="13">
        <v>0</v>
      </c>
      <c r="Z1448" s="13">
        <v>0.0008676398</v>
      </c>
    </row>
    <row r="1449" s="2" customFormat="1" hidden="1" spans="1:26">
      <c r="A1449" s="11" t="s">
        <v>935</v>
      </c>
      <c r="B1449" s="11" t="s">
        <v>937</v>
      </c>
      <c r="C1449" s="14" t="s">
        <v>690</v>
      </c>
      <c r="D1449" s="14" t="s">
        <v>938</v>
      </c>
      <c r="E1449" s="14" t="s">
        <v>939</v>
      </c>
      <c r="F1449" s="3" t="s">
        <v>942</v>
      </c>
      <c r="G1449" s="4">
        <v>24</v>
      </c>
      <c r="H1449" s="12">
        <v>3320.44</v>
      </c>
      <c r="I1449" s="12">
        <v>-186.282551</v>
      </c>
      <c r="J1449" s="13">
        <v>-0.0561017669</v>
      </c>
      <c r="K1449" s="13">
        <v>-0.0561017669</v>
      </c>
      <c r="L1449" s="12">
        <v>20.3458333333</v>
      </c>
      <c r="M1449" s="13">
        <v>0.1297153365</v>
      </c>
      <c r="N1449" s="13">
        <v>0.0269407162</v>
      </c>
      <c r="O1449" s="13">
        <v>0.3624001638</v>
      </c>
      <c r="P1449" s="13">
        <v>0.0491296334</v>
      </c>
      <c r="Q1449" s="13">
        <v>0.0399431108</v>
      </c>
      <c r="R1449" s="13">
        <v>0.3366088987</v>
      </c>
      <c r="S1449" s="13">
        <v>0</v>
      </c>
      <c r="T1449" s="13">
        <v>0.1024370264</v>
      </c>
      <c r="U1449" s="13">
        <v>0.013376897</v>
      </c>
      <c r="V1449" s="13">
        <v>0</v>
      </c>
      <c r="W1449" s="13">
        <v>0</v>
      </c>
      <c r="X1449" s="13">
        <v>0</v>
      </c>
      <c r="Y1449" s="13">
        <v>0</v>
      </c>
      <c r="Z1449" s="13">
        <v>-0.0044500163</v>
      </c>
    </row>
    <row r="1450" s="2" customFormat="1" hidden="1" spans="1:26">
      <c r="A1450" s="11" t="s">
        <v>935</v>
      </c>
      <c r="B1450" s="11" t="s">
        <v>937</v>
      </c>
      <c r="C1450" s="14" t="s">
        <v>690</v>
      </c>
      <c r="D1450" s="14" t="s">
        <v>938</v>
      </c>
      <c r="E1450" s="14" t="s">
        <v>939</v>
      </c>
      <c r="F1450" s="3" t="s">
        <v>943</v>
      </c>
      <c r="G1450" s="4">
        <v>2</v>
      </c>
      <c r="H1450" s="12">
        <v>326.264</v>
      </c>
      <c r="I1450" s="12">
        <v>-175.122478</v>
      </c>
      <c r="J1450" s="13">
        <v>-0.5367508459</v>
      </c>
      <c r="K1450" s="13">
        <v>-0.5367508459</v>
      </c>
      <c r="L1450" s="12">
        <v>23.99</v>
      </c>
      <c r="M1450" s="13">
        <v>0.1100111136</v>
      </c>
      <c r="N1450" s="13">
        <v>0.01288882</v>
      </c>
      <c r="O1450" s="13">
        <v>0.3042934556</v>
      </c>
      <c r="P1450" s="13">
        <v>0</v>
      </c>
      <c r="Q1450" s="13">
        <v>0.4263267354</v>
      </c>
      <c r="R1450" s="13">
        <v>0.5730144606</v>
      </c>
      <c r="S1450" s="13">
        <v>0</v>
      </c>
      <c r="T1450" s="13">
        <v>0.1104626927</v>
      </c>
      <c r="U1450" s="13">
        <v>0.0113448986</v>
      </c>
      <c r="V1450" s="13">
        <v>0</v>
      </c>
      <c r="W1450" s="13">
        <v>0</v>
      </c>
      <c r="X1450" s="13">
        <v>0</v>
      </c>
      <c r="Y1450" s="13">
        <v>0</v>
      </c>
      <c r="Z1450" s="13">
        <v>-0.011591331</v>
      </c>
    </row>
    <row r="1451" s="2" customFormat="1" spans="1:26">
      <c r="A1451" s="11" t="s">
        <v>935</v>
      </c>
      <c r="B1451" s="11" t="s">
        <v>937</v>
      </c>
      <c r="C1451" s="14" t="s">
        <v>690</v>
      </c>
      <c r="D1451" s="14" t="s">
        <v>938</v>
      </c>
      <c r="E1451" s="14" t="s">
        <v>939</v>
      </c>
      <c r="F1451" s="3" t="s">
        <v>944</v>
      </c>
      <c r="G1451" s="4">
        <v>10</v>
      </c>
      <c r="H1451" s="12">
        <v>1631.32</v>
      </c>
      <c r="I1451" s="12">
        <v>202.209364</v>
      </c>
      <c r="J1451" s="13">
        <v>0.1239544442</v>
      </c>
      <c r="K1451" s="13">
        <v>0.1239544442</v>
      </c>
      <c r="L1451" s="12">
        <v>23.99</v>
      </c>
      <c r="M1451" s="13">
        <v>0.1100111136</v>
      </c>
      <c r="N1451" s="13">
        <v>0.0132277113</v>
      </c>
      <c r="O1451" s="13">
        <v>0.3089620675</v>
      </c>
      <c r="P1451" s="13">
        <v>0</v>
      </c>
      <c r="Q1451" s="13">
        <v>0.1424586561</v>
      </c>
      <c r="R1451" s="13">
        <v>0.2299269732</v>
      </c>
      <c r="S1451" s="13">
        <v>0</v>
      </c>
      <c r="T1451" s="13">
        <v>0.1104626927</v>
      </c>
      <c r="U1451" s="13">
        <v>0.0113448986</v>
      </c>
      <c r="V1451" s="13">
        <v>-0.0505210504</v>
      </c>
      <c r="W1451" s="13">
        <v>0</v>
      </c>
      <c r="X1451" s="13">
        <v>0</v>
      </c>
      <c r="Y1451" s="13">
        <v>0</v>
      </c>
      <c r="Z1451" s="13">
        <v>0.0001724928</v>
      </c>
    </row>
    <row r="1452" s="2" customFormat="1" hidden="1" spans="1:26">
      <c r="A1452" s="11" t="s">
        <v>935</v>
      </c>
      <c r="B1452" s="11" t="s">
        <v>937</v>
      </c>
      <c r="C1452" s="14" t="s">
        <v>690</v>
      </c>
      <c r="D1452" s="14" t="s">
        <v>938</v>
      </c>
      <c r="E1452" s="14" t="s">
        <v>939</v>
      </c>
      <c r="F1452" s="3" t="s">
        <v>945</v>
      </c>
      <c r="G1452" s="4">
        <v>3</v>
      </c>
      <c r="H1452" s="12">
        <v>489.396</v>
      </c>
      <c r="I1452" s="12">
        <v>149.45776</v>
      </c>
      <c r="J1452" s="13">
        <v>0.3053922794</v>
      </c>
      <c r="K1452" s="13">
        <v>0.3053922794</v>
      </c>
      <c r="L1452" s="12">
        <v>23.99</v>
      </c>
      <c r="M1452" s="13">
        <v>0.1100111136</v>
      </c>
      <c r="N1452" s="13">
        <v>0.0132277113</v>
      </c>
      <c r="O1452" s="13">
        <v>0.3042934556</v>
      </c>
      <c r="P1452" s="13">
        <v>0</v>
      </c>
      <c r="Q1452" s="13">
        <v>0.0007631938</v>
      </c>
      <c r="R1452" s="13">
        <v>0.146172016</v>
      </c>
      <c r="S1452" s="13">
        <v>0</v>
      </c>
      <c r="T1452" s="13">
        <v>0.1087953313</v>
      </c>
      <c r="U1452" s="13">
        <v>0.0113448986</v>
      </c>
      <c r="V1452" s="13">
        <v>0</v>
      </c>
      <c r="W1452" s="13">
        <v>0</v>
      </c>
      <c r="X1452" s="13">
        <v>0</v>
      </c>
      <c r="Y1452" s="13">
        <v>0</v>
      </c>
      <c r="Z1452" s="13">
        <v>0</v>
      </c>
    </row>
    <row r="1453" s="2" customFormat="1" hidden="1" spans="1:26">
      <c r="A1453" s="11" t="s">
        <v>935</v>
      </c>
      <c r="B1453" s="11" t="s">
        <v>937</v>
      </c>
      <c r="C1453" s="14" t="s">
        <v>695</v>
      </c>
      <c r="D1453" s="14" t="s">
        <v>938</v>
      </c>
      <c r="E1453" s="14" t="s">
        <v>939</v>
      </c>
      <c r="F1453" s="3" t="s">
        <v>936</v>
      </c>
      <c r="G1453" s="4">
        <v>32</v>
      </c>
      <c r="H1453" s="12">
        <v>4256.732</v>
      </c>
      <c r="I1453" s="12">
        <v>-736.640863</v>
      </c>
      <c r="J1453" s="13">
        <v>-0.1730531456</v>
      </c>
      <c r="K1453" s="13">
        <v>-0.1730531456</v>
      </c>
      <c r="L1453" s="12">
        <v>19.5621875</v>
      </c>
      <c r="M1453" s="13">
        <v>0.142991999</v>
      </c>
      <c r="N1453" s="13">
        <v>0.0333163415</v>
      </c>
      <c r="O1453" s="13">
        <v>0.3083435837</v>
      </c>
      <c r="P1453" s="13">
        <v>0.1679260052</v>
      </c>
      <c r="Q1453" s="13">
        <v>0.0854180737</v>
      </c>
      <c r="R1453" s="13">
        <v>0.3386356213</v>
      </c>
      <c r="S1453" s="13">
        <v>0</v>
      </c>
      <c r="T1453" s="13">
        <v>0.0897937666</v>
      </c>
      <c r="U1453" s="13">
        <v>0.0147460516</v>
      </c>
      <c r="V1453" s="13">
        <v>0.0032907873</v>
      </c>
      <c r="W1453" s="13">
        <v>-0.011911042</v>
      </c>
      <c r="X1453" s="13">
        <v>0</v>
      </c>
      <c r="Y1453" s="13">
        <v>0</v>
      </c>
      <c r="Z1453" s="13">
        <v>0.0005019573</v>
      </c>
    </row>
    <row r="1454" s="2" customFormat="1" hidden="1" spans="1:26">
      <c r="A1454" s="11" t="s">
        <v>935</v>
      </c>
      <c r="B1454" s="11" t="s">
        <v>937</v>
      </c>
      <c r="C1454" s="14" t="s">
        <v>695</v>
      </c>
      <c r="D1454" s="14" t="s">
        <v>938</v>
      </c>
      <c r="E1454" s="14" t="s">
        <v>939</v>
      </c>
      <c r="F1454" s="3" t="s">
        <v>940</v>
      </c>
      <c r="G1454" s="4">
        <v>6</v>
      </c>
      <c r="H1454" s="12">
        <v>944.792</v>
      </c>
      <c r="I1454" s="12">
        <v>-26.501188</v>
      </c>
      <c r="J1454" s="13">
        <v>-0.0280497591</v>
      </c>
      <c r="K1454" s="13">
        <v>-0.0280497591</v>
      </c>
      <c r="L1454" s="12">
        <v>23.1566666666</v>
      </c>
      <c r="M1454" s="13">
        <v>0.1456443936</v>
      </c>
      <c r="N1454" s="13">
        <v>0.0299800718</v>
      </c>
      <c r="O1454" s="13">
        <v>0.2556499208</v>
      </c>
      <c r="P1454" s="13">
        <v>0</v>
      </c>
      <c r="Q1454" s="13">
        <v>0.0180944281</v>
      </c>
      <c r="R1454" s="13">
        <v>0.4915966392</v>
      </c>
      <c r="S1454" s="13">
        <v>0</v>
      </c>
      <c r="T1454" s="13">
        <v>0.0716856196</v>
      </c>
      <c r="U1454" s="13">
        <v>0.0150195789</v>
      </c>
      <c r="V1454" s="13">
        <v>0</v>
      </c>
      <c r="W1454" s="13">
        <v>0</v>
      </c>
      <c r="X1454" s="13">
        <v>0</v>
      </c>
      <c r="Y1454" s="13">
        <v>0</v>
      </c>
      <c r="Z1454" s="13">
        <v>0.0003791067</v>
      </c>
    </row>
    <row r="1455" s="2" customFormat="1" hidden="1" spans="1:26">
      <c r="A1455" s="11" t="s">
        <v>935</v>
      </c>
      <c r="B1455" s="11" t="s">
        <v>937</v>
      </c>
      <c r="C1455" s="14" t="s">
        <v>695</v>
      </c>
      <c r="D1455" s="14" t="s">
        <v>938</v>
      </c>
      <c r="E1455" s="14" t="s">
        <v>939</v>
      </c>
      <c r="F1455" s="3" t="s">
        <v>941</v>
      </c>
      <c r="G1455" s="4">
        <v>3</v>
      </c>
      <c r="H1455" s="12">
        <v>468.996</v>
      </c>
      <c r="I1455" s="12">
        <v>-141.720534</v>
      </c>
      <c r="J1455" s="13">
        <v>-0.3021785558</v>
      </c>
      <c r="K1455" s="13">
        <v>-0.3021785558</v>
      </c>
      <c r="L1455" s="12">
        <v>22.99</v>
      </c>
      <c r="M1455" s="13">
        <v>0.1467002469</v>
      </c>
      <c r="N1455" s="13">
        <v>0.0405291303</v>
      </c>
      <c r="O1455" s="13">
        <v>0.2825866318</v>
      </c>
      <c r="P1455" s="13">
        <v>0.3333333333</v>
      </c>
      <c r="Q1455" s="13">
        <v>0.0419922899</v>
      </c>
      <c r="R1455" s="13">
        <v>0.3602810556</v>
      </c>
      <c r="S1455" s="13">
        <v>0</v>
      </c>
      <c r="T1455" s="13">
        <v>0.0807597506</v>
      </c>
      <c r="U1455" s="13">
        <v>0.0151284637</v>
      </c>
      <c r="V1455" s="13">
        <v>0</v>
      </c>
      <c r="W1455" s="13">
        <v>0</v>
      </c>
      <c r="X1455" s="13">
        <v>0</v>
      </c>
      <c r="Y1455" s="13">
        <v>0</v>
      </c>
      <c r="Z1455" s="13">
        <v>0.0008676534</v>
      </c>
    </row>
    <row r="1456" s="2" customFormat="1" hidden="1" spans="1:26">
      <c r="A1456" s="11" t="s">
        <v>935</v>
      </c>
      <c r="B1456" s="11" t="s">
        <v>937</v>
      </c>
      <c r="C1456" s="14" t="s">
        <v>695</v>
      </c>
      <c r="D1456" s="14" t="s">
        <v>938</v>
      </c>
      <c r="E1456" s="14" t="s">
        <v>939</v>
      </c>
      <c r="F1456" s="3" t="s">
        <v>942</v>
      </c>
      <c r="G1456" s="4">
        <v>7</v>
      </c>
      <c r="H1456" s="12">
        <v>769.42</v>
      </c>
      <c r="I1456" s="12">
        <v>-424.728647</v>
      </c>
      <c r="J1456" s="13">
        <v>-0.5520114462</v>
      </c>
      <c r="K1456" s="13">
        <v>-0.5520114462</v>
      </c>
      <c r="L1456" s="12">
        <v>16.1642857142</v>
      </c>
      <c r="M1456" s="13">
        <v>0.1788407605</v>
      </c>
      <c r="N1456" s="13">
        <v>0.0368163421</v>
      </c>
      <c r="O1456" s="13">
        <v>0.365885992</v>
      </c>
      <c r="P1456" s="13">
        <v>0.1554573574</v>
      </c>
      <c r="Q1456" s="13">
        <v>0.1431820332</v>
      </c>
      <c r="R1456" s="13">
        <v>0.5815413349</v>
      </c>
      <c r="S1456" s="13">
        <v>0</v>
      </c>
      <c r="T1456" s="13">
        <v>0.1011931064</v>
      </c>
      <c r="U1456" s="13">
        <v>0.0184429544</v>
      </c>
      <c r="V1456" s="13">
        <v>0.005125939</v>
      </c>
      <c r="W1456" s="13">
        <v>-0.0359428504</v>
      </c>
      <c r="X1456" s="13">
        <v>0</v>
      </c>
      <c r="Y1456" s="13">
        <v>0</v>
      </c>
      <c r="Z1456" s="13">
        <v>0.0014684762</v>
      </c>
    </row>
    <row r="1457" s="2" customFormat="1" hidden="1" spans="1:26">
      <c r="A1457" s="11" t="s">
        <v>935</v>
      </c>
      <c r="B1457" s="11" t="s">
        <v>937</v>
      </c>
      <c r="C1457" s="14" t="s">
        <v>695</v>
      </c>
      <c r="D1457" s="14" t="s">
        <v>938</v>
      </c>
      <c r="E1457" s="14" t="s">
        <v>939</v>
      </c>
      <c r="F1457" s="3" t="s">
        <v>943</v>
      </c>
      <c r="G1457" s="4">
        <v>9</v>
      </c>
      <c r="H1457" s="12">
        <v>1256.368</v>
      </c>
      <c r="I1457" s="12">
        <v>176.407944</v>
      </c>
      <c r="J1457" s="13">
        <v>0.1404110451</v>
      </c>
      <c r="K1457" s="13">
        <v>0.1404110451</v>
      </c>
      <c r="L1457" s="12">
        <v>20.5288888888</v>
      </c>
      <c r="M1457" s="13">
        <v>0.137779992</v>
      </c>
      <c r="N1457" s="13">
        <v>0.0338203814</v>
      </c>
      <c r="O1457" s="13">
        <v>0.3361658367</v>
      </c>
      <c r="P1457" s="13">
        <v>0</v>
      </c>
      <c r="Q1457" s="13">
        <v>0.0895418316</v>
      </c>
      <c r="R1457" s="13">
        <v>0.1294058683</v>
      </c>
      <c r="S1457" s="13">
        <v>0</v>
      </c>
      <c r="T1457" s="13">
        <v>0.118586274</v>
      </c>
      <c r="U1457" s="13">
        <v>0.0142085638</v>
      </c>
      <c r="V1457" s="13">
        <v>0</v>
      </c>
      <c r="W1457" s="13">
        <v>0</v>
      </c>
      <c r="X1457" s="13">
        <v>0</v>
      </c>
      <c r="Y1457" s="13">
        <v>0</v>
      </c>
      <c r="Z1457" s="13">
        <v>8.02065e-5</v>
      </c>
    </row>
    <row r="1458" s="2" customFormat="1" spans="1:26">
      <c r="A1458" s="11" t="s">
        <v>935</v>
      </c>
      <c r="B1458" s="11" t="s">
        <v>937</v>
      </c>
      <c r="C1458" s="14" t="s">
        <v>695</v>
      </c>
      <c r="D1458" s="14" t="s">
        <v>938</v>
      </c>
      <c r="E1458" s="14" t="s">
        <v>939</v>
      </c>
      <c r="F1458" s="3" t="s">
        <v>944</v>
      </c>
      <c r="G1458" s="4">
        <v>7</v>
      </c>
      <c r="H1458" s="12">
        <v>817.156</v>
      </c>
      <c r="I1458" s="12">
        <v>-320.098438</v>
      </c>
      <c r="J1458" s="13">
        <v>-0.3917225572</v>
      </c>
      <c r="K1458" s="13">
        <v>-0.3917225572</v>
      </c>
      <c r="L1458" s="12">
        <v>17.1671428571</v>
      </c>
      <c r="M1458" s="13">
        <v>0.1120558375</v>
      </c>
      <c r="N1458" s="13">
        <v>0.0289635393</v>
      </c>
      <c r="O1458" s="13">
        <v>0.2870932845</v>
      </c>
      <c r="P1458" s="13">
        <v>0.5370724806</v>
      </c>
      <c r="Q1458" s="13">
        <v>0.1274512443</v>
      </c>
      <c r="R1458" s="13">
        <v>0.2423322033</v>
      </c>
      <c r="S1458" s="13">
        <v>0</v>
      </c>
      <c r="T1458" s="13">
        <v>0.0609137055</v>
      </c>
      <c r="U1458" s="13">
        <v>0.0115557616</v>
      </c>
      <c r="V1458" s="13">
        <v>0.0123158858</v>
      </c>
      <c r="W1458" s="13">
        <v>-0.0282038753</v>
      </c>
      <c r="X1458" s="13">
        <v>0</v>
      </c>
      <c r="Y1458" s="13">
        <v>0</v>
      </c>
      <c r="Z1458" s="13">
        <v>0.0001724897</v>
      </c>
    </row>
    <row r="1459" s="2" customFormat="1" hidden="1" spans="1:26">
      <c r="A1459" s="11" t="s">
        <v>935</v>
      </c>
      <c r="B1459" s="11" t="s">
        <v>937</v>
      </c>
      <c r="C1459" s="14" t="s">
        <v>700</v>
      </c>
      <c r="D1459" s="14" t="s">
        <v>938</v>
      </c>
      <c r="E1459" s="14" t="s">
        <v>939</v>
      </c>
      <c r="F1459" s="3" t="s">
        <v>936</v>
      </c>
      <c r="G1459" s="4">
        <v>132</v>
      </c>
      <c r="H1459" s="12">
        <v>21220.08</v>
      </c>
      <c r="I1459" s="12">
        <v>2657.529872</v>
      </c>
      <c r="J1459" s="13">
        <v>0.1252365623</v>
      </c>
      <c r="K1459" s="13">
        <v>0.1252365623</v>
      </c>
      <c r="L1459" s="12">
        <v>23.6409090908</v>
      </c>
      <c r="M1459" s="13">
        <v>0.1260036624</v>
      </c>
      <c r="N1459" s="13">
        <v>0.06522604</v>
      </c>
      <c r="O1459" s="13">
        <v>0.3032397615</v>
      </c>
      <c r="P1459" s="13">
        <v>0.0369768634</v>
      </c>
      <c r="Q1459" s="13">
        <v>0.0110465826</v>
      </c>
      <c r="R1459" s="13">
        <v>0.2103080156</v>
      </c>
      <c r="S1459" s="13">
        <v>0</v>
      </c>
      <c r="T1459" s="13">
        <v>0.1097609434</v>
      </c>
      <c r="U1459" s="13">
        <v>0.0129941263</v>
      </c>
      <c r="V1459" s="13">
        <v>0</v>
      </c>
      <c r="W1459" s="13">
        <v>-0.0011541315</v>
      </c>
      <c r="X1459" s="13">
        <v>0</v>
      </c>
      <c r="Y1459" s="13">
        <v>0</v>
      </c>
      <c r="Z1459" s="13">
        <v>0.0003615734</v>
      </c>
    </row>
    <row r="1460" s="2" customFormat="1" hidden="1" spans="1:26">
      <c r="A1460" s="11" t="s">
        <v>935</v>
      </c>
      <c r="B1460" s="11" t="s">
        <v>937</v>
      </c>
      <c r="C1460" s="14" t="s">
        <v>700</v>
      </c>
      <c r="D1460" s="14" t="s">
        <v>938</v>
      </c>
      <c r="E1460" s="14" t="s">
        <v>939</v>
      </c>
      <c r="F1460" s="3" t="s">
        <v>940</v>
      </c>
      <c r="G1460" s="4">
        <v>0</v>
      </c>
      <c r="H1460" s="12">
        <v>0</v>
      </c>
      <c r="I1460" s="12">
        <v>-6.528</v>
      </c>
      <c r="J1460" s="13"/>
      <c r="K1460" s="13"/>
      <c r="L1460" s="12"/>
      <c r="M1460" s="13"/>
      <c r="N1460" s="13"/>
      <c r="O1460" s="13"/>
      <c r="P1460" s="13"/>
      <c r="Q1460" s="13"/>
      <c r="R1460" s="13"/>
      <c r="S1460" s="13"/>
      <c r="T1460" s="13"/>
      <c r="U1460" s="13"/>
      <c r="V1460" s="13"/>
      <c r="W1460" s="13"/>
      <c r="X1460" s="13"/>
      <c r="Y1460" s="13"/>
      <c r="Z1460" s="13"/>
    </row>
    <row r="1461" s="2" customFormat="1" hidden="1" spans="1:26">
      <c r="A1461" s="11" t="s">
        <v>935</v>
      </c>
      <c r="B1461" s="11" t="s">
        <v>937</v>
      </c>
      <c r="C1461" s="14" t="s">
        <v>700</v>
      </c>
      <c r="D1461" s="14" t="s">
        <v>938</v>
      </c>
      <c r="E1461" s="14" t="s">
        <v>939</v>
      </c>
      <c r="F1461" s="3" t="s">
        <v>941</v>
      </c>
      <c r="G1461" s="4">
        <v>30</v>
      </c>
      <c r="H1461" s="12">
        <v>4800.936</v>
      </c>
      <c r="I1461" s="12">
        <v>888.273116</v>
      </c>
      <c r="J1461" s="13">
        <v>0.1850208201</v>
      </c>
      <c r="K1461" s="13">
        <v>0.1850208201</v>
      </c>
      <c r="L1461" s="12">
        <v>23.534</v>
      </c>
      <c r="M1461" s="13">
        <v>0.1268295182</v>
      </c>
      <c r="N1461" s="13">
        <v>0.0412067271</v>
      </c>
      <c r="O1461" s="13">
        <v>0.2863516614</v>
      </c>
      <c r="P1461" s="13">
        <v>0</v>
      </c>
      <c r="Q1461" s="13">
        <v>0.0053647809</v>
      </c>
      <c r="R1461" s="13">
        <v>0.2278408476</v>
      </c>
      <c r="S1461" s="13">
        <v>0</v>
      </c>
      <c r="T1461" s="13">
        <v>0.1134387127</v>
      </c>
      <c r="U1461" s="13">
        <v>0.0130792932</v>
      </c>
      <c r="V1461" s="13">
        <v>0</v>
      </c>
      <c r="W1461" s="13">
        <v>0</v>
      </c>
      <c r="X1461" s="13">
        <v>0</v>
      </c>
      <c r="Y1461" s="13">
        <v>0</v>
      </c>
      <c r="Z1461" s="13">
        <v>0.0008676383</v>
      </c>
    </row>
    <row r="1462" s="2" customFormat="1" hidden="1" spans="1:26">
      <c r="A1462" s="11" t="s">
        <v>935</v>
      </c>
      <c r="B1462" s="11" t="s">
        <v>937</v>
      </c>
      <c r="C1462" s="14" t="s">
        <v>700</v>
      </c>
      <c r="D1462" s="14" t="s">
        <v>938</v>
      </c>
      <c r="E1462" s="14" t="s">
        <v>939</v>
      </c>
      <c r="F1462" s="3" t="s">
        <v>942</v>
      </c>
      <c r="G1462" s="4">
        <v>6</v>
      </c>
      <c r="H1462" s="12">
        <v>823.752</v>
      </c>
      <c r="I1462" s="12">
        <v>-188.955034</v>
      </c>
      <c r="J1462" s="13">
        <v>-0.2293833993</v>
      </c>
      <c r="K1462" s="13">
        <v>-0.2293833993</v>
      </c>
      <c r="L1462" s="12">
        <v>20.19</v>
      </c>
      <c r="M1462" s="13">
        <v>0.1478358535</v>
      </c>
      <c r="N1462" s="13">
        <v>0.0305486335</v>
      </c>
      <c r="O1462" s="13">
        <v>0.3417533432</v>
      </c>
      <c r="P1462" s="13">
        <v>0.1603929337</v>
      </c>
      <c r="Q1462" s="13">
        <v>0.0282049718</v>
      </c>
      <c r="R1462" s="13">
        <v>0.4290746328</v>
      </c>
      <c r="S1462" s="13">
        <v>0</v>
      </c>
      <c r="T1462" s="13">
        <v>0.1045897308</v>
      </c>
      <c r="U1462" s="13">
        <v>0.0152455714</v>
      </c>
      <c r="V1462" s="13">
        <v>0</v>
      </c>
      <c r="W1462" s="13">
        <v>-0.0297307478</v>
      </c>
      <c r="X1462" s="13">
        <v>0</v>
      </c>
      <c r="Y1462" s="13">
        <v>0</v>
      </c>
      <c r="Z1462" s="13">
        <v>0.0014684759</v>
      </c>
    </row>
    <row r="1463" s="2" customFormat="1" hidden="1" spans="1:26">
      <c r="A1463" s="11" t="s">
        <v>935</v>
      </c>
      <c r="B1463" s="11" t="s">
        <v>937</v>
      </c>
      <c r="C1463" s="14" t="s">
        <v>700</v>
      </c>
      <c r="D1463" s="14" t="s">
        <v>938</v>
      </c>
      <c r="E1463" s="14" t="s">
        <v>939</v>
      </c>
      <c r="F1463" s="3" t="s">
        <v>943</v>
      </c>
      <c r="G1463" s="4">
        <v>19</v>
      </c>
      <c r="H1463" s="12">
        <v>3034.228</v>
      </c>
      <c r="I1463" s="12">
        <v>327.359694</v>
      </c>
      <c r="J1463" s="13">
        <v>0.1078889569</v>
      </c>
      <c r="K1463" s="13">
        <v>0.1078889569</v>
      </c>
      <c r="L1463" s="12">
        <v>23.4847368421</v>
      </c>
      <c r="M1463" s="13">
        <v>0.126757034</v>
      </c>
      <c r="N1463" s="13">
        <v>0.0666308359</v>
      </c>
      <c r="O1463" s="13">
        <v>0.301337935</v>
      </c>
      <c r="P1463" s="13">
        <v>0</v>
      </c>
      <c r="Q1463" s="13">
        <v>0.0066372813</v>
      </c>
      <c r="R1463" s="13">
        <v>0.2691268262</v>
      </c>
      <c r="S1463" s="13">
        <v>0</v>
      </c>
      <c r="T1463" s="13">
        <v>0.1084691064</v>
      </c>
      <c r="U1463" s="13">
        <v>0.0130718192</v>
      </c>
      <c r="V1463" s="13">
        <v>0</v>
      </c>
      <c r="W1463" s="13">
        <v>0</v>
      </c>
      <c r="X1463" s="13">
        <v>0</v>
      </c>
      <c r="Y1463" s="13">
        <v>0</v>
      </c>
      <c r="Z1463" s="13">
        <v>8.02045e-5</v>
      </c>
    </row>
    <row r="1464" s="2" customFormat="1" spans="1:26">
      <c r="A1464" s="11" t="s">
        <v>935</v>
      </c>
      <c r="B1464" s="11" t="s">
        <v>937</v>
      </c>
      <c r="C1464" s="14" t="s">
        <v>700</v>
      </c>
      <c r="D1464" s="14" t="s">
        <v>938</v>
      </c>
      <c r="E1464" s="14" t="s">
        <v>939</v>
      </c>
      <c r="F1464" s="3" t="s">
        <v>944</v>
      </c>
      <c r="G1464" s="4">
        <v>73</v>
      </c>
      <c r="H1464" s="12">
        <v>11908.636</v>
      </c>
      <c r="I1464" s="12">
        <v>1655.555976</v>
      </c>
      <c r="J1464" s="13">
        <v>0.139021461</v>
      </c>
      <c r="K1464" s="13">
        <v>0.139021461</v>
      </c>
      <c r="L1464" s="12">
        <v>23.99</v>
      </c>
      <c r="M1464" s="13">
        <v>0.1240742956</v>
      </c>
      <c r="N1464" s="13">
        <v>0.0763411163</v>
      </c>
      <c r="O1464" s="13">
        <v>0.3076281784</v>
      </c>
      <c r="P1464" s="13">
        <v>0.0410958904</v>
      </c>
      <c r="Q1464" s="13">
        <v>0.0138372235</v>
      </c>
      <c r="R1464" s="13">
        <v>0.1753195202</v>
      </c>
      <c r="S1464" s="13">
        <v>0</v>
      </c>
      <c r="T1464" s="13">
        <v>0.1097146642</v>
      </c>
      <c r="U1464" s="13">
        <v>0.0127951597</v>
      </c>
      <c r="V1464" s="13">
        <v>0</v>
      </c>
      <c r="W1464" s="13">
        <v>0</v>
      </c>
      <c r="X1464" s="13">
        <v>0</v>
      </c>
      <c r="Y1464" s="13">
        <v>0</v>
      </c>
      <c r="Z1464" s="13">
        <v>0.0001724901</v>
      </c>
    </row>
    <row r="1465" s="2" customFormat="1" hidden="1" spans="1:26">
      <c r="A1465" s="11" t="s">
        <v>935</v>
      </c>
      <c r="B1465" s="11" t="s">
        <v>937</v>
      </c>
      <c r="C1465" s="14" t="s">
        <v>700</v>
      </c>
      <c r="D1465" s="14" t="s">
        <v>938</v>
      </c>
      <c r="E1465" s="14" t="s">
        <v>939</v>
      </c>
      <c r="F1465" s="3" t="s">
        <v>945</v>
      </c>
      <c r="G1465" s="4">
        <v>4</v>
      </c>
      <c r="H1465" s="12">
        <v>652.528</v>
      </c>
      <c r="I1465" s="12">
        <v>-18.17588</v>
      </c>
      <c r="J1465" s="13">
        <v>-0.0278545594</v>
      </c>
      <c r="K1465" s="13">
        <v>-0.0278545594</v>
      </c>
      <c r="L1465" s="12">
        <v>23.99</v>
      </c>
      <c r="M1465" s="13">
        <v>0.1240742956</v>
      </c>
      <c r="N1465" s="13">
        <v>0.0763411163</v>
      </c>
      <c r="O1465" s="13">
        <v>0.3076281784</v>
      </c>
      <c r="P1465" s="13">
        <v>0.25</v>
      </c>
      <c r="Q1465" s="13">
        <v>0.000763204</v>
      </c>
      <c r="R1465" s="13">
        <v>0.1601709045</v>
      </c>
      <c r="S1465" s="13">
        <v>0</v>
      </c>
      <c r="T1465" s="13">
        <v>0.0960817007</v>
      </c>
      <c r="U1465" s="13">
        <v>0.0127951597</v>
      </c>
      <c r="V1465" s="13">
        <v>0</v>
      </c>
      <c r="W1465" s="13">
        <v>0</v>
      </c>
      <c r="X1465" s="13">
        <v>0</v>
      </c>
      <c r="Y1465" s="13">
        <v>0</v>
      </c>
      <c r="Z1465" s="13">
        <v>0</v>
      </c>
    </row>
    <row r="1466" s="2" customFormat="1" hidden="1" spans="1:26">
      <c r="A1466" s="11" t="s">
        <v>935</v>
      </c>
      <c r="B1466" s="11" t="s">
        <v>937</v>
      </c>
      <c r="C1466" s="14" t="s">
        <v>705</v>
      </c>
      <c r="D1466" s="14" t="s">
        <v>938</v>
      </c>
      <c r="E1466" s="14" t="s">
        <v>939</v>
      </c>
      <c r="F1466" s="3" t="s">
        <v>936</v>
      </c>
      <c r="G1466" s="4">
        <v>83.9999999997</v>
      </c>
      <c r="H1466" s="12">
        <v>14138.288</v>
      </c>
      <c r="I1466" s="12">
        <v>-59.65184</v>
      </c>
      <c r="J1466" s="13">
        <v>-0.0042191699</v>
      </c>
      <c r="K1466" s="13">
        <v>-0.0042191699</v>
      </c>
      <c r="L1466" s="12">
        <v>24.7519047619</v>
      </c>
      <c r="M1466" s="13">
        <v>0.2131202756</v>
      </c>
      <c r="N1466" s="13">
        <v>0.1114494336</v>
      </c>
      <c r="O1466" s="13">
        <v>0.3297389328</v>
      </c>
      <c r="P1466" s="13">
        <v>0.0235575905</v>
      </c>
      <c r="Q1466" s="13">
        <v>0.0186603612</v>
      </c>
      <c r="R1466" s="13">
        <v>0.1840525921</v>
      </c>
      <c r="S1466" s="13">
        <v>0</v>
      </c>
      <c r="T1466" s="13">
        <v>0.1061053502</v>
      </c>
      <c r="U1466" s="13">
        <v>0.0219780296</v>
      </c>
      <c r="V1466" s="13">
        <v>0</v>
      </c>
      <c r="W1466" s="13">
        <v>-0.0038635281</v>
      </c>
      <c r="X1466" s="13">
        <v>0</v>
      </c>
      <c r="Y1466" s="13">
        <v>0</v>
      </c>
      <c r="Z1466" s="13">
        <v>-0.0005798678</v>
      </c>
    </row>
    <row r="1467" s="2" customFormat="1" hidden="1" spans="1:26">
      <c r="A1467" s="11" t="s">
        <v>935</v>
      </c>
      <c r="B1467" s="11" t="s">
        <v>937</v>
      </c>
      <c r="C1467" s="14" t="s">
        <v>705</v>
      </c>
      <c r="D1467" s="14" t="s">
        <v>938</v>
      </c>
      <c r="E1467" s="14" t="s">
        <v>939</v>
      </c>
      <c r="F1467" s="3" t="s">
        <v>942</v>
      </c>
      <c r="G1467" s="4">
        <v>4</v>
      </c>
      <c r="H1467" s="12">
        <v>652.528</v>
      </c>
      <c r="I1467" s="12">
        <v>-258.913888</v>
      </c>
      <c r="J1467" s="13">
        <v>-0.3967858666</v>
      </c>
      <c r="K1467" s="13">
        <v>-0.3967858666</v>
      </c>
      <c r="L1467" s="12">
        <v>23.99</v>
      </c>
      <c r="M1467" s="13">
        <v>0.2207114667</v>
      </c>
      <c r="N1467" s="13">
        <v>0.064823511</v>
      </c>
      <c r="O1467" s="13">
        <v>0.3422259274</v>
      </c>
      <c r="P1467" s="13">
        <v>0</v>
      </c>
      <c r="Q1467" s="13">
        <v>0.0060199041</v>
      </c>
      <c r="R1467" s="13">
        <v>0.6772917591</v>
      </c>
      <c r="S1467" s="13">
        <v>0</v>
      </c>
      <c r="T1467" s="13">
        <v>0.0614839516</v>
      </c>
      <c r="U1467" s="13">
        <v>0.0227608684</v>
      </c>
      <c r="V1467" s="13">
        <v>0</v>
      </c>
      <c r="W1467" s="13">
        <v>0</v>
      </c>
      <c r="X1467" s="13">
        <v>0</v>
      </c>
      <c r="Y1467" s="13">
        <v>0</v>
      </c>
      <c r="Z1467" s="13">
        <v>0.0014684779</v>
      </c>
    </row>
    <row r="1468" s="2" customFormat="1" hidden="1" spans="1:26">
      <c r="A1468" s="11" t="s">
        <v>935</v>
      </c>
      <c r="B1468" s="11" t="s">
        <v>937</v>
      </c>
      <c r="C1468" s="14" t="s">
        <v>705</v>
      </c>
      <c r="D1468" s="14" t="s">
        <v>938</v>
      </c>
      <c r="E1468" s="14" t="s">
        <v>939</v>
      </c>
      <c r="F1468" s="3" t="s">
        <v>943</v>
      </c>
      <c r="G1468" s="4">
        <v>31</v>
      </c>
      <c r="H1468" s="12">
        <v>5159.092</v>
      </c>
      <c r="I1468" s="12">
        <v>158.714323</v>
      </c>
      <c r="J1468" s="13">
        <v>0.0307640032</v>
      </c>
      <c r="K1468" s="13">
        <v>0.0307640032</v>
      </c>
      <c r="L1468" s="12">
        <v>24.4738709677</v>
      </c>
      <c r="M1468" s="13">
        <v>0.2156522601</v>
      </c>
      <c r="N1468" s="13">
        <v>0.1188989415</v>
      </c>
      <c r="O1468" s="13">
        <v>0.3358947659</v>
      </c>
      <c r="P1468" s="13">
        <v>0.0316202928</v>
      </c>
      <c r="Q1468" s="13">
        <v>0.0120487264</v>
      </c>
      <c r="R1468" s="13">
        <v>0.1272644914</v>
      </c>
      <c r="S1468" s="13">
        <v>0</v>
      </c>
      <c r="T1468" s="13">
        <v>0.1076592547</v>
      </c>
      <c r="U1468" s="13">
        <v>0.0222391385</v>
      </c>
      <c r="V1468" s="13">
        <v>0</v>
      </c>
      <c r="W1468" s="13">
        <v>0</v>
      </c>
      <c r="X1468" s="13">
        <v>0</v>
      </c>
      <c r="Y1468" s="13">
        <v>0</v>
      </c>
      <c r="Z1468" s="13">
        <v>-0.002041875</v>
      </c>
    </row>
    <row r="1469" s="2" customFormat="1" spans="1:26">
      <c r="A1469" s="11" t="s">
        <v>935</v>
      </c>
      <c r="B1469" s="11" t="s">
        <v>937</v>
      </c>
      <c r="C1469" s="14" t="s">
        <v>705</v>
      </c>
      <c r="D1469" s="14" t="s">
        <v>938</v>
      </c>
      <c r="E1469" s="14" t="s">
        <v>939</v>
      </c>
      <c r="F1469" s="3" t="s">
        <v>944</v>
      </c>
      <c r="G1469" s="4">
        <v>46.9999999997</v>
      </c>
      <c r="H1469" s="12">
        <v>7986.804</v>
      </c>
      <c r="I1469" s="12">
        <v>13.492167</v>
      </c>
      <c r="J1469" s="13">
        <v>0.0016893073</v>
      </c>
      <c r="K1469" s="13">
        <v>0.0016893073</v>
      </c>
      <c r="L1469" s="12">
        <v>24.9900000001</v>
      </c>
      <c r="M1469" s="13">
        <v>0.2109566004</v>
      </c>
      <c r="N1469" s="13">
        <v>0.1104877072</v>
      </c>
      <c r="O1469" s="13">
        <v>0.3249469997</v>
      </c>
      <c r="P1469" s="13">
        <v>0.0212765957</v>
      </c>
      <c r="Q1469" s="13">
        <v>0.024725476</v>
      </c>
      <c r="R1469" s="13">
        <v>0.1822665859</v>
      </c>
      <c r="S1469" s="13">
        <v>0</v>
      </c>
      <c r="T1469" s="13">
        <v>0.1085625739</v>
      </c>
      <c r="U1469" s="13">
        <v>0.021754902</v>
      </c>
      <c r="V1469" s="13">
        <v>0</v>
      </c>
      <c r="W1469" s="13">
        <v>-0.0068392405</v>
      </c>
      <c r="X1469" s="13">
        <v>0</v>
      </c>
      <c r="Y1469" s="13">
        <v>0</v>
      </c>
      <c r="Z1469" s="13">
        <v>0.000172492</v>
      </c>
    </row>
    <row r="1470" s="2" customFormat="1" hidden="1" spans="1:26">
      <c r="A1470" s="11" t="s">
        <v>935</v>
      </c>
      <c r="B1470" s="11" t="s">
        <v>937</v>
      </c>
      <c r="C1470" s="14" t="s">
        <v>705</v>
      </c>
      <c r="D1470" s="14" t="s">
        <v>938</v>
      </c>
      <c r="E1470" s="14" t="s">
        <v>939</v>
      </c>
      <c r="F1470" s="3" t="s">
        <v>945</v>
      </c>
      <c r="G1470" s="4">
        <v>2</v>
      </c>
      <c r="H1470" s="12">
        <v>339.864</v>
      </c>
      <c r="I1470" s="12">
        <v>27.055558</v>
      </c>
      <c r="J1470" s="13">
        <v>0.0796070133</v>
      </c>
      <c r="K1470" s="13">
        <v>0.0796070133</v>
      </c>
      <c r="L1470" s="12">
        <v>24.99</v>
      </c>
      <c r="M1470" s="13">
        <v>0.2109566002</v>
      </c>
      <c r="N1470" s="13">
        <v>0.1104877068</v>
      </c>
      <c r="O1470" s="13">
        <v>0.3249299719</v>
      </c>
      <c r="P1470" s="13">
        <v>0</v>
      </c>
      <c r="Q1470" s="13">
        <v>0.0007632052</v>
      </c>
      <c r="R1470" s="13">
        <v>0.1410564225</v>
      </c>
      <c r="S1470" s="13">
        <v>0</v>
      </c>
      <c r="T1470" s="13">
        <v>0.1104441776</v>
      </c>
      <c r="U1470" s="13">
        <v>0.0217549019</v>
      </c>
      <c r="V1470" s="13">
        <v>0</v>
      </c>
      <c r="W1470" s="13">
        <v>0</v>
      </c>
      <c r="X1470" s="13">
        <v>0</v>
      </c>
      <c r="Y1470" s="13">
        <v>0</v>
      </c>
      <c r="Z1470" s="13">
        <v>0</v>
      </c>
    </row>
    <row r="1471" s="2" customFormat="1" hidden="1" spans="1:26">
      <c r="A1471" s="11" t="s">
        <v>935</v>
      </c>
      <c r="B1471" s="11" t="s">
        <v>937</v>
      </c>
      <c r="C1471" s="14" t="s">
        <v>710</v>
      </c>
      <c r="D1471" s="14" t="s">
        <v>938</v>
      </c>
      <c r="E1471" s="14" t="s">
        <v>939</v>
      </c>
      <c r="F1471" s="3" t="s">
        <v>936</v>
      </c>
      <c r="G1471" s="4">
        <v>282</v>
      </c>
      <c r="H1471" s="12">
        <v>40332.296</v>
      </c>
      <c r="I1471" s="12">
        <v>6803.588342</v>
      </c>
      <c r="J1471" s="13">
        <v>0.1686883469</v>
      </c>
      <c r="K1471" s="13">
        <v>0.1686883469</v>
      </c>
      <c r="L1471" s="12">
        <v>21.0326950354</v>
      </c>
      <c r="M1471" s="13">
        <v>0.1187842875</v>
      </c>
      <c r="N1471" s="13">
        <v>0.1066715875</v>
      </c>
      <c r="O1471" s="13">
        <v>0.2963875897</v>
      </c>
      <c r="P1471" s="13">
        <v>0.0242833683</v>
      </c>
      <c r="Q1471" s="13">
        <v>0.0082476729</v>
      </c>
      <c r="R1471" s="13">
        <v>0.1570106149</v>
      </c>
      <c r="S1471" s="13">
        <v>0</v>
      </c>
      <c r="T1471" s="13">
        <v>0.1126766499</v>
      </c>
      <c r="U1471" s="13">
        <v>0.0122496304</v>
      </c>
      <c r="V1471" s="13">
        <v>-0.001294506</v>
      </c>
      <c r="W1471" s="13">
        <v>-0.0040969382</v>
      </c>
      <c r="X1471" s="13">
        <v>0</v>
      </c>
      <c r="Y1471" s="13">
        <v>0</v>
      </c>
      <c r="Z1471" s="13">
        <v>0.0003916957</v>
      </c>
    </row>
    <row r="1472" s="2" customFormat="1" hidden="1" spans="1:26">
      <c r="A1472" s="11" t="s">
        <v>935</v>
      </c>
      <c r="B1472" s="11" t="s">
        <v>937</v>
      </c>
      <c r="C1472" s="14" t="s">
        <v>710</v>
      </c>
      <c r="D1472" s="14" t="s">
        <v>938</v>
      </c>
      <c r="E1472" s="14" t="s">
        <v>939</v>
      </c>
      <c r="F1472" s="3" t="s">
        <v>941</v>
      </c>
      <c r="G1472" s="4">
        <v>26</v>
      </c>
      <c r="H1472" s="12">
        <v>3640.992</v>
      </c>
      <c r="I1472" s="12">
        <v>143.093691</v>
      </c>
      <c r="J1472" s="13">
        <v>0.039300743</v>
      </c>
      <c r="K1472" s="13">
        <v>0.039300743</v>
      </c>
      <c r="L1472" s="12">
        <v>20.5938461538</v>
      </c>
      <c r="M1472" s="13">
        <v>0.1228144722</v>
      </c>
      <c r="N1472" s="13">
        <v>0.1549387252</v>
      </c>
      <c r="O1472" s="13">
        <v>0.2948976542</v>
      </c>
      <c r="P1472" s="13">
        <v>0</v>
      </c>
      <c r="Q1472" s="13">
        <v>0.00496077</v>
      </c>
      <c r="R1472" s="13">
        <v>0.2627454012</v>
      </c>
      <c r="S1472" s="13">
        <v>0</v>
      </c>
      <c r="T1472" s="13">
        <v>0.106809353</v>
      </c>
      <c r="U1472" s="13">
        <v>0.0126652412</v>
      </c>
      <c r="V1472" s="13">
        <v>0</v>
      </c>
      <c r="W1472" s="13">
        <v>0</v>
      </c>
      <c r="X1472" s="13">
        <v>0</v>
      </c>
      <c r="Y1472" s="13">
        <v>0</v>
      </c>
      <c r="Z1472" s="13">
        <v>0.0008676396</v>
      </c>
    </row>
    <row r="1473" s="2" customFormat="1" hidden="1" spans="1:26">
      <c r="A1473" s="11" t="s">
        <v>935</v>
      </c>
      <c r="B1473" s="11" t="s">
        <v>937</v>
      </c>
      <c r="C1473" s="14" t="s">
        <v>710</v>
      </c>
      <c r="D1473" s="14" t="s">
        <v>938</v>
      </c>
      <c r="E1473" s="14" t="s">
        <v>939</v>
      </c>
      <c r="F1473" s="3" t="s">
        <v>942</v>
      </c>
      <c r="G1473" s="4">
        <v>49</v>
      </c>
      <c r="H1473" s="12">
        <v>6265.248</v>
      </c>
      <c r="I1473" s="12">
        <v>15.73553</v>
      </c>
      <c r="J1473" s="13">
        <v>0.0025115574</v>
      </c>
      <c r="K1473" s="13">
        <v>0.0025115574</v>
      </c>
      <c r="L1473" s="12">
        <v>18.8032653061</v>
      </c>
      <c r="M1473" s="13">
        <v>0.1317646445</v>
      </c>
      <c r="N1473" s="13">
        <v>0.1662299698</v>
      </c>
      <c r="O1473" s="13">
        <v>0.3193539984</v>
      </c>
      <c r="P1473" s="13">
        <v>0.0608556915</v>
      </c>
      <c r="Q1473" s="13">
        <v>0.0138678639</v>
      </c>
      <c r="R1473" s="13">
        <v>0.190474632</v>
      </c>
      <c r="S1473" s="13">
        <v>0</v>
      </c>
      <c r="T1473" s="13">
        <v>0.111791265</v>
      </c>
      <c r="U1473" s="13">
        <v>0.0135882279</v>
      </c>
      <c r="V1473" s="13">
        <v>0.0005101154</v>
      </c>
      <c r="W1473" s="13">
        <v>-0.0124164422</v>
      </c>
      <c r="X1473" s="13">
        <v>0</v>
      </c>
      <c r="Y1473" s="13">
        <v>0</v>
      </c>
      <c r="Z1473" s="13">
        <v>0.0014684757</v>
      </c>
    </row>
    <row r="1474" s="2" customFormat="1" hidden="1" spans="1:26">
      <c r="A1474" s="11" t="s">
        <v>935</v>
      </c>
      <c r="B1474" s="11" t="s">
        <v>937</v>
      </c>
      <c r="C1474" s="14" t="s">
        <v>710</v>
      </c>
      <c r="D1474" s="14" t="s">
        <v>938</v>
      </c>
      <c r="E1474" s="14" t="s">
        <v>939</v>
      </c>
      <c r="F1474" s="3" t="s">
        <v>943</v>
      </c>
      <c r="G1474" s="4">
        <v>130</v>
      </c>
      <c r="H1474" s="12">
        <v>19050.2</v>
      </c>
      <c r="I1474" s="12">
        <v>4734.671218</v>
      </c>
      <c r="J1474" s="13">
        <v>0.2485365622</v>
      </c>
      <c r="K1474" s="13">
        <v>0.2485365622</v>
      </c>
      <c r="L1474" s="12">
        <v>21.55</v>
      </c>
      <c r="M1474" s="13">
        <v>0.1166114371</v>
      </c>
      <c r="N1474" s="13">
        <v>0.0978919475</v>
      </c>
      <c r="O1474" s="13">
        <v>0.2746707121</v>
      </c>
      <c r="P1474" s="13">
        <v>0.0156987328</v>
      </c>
      <c r="Q1474" s="13">
        <v>0.0042398485</v>
      </c>
      <c r="R1474" s="13">
        <v>0.1178025742</v>
      </c>
      <c r="S1474" s="13">
        <v>0</v>
      </c>
      <c r="T1474" s="13">
        <v>0.1140924504</v>
      </c>
      <c r="U1474" s="13">
        <v>0.0120255562</v>
      </c>
      <c r="V1474" s="13">
        <v>0</v>
      </c>
      <c r="W1474" s="13">
        <v>-0.001650026</v>
      </c>
      <c r="X1474" s="13">
        <v>0</v>
      </c>
      <c r="Y1474" s="13">
        <v>0</v>
      </c>
      <c r="Z1474" s="13">
        <v>8.02045e-5</v>
      </c>
    </row>
    <row r="1475" s="2" customFormat="1" spans="1:26">
      <c r="A1475" s="11" t="s">
        <v>935</v>
      </c>
      <c r="B1475" s="11" t="s">
        <v>937</v>
      </c>
      <c r="C1475" s="14" t="s">
        <v>710</v>
      </c>
      <c r="D1475" s="14" t="s">
        <v>938</v>
      </c>
      <c r="E1475" s="14" t="s">
        <v>939</v>
      </c>
      <c r="F1475" s="3" t="s">
        <v>944</v>
      </c>
      <c r="G1475" s="4">
        <v>75</v>
      </c>
      <c r="H1475" s="12">
        <v>11076.792</v>
      </c>
      <c r="I1475" s="12">
        <v>1926.804571</v>
      </c>
      <c r="J1475" s="13">
        <v>0.1739496932</v>
      </c>
      <c r="K1475" s="13">
        <v>0.1739496932</v>
      </c>
      <c r="L1475" s="12">
        <v>21.7192</v>
      </c>
      <c r="M1475" s="13">
        <v>0.1139810458</v>
      </c>
      <c r="N1475" s="13">
        <v>0.0731218506</v>
      </c>
      <c r="O1475" s="13">
        <v>0.320766879</v>
      </c>
      <c r="P1475" s="13">
        <v>0.0269991528</v>
      </c>
      <c r="Q1475" s="13">
        <v>0.0132440557</v>
      </c>
      <c r="R1475" s="13">
        <v>0.1635974824</v>
      </c>
      <c r="S1475" s="13">
        <v>0</v>
      </c>
      <c r="T1475" s="13">
        <v>0.1124719142</v>
      </c>
      <c r="U1475" s="13">
        <v>0.011754296</v>
      </c>
      <c r="V1475" s="13">
        <v>-0.0050020258</v>
      </c>
      <c r="W1475" s="13">
        <v>-0.005056835</v>
      </c>
      <c r="X1475" s="13">
        <v>0</v>
      </c>
      <c r="Y1475" s="13">
        <v>0</v>
      </c>
      <c r="Z1475" s="13">
        <v>0.0001724906</v>
      </c>
    </row>
    <row r="1476" s="2" customFormat="1" hidden="1" spans="1:26">
      <c r="A1476" s="11" t="s">
        <v>935</v>
      </c>
      <c r="B1476" s="11" t="s">
        <v>937</v>
      </c>
      <c r="C1476" s="14" t="s">
        <v>710</v>
      </c>
      <c r="D1476" s="14" t="s">
        <v>938</v>
      </c>
      <c r="E1476" s="14" t="s">
        <v>939</v>
      </c>
      <c r="F1476" s="3" t="s">
        <v>945</v>
      </c>
      <c r="G1476" s="4">
        <v>2</v>
      </c>
      <c r="H1476" s="12">
        <v>299.064</v>
      </c>
      <c r="I1476" s="12">
        <v>-16.716668</v>
      </c>
      <c r="J1476" s="13">
        <v>-0.0558966241</v>
      </c>
      <c r="K1476" s="13">
        <v>-0.0558966241</v>
      </c>
      <c r="L1476" s="12">
        <v>21.99</v>
      </c>
      <c r="M1476" s="13">
        <v>0.1140987213</v>
      </c>
      <c r="N1476" s="13">
        <v>0.0731973423</v>
      </c>
      <c r="O1476" s="13">
        <v>0.3137789904</v>
      </c>
      <c r="P1476" s="13">
        <v>0</v>
      </c>
      <c r="Q1476" s="13">
        <v>0.0007631878</v>
      </c>
      <c r="R1476" s="13">
        <v>0.4222373806</v>
      </c>
      <c r="S1476" s="13">
        <v>0</v>
      </c>
      <c r="T1476" s="13">
        <v>0.1200545702</v>
      </c>
      <c r="U1476" s="13">
        <v>0.0117664312</v>
      </c>
      <c r="V1476" s="13">
        <v>0</v>
      </c>
      <c r="W1476" s="13">
        <v>0</v>
      </c>
      <c r="X1476" s="13">
        <v>0</v>
      </c>
      <c r="Y1476" s="13">
        <v>0</v>
      </c>
      <c r="Z1476" s="13">
        <v>0</v>
      </c>
    </row>
    <row r="1477" s="2" customFormat="1" hidden="1" spans="1:26">
      <c r="A1477" s="11" t="s">
        <v>935</v>
      </c>
      <c r="B1477" s="11" t="s">
        <v>937</v>
      </c>
      <c r="C1477" s="14" t="s">
        <v>715</v>
      </c>
      <c r="D1477" s="14" t="s">
        <v>938</v>
      </c>
      <c r="E1477" s="14" t="s">
        <v>939</v>
      </c>
      <c r="F1477" s="3" t="s">
        <v>936</v>
      </c>
      <c r="G1477" s="4">
        <v>42</v>
      </c>
      <c r="H1477" s="12">
        <v>6596.476</v>
      </c>
      <c r="I1477" s="12">
        <v>23.855197</v>
      </c>
      <c r="J1477" s="13">
        <v>0.0036163547</v>
      </c>
      <c r="K1477" s="13">
        <v>0.0036163547</v>
      </c>
      <c r="L1477" s="12">
        <v>23.0969047618</v>
      </c>
      <c r="M1477" s="13">
        <v>0.1548087063</v>
      </c>
      <c r="N1477" s="13">
        <v>0.0923427246</v>
      </c>
      <c r="O1477" s="13">
        <v>0.3211830074</v>
      </c>
      <c r="P1477" s="13">
        <v>0.0247301741</v>
      </c>
      <c r="Q1477" s="13">
        <v>0.0652433902</v>
      </c>
      <c r="R1477" s="13">
        <v>0.2187256475</v>
      </c>
      <c r="S1477" s="13">
        <v>0</v>
      </c>
      <c r="T1477" s="13">
        <v>0.1027245456</v>
      </c>
      <c r="U1477" s="13">
        <v>0.0159646494</v>
      </c>
      <c r="V1477" s="13">
        <v>0.0006803632</v>
      </c>
      <c r="W1477" s="13">
        <v>0</v>
      </c>
      <c r="X1477" s="13">
        <v>0</v>
      </c>
      <c r="Y1477" s="13">
        <v>0</v>
      </c>
      <c r="Z1477" s="13">
        <v>-1.95635e-5</v>
      </c>
    </row>
    <row r="1478" s="2" customFormat="1" hidden="1" spans="1:26">
      <c r="A1478" s="11" t="s">
        <v>935</v>
      </c>
      <c r="B1478" s="11" t="s">
        <v>937</v>
      </c>
      <c r="C1478" s="14" t="s">
        <v>715</v>
      </c>
      <c r="D1478" s="14" t="s">
        <v>938</v>
      </c>
      <c r="E1478" s="14" t="s">
        <v>939</v>
      </c>
      <c r="F1478" s="3" t="s">
        <v>942</v>
      </c>
      <c r="G1478" s="4">
        <v>3</v>
      </c>
      <c r="H1478" s="12">
        <v>489.396</v>
      </c>
      <c r="I1478" s="12">
        <v>-221.587186</v>
      </c>
      <c r="J1478" s="13">
        <v>-0.4527768637</v>
      </c>
      <c r="K1478" s="13">
        <v>-0.4527768637</v>
      </c>
      <c r="L1478" s="12">
        <v>23.99</v>
      </c>
      <c r="M1478" s="13">
        <v>0.1508847681</v>
      </c>
      <c r="N1478" s="13">
        <v>0.0471915197</v>
      </c>
      <c r="O1478" s="13">
        <v>0.3076281784</v>
      </c>
      <c r="P1478" s="13">
        <v>0</v>
      </c>
      <c r="Q1478" s="13">
        <v>0.0060198979</v>
      </c>
      <c r="R1478" s="13">
        <v>0.8788663269</v>
      </c>
      <c r="S1478" s="13">
        <v>0</v>
      </c>
      <c r="T1478" s="13">
        <v>0.0451577045</v>
      </c>
      <c r="U1478" s="13">
        <v>0.0155599943</v>
      </c>
      <c r="V1478" s="13">
        <v>0</v>
      </c>
      <c r="W1478" s="13">
        <v>0</v>
      </c>
      <c r="X1478" s="13">
        <v>0</v>
      </c>
      <c r="Y1478" s="13">
        <v>0</v>
      </c>
      <c r="Z1478" s="13">
        <v>0.0014684733</v>
      </c>
    </row>
    <row r="1479" s="2" customFormat="1" hidden="1" spans="1:26">
      <c r="A1479" s="11" t="s">
        <v>935</v>
      </c>
      <c r="B1479" s="11" t="s">
        <v>937</v>
      </c>
      <c r="C1479" s="14" t="s">
        <v>715</v>
      </c>
      <c r="D1479" s="14" t="s">
        <v>938</v>
      </c>
      <c r="E1479" s="14" t="s">
        <v>939</v>
      </c>
      <c r="F1479" s="3" t="s">
        <v>943</v>
      </c>
      <c r="G1479" s="4">
        <v>13</v>
      </c>
      <c r="H1479" s="12">
        <v>2047.276</v>
      </c>
      <c r="I1479" s="12">
        <v>149.458566</v>
      </c>
      <c r="J1479" s="13">
        <v>0.0730036233</v>
      </c>
      <c r="K1479" s="13">
        <v>0.0730036233</v>
      </c>
      <c r="L1479" s="12">
        <v>23.1592307692</v>
      </c>
      <c r="M1479" s="13">
        <v>0.1580676166</v>
      </c>
      <c r="N1479" s="13">
        <v>0.1005186159</v>
      </c>
      <c r="O1479" s="13">
        <v>0.3277643073</v>
      </c>
      <c r="P1479" s="13">
        <v>0</v>
      </c>
      <c r="Q1479" s="13">
        <v>0.0452432749</v>
      </c>
      <c r="R1479" s="13">
        <v>0.1692797145</v>
      </c>
      <c r="S1479" s="13">
        <v>0</v>
      </c>
      <c r="T1479" s="13">
        <v>0.1105390772</v>
      </c>
      <c r="U1479" s="13">
        <v>0.016300723</v>
      </c>
      <c r="V1479" s="13">
        <v>0</v>
      </c>
      <c r="W1479" s="13">
        <v>0</v>
      </c>
      <c r="X1479" s="13">
        <v>0</v>
      </c>
      <c r="Y1479" s="13">
        <v>0</v>
      </c>
      <c r="Z1479" s="13">
        <v>-0.0007169532</v>
      </c>
    </row>
    <row r="1480" s="2" customFormat="1" spans="1:26">
      <c r="A1480" s="11" t="s">
        <v>935</v>
      </c>
      <c r="B1480" s="11" t="s">
        <v>937</v>
      </c>
      <c r="C1480" s="14" t="s">
        <v>715</v>
      </c>
      <c r="D1480" s="14" t="s">
        <v>938</v>
      </c>
      <c r="E1480" s="14" t="s">
        <v>939</v>
      </c>
      <c r="F1480" s="3" t="s">
        <v>944</v>
      </c>
      <c r="G1480" s="4">
        <v>23</v>
      </c>
      <c r="H1480" s="12">
        <v>3594.888</v>
      </c>
      <c r="I1480" s="12">
        <v>72.080645</v>
      </c>
      <c r="J1480" s="13">
        <v>0.0200508736</v>
      </c>
      <c r="K1480" s="13">
        <v>0.0200508736</v>
      </c>
      <c r="L1480" s="12">
        <v>22.9852173912</v>
      </c>
      <c r="M1480" s="13">
        <v>0.152686954</v>
      </c>
      <c r="N1480" s="13">
        <v>0.0930826359</v>
      </c>
      <c r="O1480" s="13">
        <v>0.3175197669</v>
      </c>
      <c r="P1480" s="13">
        <v>0.0453788824</v>
      </c>
      <c r="Q1480" s="13">
        <v>0.0930349009</v>
      </c>
      <c r="R1480" s="13">
        <v>0.1559833082</v>
      </c>
      <c r="S1480" s="13">
        <v>0</v>
      </c>
      <c r="T1480" s="13">
        <v>0.1050959028</v>
      </c>
      <c r="U1480" s="13">
        <v>0.0157458443</v>
      </c>
      <c r="V1480" s="13">
        <v>0.0012484394</v>
      </c>
      <c r="W1480" s="13">
        <v>0</v>
      </c>
      <c r="X1480" s="13">
        <v>0</v>
      </c>
      <c r="Y1480" s="13">
        <v>0</v>
      </c>
      <c r="Z1480" s="13">
        <v>0.000172491</v>
      </c>
    </row>
    <row r="1481" s="2" customFormat="1" hidden="1" spans="1:26">
      <c r="A1481" s="11" t="s">
        <v>935</v>
      </c>
      <c r="B1481" s="11" t="s">
        <v>937</v>
      </c>
      <c r="C1481" s="14" t="s">
        <v>715</v>
      </c>
      <c r="D1481" s="14" t="s">
        <v>938</v>
      </c>
      <c r="E1481" s="14" t="s">
        <v>939</v>
      </c>
      <c r="F1481" s="3" t="s">
        <v>945</v>
      </c>
      <c r="G1481" s="4">
        <v>3</v>
      </c>
      <c r="H1481" s="12">
        <v>464.916</v>
      </c>
      <c r="I1481" s="12">
        <v>23.903172</v>
      </c>
      <c r="J1481" s="13">
        <v>0.0514139586</v>
      </c>
      <c r="K1481" s="13">
        <v>0.0514139586</v>
      </c>
      <c r="L1481" s="12">
        <v>22.79</v>
      </c>
      <c r="M1481" s="13">
        <v>0.1609946248</v>
      </c>
      <c r="N1481" s="13">
        <v>0.0981472459</v>
      </c>
      <c r="O1481" s="13">
        <v>0.3347959631</v>
      </c>
      <c r="P1481" s="13">
        <v>0</v>
      </c>
      <c r="Q1481" s="13">
        <v>0.0007632002</v>
      </c>
      <c r="R1481" s="13">
        <v>0.2267076202</v>
      </c>
      <c r="S1481" s="13">
        <v>0</v>
      </c>
      <c r="T1481" s="13">
        <v>0.1105748135</v>
      </c>
      <c r="U1481" s="13">
        <v>0.0166025733</v>
      </c>
      <c r="V1481" s="13">
        <v>0</v>
      </c>
      <c r="W1481" s="13">
        <v>0</v>
      </c>
      <c r="X1481" s="13">
        <v>0</v>
      </c>
      <c r="Y1481" s="13">
        <v>0</v>
      </c>
      <c r="Z1481" s="13">
        <v>0</v>
      </c>
    </row>
    <row r="1482" s="2" customFormat="1" hidden="1" spans="1:26">
      <c r="A1482" s="11" t="s">
        <v>935</v>
      </c>
      <c r="B1482" s="11" t="s">
        <v>937</v>
      </c>
      <c r="C1482" s="14" t="s">
        <v>720</v>
      </c>
      <c r="D1482" s="14" t="s">
        <v>938</v>
      </c>
      <c r="E1482" s="14" t="s">
        <v>939</v>
      </c>
      <c r="F1482" s="3" t="s">
        <v>936</v>
      </c>
      <c r="G1482" s="4">
        <v>198</v>
      </c>
      <c r="H1482" s="12">
        <v>28382.112</v>
      </c>
      <c r="I1482" s="12">
        <v>5241.852969</v>
      </c>
      <c r="J1482" s="13">
        <v>0.1846886154</v>
      </c>
      <c r="K1482" s="13">
        <v>0.1846886154</v>
      </c>
      <c r="L1482" s="12">
        <v>21.08</v>
      </c>
      <c r="M1482" s="13">
        <v>0.1321596961</v>
      </c>
      <c r="N1482" s="13">
        <v>0.0348399667</v>
      </c>
      <c r="O1482" s="13">
        <v>0.2870617944</v>
      </c>
      <c r="P1482" s="13">
        <v>0.0099548617</v>
      </c>
      <c r="Q1482" s="13">
        <v>0.0089854766</v>
      </c>
      <c r="R1482" s="13">
        <v>0.2207957596</v>
      </c>
      <c r="S1482" s="13">
        <v>0</v>
      </c>
      <c r="T1482" s="13">
        <v>0.1123306116</v>
      </c>
      <c r="U1482" s="13">
        <v>0.0136289693</v>
      </c>
      <c r="V1482" s="13">
        <v>-0.0049726391</v>
      </c>
      <c r="W1482" s="13">
        <v>0</v>
      </c>
      <c r="X1482" s="13">
        <v>0</v>
      </c>
      <c r="Y1482" s="13">
        <v>0</v>
      </c>
      <c r="Z1482" s="13">
        <v>0.0005268872</v>
      </c>
    </row>
    <row r="1483" s="2" customFormat="1" hidden="1" spans="1:26">
      <c r="A1483" s="11" t="s">
        <v>935</v>
      </c>
      <c r="B1483" s="11" t="s">
        <v>937</v>
      </c>
      <c r="C1483" s="14" t="s">
        <v>720</v>
      </c>
      <c r="D1483" s="14" t="s">
        <v>938</v>
      </c>
      <c r="E1483" s="14" t="s">
        <v>939</v>
      </c>
      <c r="F1483" s="3" t="s">
        <v>940</v>
      </c>
      <c r="G1483" s="4">
        <v>7</v>
      </c>
      <c r="H1483" s="12">
        <v>1094.324</v>
      </c>
      <c r="I1483" s="12">
        <v>-44.715211</v>
      </c>
      <c r="J1483" s="13">
        <v>-0.0408610347</v>
      </c>
      <c r="K1483" s="13">
        <v>-0.0408610347</v>
      </c>
      <c r="L1483" s="12">
        <v>22.99</v>
      </c>
      <c r="M1483" s="13">
        <v>0.1215956873</v>
      </c>
      <c r="N1483" s="13">
        <v>0.0256388711</v>
      </c>
      <c r="O1483" s="13">
        <v>0.2575032622</v>
      </c>
      <c r="P1483" s="13">
        <v>0</v>
      </c>
      <c r="Q1483" s="13">
        <v>0.018094408</v>
      </c>
      <c r="R1483" s="13">
        <v>0.523459733</v>
      </c>
      <c r="S1483" s="13">
        <v>0</v>
      </c>
      <c r="T1483" s="13">
        <v>0.081650407</v>
      </c>
      <c r="U1483" s="13">
        <v>0.0125395568</v>
      </c>
      <c r="V1483" s="13">
        <v>0</v>
      </c>
      <c r="W1483" s="13">
        <v>0</v>
      </c>
      <c r="X1483" s="13">
        <v>0</v>
      </c>
      <c r="Y1483" s="13">
        <v>0</v>
      </c>
      <c r="Z1483" s="13">
        <v>0.0003791089</v>
      </c>
    </row>
    <row r="1484" s="2" customFormat="1" hidden="1" spans="1:26">
      <c r="A1484" s="11" t="s">
        <v>935</v>
      </c>
      <c r="B1484" s="11" t="s">
        <v>937</v>
      </c>
      <c r="C1484" s="14" t="s">
        <v>720</v>
      </c>
      <c r="D1484" s="14" t="s">
        <v>938</v>
      </c>
      <c r="E1484" s="14" t="s">
        <v>939</v>
      </c>
      <c r="F1484" s="3" t="s">
        <v>941</v>
      </c>
      <c r="G1484" s="4">
        <v>75</v>
      </c>
      <c r="H1484" s="12">
        <v>10760.728</v>
      </c>
      <c r="I1484" s="12">
        <v>2472.399656</v>
      </c>
      <c r="J1484" s="13">
        <v>0.2297613745</v>
      </c>
      <c r="K1484" s="13">
        <v>0.2297613745</v>
      </c>
      <c r="L1484" s="12">
        <v>21.0994666666</v>
      </c>
      <c r="M1484" s="13">
        <v>0.1323912471</v>
      </c>
      <c r="N1484" s="13">
        <v>0.0368004841</v>
      </c>
      <c r="O1484" s="13">
        <v>0.2800323546</v>
      </c>
      <c r="P1484" s="13">
        <v>0.0145280133</v>
      </c>
      <c r="Q1484" s="13">
        <v>0.0054910059</v>
      </c>
      <c r="R1484" s="13">
        <v>0.1754390519</v>
      </c>
      <c r="S1484" s="13">
        <v>0</v>
      </c>
      <c r="T1484" s="13">
        <v>0.1110359819</v>
      </c>
      <c r="U1484" s="13">
        <v>0.0136528471</v>
      </c>
      <c r="V1484" s="13">
        <v>0</v>
      </c>
      <c r="W1484" s="13">
        <v>0</v>
      </c>
      <c r="X1484" s="13">
        <v>0</v>
      </c>
      <c r="Y1484" s="13">
        <v>0</v>
      </c>
      <c r="Z1484" s="13">
        <v>0.0008676389</v>
      </c>
    </row>
    <row r="1485" s="2" customFormat="1" hidden="1" spans="1:26">
      <c r="A1485" s="11" t="s">
        <v>935</v>
      </c>
      <c r="B1485" s="11" t="s">
        <v>937</v>
      </c>
      <c r="C1485" s="14" t="s">
        <v>720</v>
      </c>
      <c r="D1485" s="14" t="s">
        <v>938</v>
      </c>
      <c r="E1485" s="14" t="s">
        <v>939</v>
      </c>
      <c r="F1485" s="3" t="s">
        <v>942</v>
      </c>
      <c r="G1485" s="4">
        <v>18</v>
      </c>
      <c r="H1485" s="12">
        <v>2263.176</v>
      </c>
      <c r="I1485" s="12">
        <v>10.164518</v>
      </c>
      <c r="J1485" s="13">
        <v>0.0044912627</v>
      </c>
      <c r="K1485" s="13">
        <v>0.0044912627</v>
      </c>
      <c r="L1485" s="12">
        <v>18.49</v>
      </c>
      <c r="M1485" s="13">
        <v>0.1510754302</v>
      </c>
      <c r="N1485" s="13">
        <v>0.0293811201</v>
      </c>
      <c r="O1485" s="13">
        <v>0.3299981972</v>
      </c>
      <c r="P1485" s="13">
        <v>0</v>
      </c>
      <c r="Q1485" s="13">
        <v>0.0206920964</v>
      </c>
      <c r="R1485" s="13">
        <v>0.3298628895</v>
      </c>
      <c r="S1485" s="13">
        <v>0</v>
      </c>
      <c r="T1485" s="13">
        <v>0.1174508743</v>
      </c>
      <c r="U1485" s="13">
        <v>0.0155796535</v>
      </c>
      <c r="V1485" s="13">
        <v>0</v>
      </c>
      <c r="W1485" s="13">
        <v>0</v>
      </c>
      <c r="X1485" s="13">
        <v>0</v>
      </c>
      <c r="Y1485" s="13">
        <v>0</v>
      </c>
      <c r="Z1485" s="13">
        <v>0.0014684757</v>
      </c>
    </row>
    <row r="1486" s="2" customFormat="1" hidden="1" spans="1:26">
      <c r="A1486" s="11" t="s">
        <v>935</v>
      </c>
      <c r="B1486" s="11" t="s">
        <v>937</v>
      </c>
      <c r="C1486" s="14" t="s">
        <v>720</v>
      </c>
      <c r="D1486" s="14" t="s">
        <v>938</v>
      </c>
      <c r="E1486" s="14" t="s">
        <v>939</v>
      </c>
      <c r="F1486" s="3" t="s">
        <v>943</v>
      </c>
      <c r="G1486" s="4">
        <v>44</v>
      </c>
      <c r="H1486" s="12">
        <v>6002.7</v>
      </c>
      <c r="I1486" s="12">
        <v>1195.810131</v>
      </c>
      <c r="J1486" s="13">
        <v>0.199212043</v>
      </c>
      <c r="K1486" s="13">
        <v>0.199212043</v>
      </c>
      <c r="L1486" s="12">
        <v>20.0625</v>
      </c>
      <c r="M1486" s="13">
        <v>0.1385515631</v>
      </c>
      <c r="N1486" s="13">
        <v>0.0270782261</v>
      </c>
      <c r="O1486" s="13">
        <v>0.3057377513</v>
      </c>
      <c r="P1486" s="13">
        <v>0</v>
      </c>
      <c r="Q1486" s="13">
        <v>0.0050714864</v>
      </c>
      <c r="R1486" s="13">
        <v>0.2089780468</v>
      </c>
      <c r="S1486" s="13">
        <v>0</v>
      </c>
      <c r="T1486" s="13">
        <v>0.1169187199</v>
      </c>
      <c r="U1486" s="13">
        <v>0.014288129</v>
      </c>
      <c r="V1486" s="13">
        <v>-0.015916171</v>
      </c>
      <c r="W1486" s="13">
        <v>0</v>
      </c>
      <c r="X1486" s="13">
        <v>0</v>
      </c>
      <c r="Y1486" s="13">
        <v>0</v>
      </c>
      <c r="Z1486" s="13">
        <v>8.0205e-5</v>
      </c>
    </row>
    <row r="1487" s="2" customFormat="1" spans="1:26">
      <c r="A1487" s="11" t="s">
        <v>935</v>
      </c>
      <c r="B1487" s="11" t="s">
        <v>937</v>
      </c>
      <c r="C1487" s="14" t="s">
        <v>720</v>
      </c>
      <c r="D1487" s="14" t="s">
        <v>938</v>
      </c>
      <c r="E1487" s="14" t="s">
        <v>939</v>
      </c>
      <c r="F1487" s="3" t="s">
        <v>944</v>
      </c>
      <c r="G1487" s="4">
        <v>53</v>
      </c>
      <c r="H1487" s="12">
        <v>8104.852</v>
      </c>
      <c r="I1487" s="12">
        <v>1603.060946</v>
      </c>
      <c r="J1487" s="13">
        <v>0.1977902799</v>
      </c>
      <c r="K1487" s="13">
        <v>0.1977902799</v>
      </c>
      <c r="L1487" s="12">
        <v>22.488490566</v>
      </c>
      <c r="M1487" s="13">
        <v>0.1234819815</v>
      </c>
      <c r="N1487" s="13">
        <v>0.0406571435</v>
      </c>
      <c r="O1487" s="13">
        <v>0.2748072389</v>
      </c>
      <c r="P1487" s="13">
        <v>0.0155719068</v>
      </c>
      <c r="Q1487" s="13">
        <v>0.012183647</v>
      </c>
      <c r="R1487" s="13">
        <v>0.2150116024</v>
      </c>
      <c r="S1487" s="13">
        <v>0</v>
      </c>
      <c r="T1487" s="13">
        <v>0.1132151456</v>
      </c>
      <c r="U1487" s="13">
        <v>0.0127340824</v>
      </c>
      <c r="V1487" s="13">
        <v>-0.0056255191</v>
      </c>
      <c r="W1487" s="13">
        <v>0</v>
      </c>
      <c r="X1487" s="13">
        <v>0</v>
      </c>
      <c r="Y1487" s="13">
        <v>0</v>
      </c>
      <c r="Z1487" s="13">
        <v>0.0001724907</v>
      </c>
    </row>
    <row r="1488" s="2" customFormat="1" hidden="1" spans="1:26">
      <c r="A1488" s="11" t="s">
        <v>935</v>
      </c>
      <c r="B1488" s="11" t="s">
        <v>937</v>
      </c>
      <c r="C1488" s="14" t="s">
        <v>720</v>
      </c>
      <c r="D1488" s="14" t="s">
        <v>938</v>
      </c>
      <c r="E1488" s="14" t="s">
        <v>939</v>
      </c>
      <c r="F1488" s="3" t="s">
        <v>945</v>
      </c>
      <c r="G1488" s="4">
        <v>1</v>
      </c>
      <c r="H1488" s="12">
        <v>156.332</v>
      </c>
      <c r="I1488" s="12">
        <v>5.132929</v>
      </c>
      <c r="J1488" s="13">
        <v>0.0328335145</v>
      </c>
      <c r="K1488" s="13">
        <v>0.0328335145</v>
      </c>
      <c r="L1488" s="12">
        <v>22.99</v>
      </c>
      <c r="M1488" s="13">
        <v>0.1207883158</v>
      </c>
      <c r="N1488" s="13">
        <v>0.0397702389</v>
      </c>
      <c r="O1488" s="13">
        <v>0.2744671596</v>
      </c>
      <c r="P1488" s="13">
        <v>0</v>
      </c>
      <c r="Q1488" s="13">
        <v>0.0007632026</v>
      </c>
      <c r="R1488" s="13">
        <v>0.3988690735</v>
      </c>
      <c r="S1488" s="13">
        <v>0</v>
      </c>
      <c r="T1488" s="13">
        <v>0.1200521966</v>
      </c>
      <c r="U1488" s="13">
        <v>0.0124562981</v>
      </c>
      <c r="V1488" s="13">
        <v>0</v>
      </c>
      <c r="W1488" s="13">
        <v>0</v>
      </c>
      <c r="X1488" s="13">
        <v>0</v>
      </c>
      <c r="Y1488" s="13">
        <v>0</v>
      </c>
      <c r="Z1488" s="13">
        <v>0</v>
      </c>
    </row>
    <row r="1489" s="2" customFormat="1" hidden="1" spans="1:26">
      <c r="A1489" s="11" t="s">
        <v>935</v>
      </c>
      <c r="B1489" s="11" t="s">
        <v>937</v>
      </c>
      <c r="C1489" s="14" t="s">
        <v>725</v>
      </c>
      <c r="D1489" s="14" t="s">
        <v>938</v>
      </c>
      <c r="E1489" s="14" t="s">
        <v>939</v>
      </c>
      <c r="F1489" s="3" t="s">
        <v>936</v>
      </c>
      <c r="G1489" s="4">
        <v>62</v>
      </c>
      <c r="H1489" s="12">
        <v>10924.812</v>
      </c>
      <c r="I1489" s="12">
        <v>-529.362052</v>
      </c>
      <c r="J1489" s="13">
        <v>-0.0484550262</v>
      </c>
      <c r="K1489" s="13">
        <v>-0.0484550262</v>
      </c>
      <c r="L1489" s="12">
        <v>25.9127419354</v>
      </c>
      <c r="M1489" s="13">
        <v>0.1884282867</v>
      </c>
      <c r="N1489" s="13">
        <v>0.1135836225</v>
      </c>
      <c r="O1489" s="13">
        <v>0.312774261</v>
      </c>
      <c r="P1489" s="13">
        <v>0.0155546841</v>
      </c>
      <c r="Q1489" s="13">
        <v>0.0597971857</v>
      </c>
      <c r="R1489" s="13">
        <v>0.2357611921</v>
      </c>
      <c r="S1489" s="13">
        <v>0</v>
      </c>
      <c r="T1489" s="13">
        <v>0.1076254676</v>
      </c>
      <c r="U1489" s="13">
        <v>0.019431668</v>
      </c>
      <c r="V1489" s="13">
        <v>0</v>
      </c>
      <c r="W1489" s="13">
        <v>-0.0047640031</v>
      </c>
      <c r="X1489" s="13">
        <v>0</v>
      </c>
      <c r="Y1489" s="13">
        <v>0</v>
      </c>
      <c r="Z1489" s="13">
        <v>0.0002626613</v>
      </c>
    </row>
    <row r="1490" s="2" customFormat="1" hidden="1" spans="1:26">
      <c r="A1490" s="11" t="s">
        <v>935</v>
      </c>
      <c r="B1490" s="11" t="s">
        <v>937</v>
      </c>
      <c r="C1490" s="14" t="s">
        <v>725</v>
      </c>
      <c r="D1490" s="14" t="s">
        <v>938</v>
      </c>
      <c r="E1490" s="14" t="s">
        <v>939</v>
      </c>
      <c r="F1490" s="3" t="s">
        <v>942</v>
      </c>
      <c r="G1490" s="4">
        <v>6</v>
      </c>
      <c r="H1490" s="12">
        <v>1019.592</v>
      </c>
      <c r="I1490" s="12">
        <v>-132.88038</v>
      </c>
      <c r="J1490" s="13">
        <v>-0.1303270131</v>
      </c>
      <c r="K1490" s="13">
        <v>-0.1303270131</v>
      </c>
      <c r="L1490" s="12">
        <v>24.99</v>
      </c>
      <c r="M1490" s="13">
        <v>0.1957790057</v>
      </c>
      <c r="N1490" s="13">
        <v>0.0640494609</v>
      </c>
      <c r="O1490" s="13">
        <v>0.3152594371</v>
      </c>
      <c r="P1490" s="13">
        <v>0</v>
      </c>
      <c r="Q1490" s="13">
        <v>0.0060198971</v>
      </c>
      <c r="R1490" s="13">
        <v>0.4515306141</v>
      </c>
      <c r="S1490" s="13">
        <v>0</v>
      </c>
      <c r="T1490" s="13">
        <v>0.0760304121</v>
      </c>
      <c r="U1490" s="13">
        <v>0.0201897111</v>
      </c>
      <c r="V1490" s="13">
        <v>0</v>
      </c>
      <c r="W1490" s="13">
        <v>0</v>
      </c>
      <c r="X1490" s="13">
        <v>0</v>
      </c>
      <c r="Y1490" s="13">
        <v>0</v>
      </c>
      <c r="Z1490" s="13">
        <v>0.0014684746</v>
      </c>
    </row>
    <row r="1491" s="2" customFormat="1" hidden="1" spans="1:26">
      <c r="A1491" s="11" t="s">
        <v>935</v>
      </c>
      <c r="B1491" s="11" t="s">
        <v>937</v>
      </c>
      <c r="C1491" s="14" t="s">
        <v>725</v>
      </c>
      <c r="D1491" s="14" t="s">
        <v>938</v>
      </c>
      <c r="E1491" s="14" t="s">
        <v>939</v>
      </c>
      <c r="F1491" s="3" t="s">
        <v>943</v>
      </c>
      <c r="G1491" s="4">
        <v>20</v>
      </c>
      <c r="H1491" s="12">
        <v>3300.788</v>
      </c>
      <c r="I1491" s="12">
        <v>-303.804521</v>
      </c>
      <c r="J1491" s="13">
        <v>-0.092039998</v>
      </c>
      <c r="K1491" s="13">
        <v>-0.092039998</v>
      </c>
      <c r="L1491" s="12">
        <v>24.2705</v>
      </c>
      <c r="M1491" s="13">
        <v>0.2011499557</v>
      </c>
      <c r="N1491" s="13">
        <v>0.1505400346</v>
      </c>
      <c r="O1491" s="13">
        <v>0.3243237675</v>
      </c>
      <c r="P1491" s="13">
        <v>0.0514822521</v>
      </c>
      <c r="Q1491" s="13">
        <v>0.0368182791</v>
      </c>
      <c r="R1491" s="13">
        <v>0.2000849945</v>
      </c>
      <c r="S1491" s="13">
        <v>0</v>
      </c>
      <c r="T1491" s="13">
        <v>0.1068169176</v>
      </c>
      <c r="U1491" s="13">
        <v>0.0207435921</v>
      </c>
      <c r="V1491" s="13">
        <v>0</v>
      </c>
      <c r="W1491" s="13">
        <v>0</v>
      </c>
      <c r="X1491" s="13">
        <v>0</v>
      </c>
      <c r="Y1491" s="13">
        <v>0</v>
      </c>
      <c r="Z1491" s="13">
        <v>8.02044e-5</v>
      </c>
    </row>
    <row r="1492" s="2" customFormat="1" spans="1:26">
      <c r="A1492" s="11" t="s">
        <v>935</v>
      </c>
      <c r="B1492" s="11" t="s">
        <v>937</v>
      </c>
      <c r="C1492" s="14" t="s">
        <v>725</v>
      </c>
      <c r="D1492" s="14" t="s">
        <v>938</v>
      </c>
      <c r="E1492" s="14" t="s">
        <v>939</v>
      </c>
      <c r="F1492" s="3" t="s">
        <v>944</v>
      </c>
      <c r="G1492" s="4">
        <v>35</v>
      </c>
      <c r="H1492" s="12">
        <v>6420.9</v>
      </c>
      <c r="I1492" s="12">
        <v>-68.348132</v>
      </c>
      <c r="J1492" s="13">
        <v>-0.0106446342</v>
      </c>
      <c r="K1492" s="13">
        <v>-0.0106446342</v>
      </c>
      <c r="L1492" s="12">
        <v>26.9785714285</v>
      </c>
      <c r="M1492" s="13">
        <v>0.1809375282</v>
      </c>
      <c r="N1492" s="13">
        <v>0.1027616986</v>
      </c>
      <c r="O1492" s="13">
        <v>0.3066878474</v>
      </c>
      <c r="P1492" s="13">
        <v>0</v>
      </c>
      <c r="Q1492" s="13">
        <v>0.0818367777</v>
      </c>
      <c r="R1492" s="13">
        <v>0.2146421141</v>
      </c>
      <c r="S1492" s="13">
        <v>0</v>
      </c>
      <c r="T1492" s="13">
        <v>0.1130526873</v>
      </c>
      <c r="U1492" s="13">
        <v>0.0186591825</v>
      </c>
      <c r="V1492" s="13">
        <v>0</v>
      </c>
      <c r="W1492" s="13">
        <v>-0.0081056921</v>
      </c>
      <c r="X1492" s="13">
        <v>0</v>
      </c>
      <c r="Y1492" s="13">
        <v>0</v>
      </c>
      <c r="Z1492" s="13">
        <v>0.0001724903</v>
      </c>
    </row>
    <row r="1493" s="2" customFormat="1" hidden="1" spans="1:26">
      <c r="A1493" s="11" t="s">
        <v>935</v>
      </c>
      <c r="B1493" s="11" t="s">
        <v>937</v>
      </c>
      <c r="C1493" s="14" t="s">
        <v>725</v>
      </c>
      <c r="D1493" s="14" t="s">
        <v>938</v>
      </c>
      <c r="E1493" s="14" t="s">
        <v>939</v>
      </c>
      <c r="F1493" s="3" t="s">
        <v>945</v>
      </c>
      <c r="G1493" s="4">
        <v>1</v>
      </c>
      <c r="H1493" s="12">
        <v>183.532</v>
      </c>
      <c r="I1493" s="12">
        <v>-24.329019</v>
      </c>
      <c r="J1493" s="13">
        <v>-0.132560093</v>
      </c>
      <c r="K1493" s="13">
        <v>-0.132560093</v>
      </c>
      <c r="L1493" s="12">
        <v>26.99</v>
      </c>
      <c r="M1493" s="13">
        <v>0.1808609125</v>
      </c>
      <c r="N1493" s="13">
        <v>0.1027181853</v>
      </c>
      <c r="O1493" s="13">
        <v>0.3041867358</v>
      </c>
      <c r="P1493" s="13">
        <v>0</v>
      </c>
      <c r="Q1493" s="13">
        <v>0.0007632075</v>
      </c>
      <c r="R1493" s="13">
        <v>0.4175620599</v>
      </c>
      <c r="S1493" s="13">
        <v>0</v>
      </c>
      <c r="T1493" s="13">
        <v>0.1078177102</v>
      </c>
      <c r="U1493" s="13">
        <v>0.0186512815</v>
      </c>
      <c r="V1493" s="13">
        <v>0</v>
      </c>
      <c r="W1493" s="13">
        <v>0</v>
      </c>
      <c r="X1493" s="13">
        <v>0</v>
      </c>
      <c r="Y1493" s="13">
        <v>0</v>
      </c>
      <c r="Z1493" s="13">
        <v>0</v>
      </c>
    </row>
    <row r="1494" s="2" customFormat="1" hidden="1" spans="1:26">
      <c r="A1494" s="11" t="s">
        <v>935</v>
      </c>
      <c r="B1494" s="11" t="s">
        <v>937</v>
      </c>
      <c r="C1494" s="14" t="s">
        <v>730</v>
      </c>
      <c r="D1494" s="14" t="s">
        <v>938</v>
      </c>
      <c r="E1494" s="14" t="s">
        <v>939</v>
      </c>
      <c r="F1494" s="3" t="s">
        <v>936</v>
      </c>
      <c r="G1494" s="4">
        <v>298</v>
      </c>
      <c r="H1494" s="12">
        <v>46534.236</v>
      </c>
      <c r="I1494" s="12">
        <v>4325.082594</v>
      </c>
      <c r="J1494" s="13">
        <v>0.092944098</v>
      </c>
      <c r="K1494" s="13">
        <v>0.092944098</v>
      </c>
      <c r="L1494" s="12">
        <v>22.9639932885</v>
      </c>
      <c r="M1494" s="13">
        <v>0.1472816861</v>
      </c>
      <c r="N1494" s="13">
        <v>0.0723691196</v>
      </c>
      <c r="O1494" s="13">
        <v>0.3227477507</v>
      </c>
      <c r="P1494" s="13">
        <v>0.045573242</v>
      </c>
      <c r="Q1494" s="13">
        <v>0.0114137329</v>
      </c>
      <c r="R1494" s="13">
        <v>0.1855891628</v>
      </c>
      <c r="S1494" s="13">
        <v>0</v>
      </c>
      <c r="T1494" s="13">
        <v>0.1080550672</v>
      </c>
      <c r="U1494" s="13">
        <v>0.0151884275</v>
      </c>
      <c r="V1494" s="13">
        <v>0.000923535</v>
      </c>
      <c r="W1494" s="13">
        <v>-0.0023173827</v>
      </c>
      <c r="X1494" s="13">
        <v>0</v>
      </c>
      <c r="Y1494" s="13">
        <v>0</v>
      </c>
      <c r="Z1494" s="13">
        <v>0.0002315602</v>
      </c>
    </row>
    <row r="1495" s="2" customFormat="1" hidden="1" spans="1:26">
      <c r="A1495" s="11" t="s">
        <v>935</v>
      </c>
      <c r="B1495" s="11" t="s">
        <v>937</v>
      </c>
      <c r="C1495" s="14" t="s">
        <v>730</v>
      </c>
      <c r="D1495" s="14" t="s">
        <v>938</v>
      </c>
      <c r="E1495" s="14" t="s">
        <v>939</v>
      </c>
      <c r="F1495" s="3" t="s">
        <v>942</v>
      </c>
      <c r="G1495" s="4">
        <v>22</v>
      </c>
      <c r="H1495" s="12">
        <v>3588.904</v>
      </c>
      <c r="I1495" s="12">
        <v>301.58207</v>
      </c>
      <c r="J1495" s="13">
        <v>0.0840318019</v>
      </c>
      <c r="K1495" s="13">
        <v>0.0840318019</v>
      </c>
      <c r="L1495" s="12">
        <v>23.99</v>
      </c>
      <c r="M1495" s="13">
        <v>0.1450890567</v>
      </c>
      <c r="N1495" s="13">
        <v>0.0467216303</v>
      </c>
      <c r="O1495" s="13">
        <v>0.3076281784</v>
      </c>
      <c r="P1495" s="13">
        <v>0</v>
      </c>
      <c r="Q1495" s="13">
        <v>0.006019894</v>
      </c>
      <c r="R1495" s="13">
        <v>0.2947948576</v>
      </c>
      <c r="S1495" s="13">
        <v>0</v>
      </c>
      <c r="T1495" s="13">
        <v>0.0992837924</v>
      </c>
      <c r="U1495" s="13">
        <v>0.0149623127</v>
      </c>
      <c r="V1495" s="13">
        <v>0</v>
      </c>
      <c r="W1495" s="13">
        <v>0</v>
      </c>
      <c r="X1495" s="13">
        <v>0</v>
      </c>
      <c r="Y1495" s="13">
        <v>0</v>
      </c>
      <c r="Z1495" s="13">
        <v>0.0014684756</v>
      </c>
    </row>
    <row r="1496" s="2" customFormat="1" hidden="1" spans="1:26">
      <c r="A1496" s="11" t="s">
        <v>935</v>
      </c>
      <c r="B1496" s="11" t="s">
        <v>937</v>
      </c>
      <c r="C1496" s="14" t="s">
        <v>730</v>
      </c>
      <c r="D1496" s="14" t="s">
        <v>938</v>
      </c>
      <c r="E1496" s="14" t="s">
        <v>939</v>
      </c>
      <c r="F1496" s="3" t="s">
        <v>943</v>
      </c>
      <c r="G1496" s="4">
        <v>133</v>
      </c>
      <c r="H1496" s="12">
        <v>20614.268</v>
      </c>
      <c r="I1496" s="12">
        <v>2506.623707</v>
      </c>
      <c r="J1496" s="13">
        <v>0.1215965421</v>
      </c>
      <c r="K1496" s="13">
        <v>0.1215965421</v>
      </c>
      <c r="L1496" s="12">
        <v>22.7933082706</v>
      </c>
      <c r="M1496" s="13">
        <v>0.1513128844</v>
      </c>
      <c r="N1496" s="13">
        <v>0.0739802419</v>
      </c>
      <c r="O1496" s="13">
        <v>0.3289647733</v>
      </c>
      <c r="P1496" s="13">
        <v>0.015827096</v>
      </c>
      <c r="Q1496" s="13">
        <v>0.0069841</v>
      </c>
      <c r="R1496" s="13">
        <v>0.1730790493</v>
      </c>
      <c r="S1496" s="13">
        <v>0</v>
      </c>
      <c r="T1496" s="13">
        <v>0.1123664444</v>
      </c>
      <c r="U1496" s="13">
        <v>0.015604145</v>
      </c>
      <c r="V1496" s="13">
        <v>0.0002045185</v>
      </c>
      <c r="W1496" s="13">
        <v>0</v>
      </c>
      <c r="X1496" s="13">
        <v>0</v>
      </c>
      <c r="Y1496" s="13">
        <v>0</v>
      </c>
      <c r="Z1496" s="13">
        <v>8.02045e-5</v>
      </c>
    </row>
    <row r="1497" s="2" customFormat="1" spans="1:26">
      <c r="A1497" s="11" t="s">
        <v>935</v>
      </c>
      <c r="B1497" s="11" t="s">
        <v>937</v>
      </c>
      <c r="C1497" s="14" t="s">
        <v>730</v>
      </c>
      <c r="D1497" s="14" t="s">
        <v>938</v>
      </c>
      <c r="E1497" s="14" t="s">
        <v>939</v>
      </c>
      <c r="F1497" s="3" t="s">
        <v>944</v>
      </c>
      <c r="G1497" s="4">
        <v>143</v>
      </c>
      <c r="H1497" s="12">
        <v>22331.064</v>
      </c>
      <c r="I1497" s="12">
        <v>1682.660817</v>
      </c>
      <c r="J1497" s="13">
        <v>0.0753506781</v>
      </c>
      <c r="K1497" s="13">
        <v>0.0753506781</v>
      </c>
      <c r="L1497" s="12">
        <v>22.9648951048</v>
      </c>
      <c r="M1497" s="13">
        <v>0.1439127887</v>
      </c>
      <c r="N1497" s="13">
        <v>0.0750037576</v>
      </c>
      <c r="O1497" s="13">
        <v>0.319438608</v>
      </c>
      <c r="P1497" s="13">
        <v>0.0803567622</v>
      </c>
      <c r="Q1497" s="13">
        <v>0.0163696818</v>
      </c>
      <c r="R1497" s="13">
        <v>0.1721627573</v>
      </c>
      <c r="S1497" s="13">
        <v>0</v>
      </c>
      <c r="T1497" s="13">
        <v>0.105484808</v>
      </c>
      <c r="U1497" s="13">
        <v>0.0148410099</v>
      </c>
      <c r="V1497" s="13">
        <v>0.0017356987</v>
      </c>
      <c r="W1497" s="13">
        <v>-0.0048290414</v>
      </c>
      <c r="X1497" s="13">
        <v>0</v>
      </c>
      <c r="Y1497" s="13">
        <v>0</v>
      </c>
      <c r="Z1497" s="13">
        <v>0.0001724906</v>
      </c>
    </row>
    <row r="1498" s="2" customFormat="1" hidden="1" spans="1:26">
      <c r="A1498" s="11" t="s">
        <v>935</v>
      </c>
      <c r="B1498" s="11" t="s">
        <v>937</v>
      </c>
      <c r="C1498" s="14" t="s">
        <v>730</v>
      </c>
      <c r="D1498" s="14" t="s">
        <v>938</v>
      </c>
      <c r="E1498" s="14" t="s">
        <v>939</v>
      </c>
      <c r="F1498" s="3" t="s">
        <v>945</v>
      </c>
      <c r="G1498" s="4">
        <v>0</v>
      </c>
      <c r="H1498" s="12">
        <v>0</v>
      </c>
      <c r="I1498" s="12">
        <v>-165.784</v>
      </c>
      <c r="J1498" s="13"/>
      <c r="K1498" s="13"/>
      <c r="L1498" s="12"/>
      <c r="M1498" s="13"/>
      <c r="N1498" s="13"/>
      <c r="O1498" s="13"/>
      <c r="P1498" s="13"/>
      <c r="Q1498" s="13"/>
      <c r="R1498" s="13"/>
      <c r="S1498" s="13"/>
      <c r="T1498" s="13"/>
      <c r="U1498" s="13"/>
      <c r="V1498" s="13"/>
      <c r="W1498" s="13"/>
      <c r="X1498" s="13"/>
      <c r="Y1498" s="13"/>
      <c r="Z1498" s="13"/>
    </row>
    <row r="1499" s="2" customFormat="1" hidden="1" spans="1:26">
      <c r="A1499" s="11" t="s">
        <v>935</v>
      </c>
      <c r="B1499" s="11" t="s">
        <v>937</v>
      </c>
      <c r="C1499" s="14" t="s">
        <v>735</v>
      </c>
      <c r="D1499" s="14" t="s">
        <v>938</v>
      </c>
      <c r="E1499" s="14" t="s">
        <v>939</v>
      </c>
      <c r="F1499" s="3" t="s">
        <v>936</v>
      </c>
      <c r="G1499" s="4">
        <v>74</v>
      </c>
      <c r="H1499" s="12">
        <v>12055.448</v>
      </c>
      <c r="I1499" s="12">
        <v>-52.393078</v>
      </c>
      <c r="J1499" s="13">
        <v>-0.0043460083</v>
      </c>
      <c r="K1499" s="13">
        <v>-0.0043460083</v>
      </c>
      <c r="L1499" s="12">
        <v>23.9575675675</v>
      </c>
      <c r="M1499" s="13">
        <v>0.1650285674</v>
      </c>
      <c r="N1499" s="13">
        <v>0.1024736334</v>
      </c>
      <c r="O1499" s="13">
        <v>0.3226989158</v>
      </c>
      <c r="P1499" s="13">
        <v>0.0135318073</v>
      </c>
      <c r="Q1499" s="13">
        <v>0.027944311</v>
      </c>
      <c r="R1499" s="13">
        <v>0.246662281</v>
      </c>
      <c r="S1499" s="13">
        <v>0</v>
      </c>
      <c r="T1499" s="13">
        <v>0.1087282695</v>
      </c>
      <c r="U1499" s="13">
        <v>0.0170185712</v>
      </c>
      <c r="V1499" s="13">
        <v>0</v>
      </c>
      <c r="W1499" s="13">
        <v>0</v>
      </c>
      <c r="X1499" s="13">
        <v>0</v>
      </c>
      <c r="Y1499" s="13">
        <v>0</v>
      </c>
      <c r="Z1499" s="13">
        <v>0.0002596511</v>
      </c>
    </row>
    <row r="1500" s="2" customFormat="1" hidden="1" spans="1:26">
      <c r="A1500" s="11" t="s">
        <v>935</v>
      </c>
      <c r="B1500" s="11" t="s">
        <v>937</v>
      </c>
      <c r="C1500" s="14" t="s">
        <v>735</v>
      </c>
      <c r="D1500" s="14" t="s">
        <v>938</v>
      </c>
      <c r="E1500" s="14" t="s">
        <v>939</v>
      </c>
      <c r="F1500" s="3" t="s">
        <v>942</v>
      </c>
      <c r="G1500" s="4">
        <v>7</v>
      </c>
      <c r="H1500" s="12">
        <v>1141.924</v>
      </c>
      <c r="I1500" s="12">
        <v>-125.743213</v>
      </c>
      <c r="J1500" s="13">
        <v>-0.1101152204</v>
      </c>
      <c r="K1500" s="13">
        <v>-0.1101152204</v>
      </c>
      <c r="L1500" s="12">
        <v>23.99</v>
      </c>
      <c r="M1500" s="13">
        <v>0.1624479133</v>
      </c>
      <c r="N1500" s="13">
        <v>0.0498401662</v>
      </c>
      <c r="O1500" s="13">
        <v>0.3109629012</v>
      </c>
      <c r="P1500" s="13">
        <v>0</v>
      </c>
      <c r="Q1500" s="13">
        <v>0.0060198909</v>
      </c>
      <c r="R1500" s="13">
        <v>0.4801485921</v>
      </c>
      <c r="S1500" s="13">
        <v>0</v>
      </c>
      <c r="T1500" s="13">
        <v>0.0824748407</v>
      </c>
      <c r="U1500" s="13">
        <v>0.0167524397</v>
      </c>
      <c r="V1500" s="13">
        <v>0</v>
      </c>
      <c r="W1500" s="13">
        <v>0</v>
      </c>
      <c r="X1500" s="13">
        <v>0</v>
      </c>
      <c r="Y1500" s="13">
        <v>0</v>
      </c>
      <c r="Z1500" s="13">
        <v>0.001468476</v>
      </c>
    </row>
    <row r="1501" s="2" customFormat="1" hidden="1" spans="1:26">
      <c r="A1501" s="11" t="s">
        <v>935</v>
      </c>
      <c r="B1501" s="11" t="s">
        <v>937</v>
      </c>
      <c r="C1501" s="14" t="s">
        <v>735</v>
      </c>
      <c r="D1501" s="14" t="s">
        <v>938</v>
      </c>
      <c r="E1501" s="14" t="s">
        <v>939</v>
      </c>
      <c r="F1501" s="3" t="s">
        <v>943</v>
      </c>
      <c r="G1501" s="4">
        <v>23</v>
      </c>
      <c r="H1501" s="12">
        <v>3735.716</v>
      </c>
      <c r="I1501" s="12">
        <v>248.202895</v>
      </c>
      <c r="J1501" s="13">
        <v>0.066440515</v>
      </c>
      <c r="K1501" s="13">
        <v>0.066440515</v>
      </c>
      <c r="L1501" s="12">
        <v>23.8856521739</v>
      </c>
      <c r="M1501" s="13">
        <v>0.1657728258</v>
      </c>
      <c r="N1501" s="13">
        <v>0.1082906682</v>
      </c>
      <c r="O1501" s="13">
        <v>0.3224056646</v>
      </c>
      <c r="P1501" s="13">
        <v>0</v>
      </c>
      <c r="Q1501" s="13">
        <v>0.0265468603</v>
      </c>
      <c r="R1501" s="13">
        <v>0.1809846607</v>
      </c>
      <c r="S1501" s="13">
        <v>0</v>
      </c>
      <c r="T1501" s="13">
        <v>0.1123832753</v>
      </c>
      <c r="U1501" s="13">
        <v>0.017095323</v>
      </c>
      <c r="V1501" s="13">
        <v>0</v>
      </c>
      <c r="W1501" s="13">
        <v>0</v>
      </c>
      <c r="X1501" s="13">
        <v>0</v>
      </c>
      <c r="Y1501" s="13">
        <v>0</v>
      </c>
      <c r="Z1501" s="13">
        <v>8.02065e-5</v>
      </c>
    </row>
    <row r="1502" s="2" customFormat="1" spans="1:26">
      <c r="A1502" s="11" t="s">
        <v>935</v>
      </c>
      <c r="B1502" s="11" t="s">
        <v>937</v>
      </c>
      <c r="C1502" s="14" t="s">
        <v>735</v>
      </c>
      <c r="D1502" s="14" t="s">
        <v>938</v>
      </c>
      <c r="E1502" s="14" t="s">
        <v>939</v>
      </c>
      <c r="F1502" s="3" t="s">
        <v>944</v>
      </c>
      <c r="G1502" s="4">
        <v>41</v>
      </c>
      <c r="H1502" s="12">
        <v>6688.412</v>
      </c>
      <c r="I1502" s="12">
        <v>-240.415084</v>
      </c>
      <c r="J1502" s="13">
        <v>-0.0359450171</v>
      </c>
      <c r="K1502" s="13">
        <v>-0.0359450171</v>
      </c>
      <c r="L1502" s="12">
        <v>23.99</v>
      </c>
      <c r="M1502" s="13">
        <v>0.165051774</v>
      </c>
      <c r="N1502" s="13">
        <v>0.1078196429</v>
      </c>
      <c r="O1502" s="13">
        <v>0.3247186327</v>
      </c>
      <c r="P1502" s="13">
        <v>0.0243902439</v>
      </c>
      <c r="Q1502" s="13">
        <v>0.0344568929</v>
      </c>
      <c r="R1502" s="13">
        <v>0.2519736836</v>
      </c>
      <c r="S1502" s="13">
        <v>0</v>
      </c>
      <c r="T1502" s="13">
        <v>0.1103406907</v>
      </c>
      <c r="U1502" s="13">
        <v>0.0170209646</v>
      </c>
      <c r="V1502" s="13">
        <v>0</v>
      </c>
      <c r="W1502" s="13">
        <v>0</v>
      </c>
      <c r="X1502" s="13">
        <v>0</v>
      </c>
      <c r="Y1502" s="13">
        <v>0</v>
      </c>
      <c r="Z1502" s="13">
        <v>0.0001724914</v>
      </c>
    </row>
    <row r="1503" s="2" customFormat="1" hidden="1" spans="1:26">
      <c r="A1503" s="11" t="s">
        <v>935</v>
      </c>
      <c r="B1503" s="11" t="s">
        <v>937</v>
      </c>
      <c r="C1503" s="14" t="s">
        <v>735</v>
      </c>
      <c r="D1503" s="14" t="s">
        <v>938</v>
      </c>
      <c r="E1503" s="14" t="s">
        <v>939</v>
      </c>
      <c r="F1503" s="3" t="s">
        <v>945</v>
      </c>
      <c r="G1503" s="4">
        <v>3</v>
      </c>
      <c r="H1503" s="12">
        <v>489.396</v>
      </c>
      <c r="I1503" s="12">
        <v>65.562324</v>
      </c>
      <c r="J1503" s="13">
        <v>0.1339657945</v>
      </c>
      <c r="K1503" s="13">
        <v>0.1339657945</v>
      </c>
      <c r="L1503" s="12">
        <v>23.99</v>
      </c>
      <c r="M1503" s="13">
        <v>0.165051774</v>
      </c>
      <c r="N1503" s="13">
        <v>0.1078196429</v>
      </c>
      <c r="O1503" s="13">
        <v>0.3247186327</v>
      </c>
      <c r="P1503" s="13">
        <v>0</v>
      </c>
      <c r="Q1503" s="13">
        <v>0.0007631938</v>
      </c>
      <c r="R1503" s="13">
        <v>0.1306099763</v>
      </c>
      <c r="S1503" s="13">
        <v>0</v>
      </c>
      <c r="T1503" s="13">
        <v>0.1200500208</v>
      </c>
      <c r="U1503" s="13">
        <v>0.0170209646</v>
      </c>
      <c r="V1503" s="13">
        <v>0</v>
      </c>
      <c r="W1503" s="13">
        <v>0</v>
      </c>
      <c r="X1503" s="13">
        <v>0</v>
      </c>
      <c r="Y1503" s="13">
        <v>0</v>
      </c>
      <c r="Z1503" s="13">
        <v>0</v>
      </c>
    </row>
    <row r="1504" s="2" customFormat="1" hidden="1" spans="1:26">
      <c r="A1504" s="11" t="s">
        <v>935</v>
      </c>
      <c r="B1504" s="11" t="s">
        <v>937</v>
      </c>
      <c r="C1504" s="14" t="s">
        <v>740</v>
      </c>
      <c r="D1504" s="14" t="s">
        <v>938</v>
      </c>
      <c r="E1504" s="14" t="s">
        <v>939</v>
      </c>
      <c r="F1504" s="3" t="s">
        <v>936</v>
      </c>
      <c r="G1504" s="4">
        <v>172</v>
      </c>
      <c r="H1504" s="12">
        <v>26865.372</v>
      </c>
      <c r="I1504" s="12">
        <v>5036.203104</v>
      </c>
      <c r="J1504" s="13">
        <v>0.1874607619</v>
      </c>
      <c r="K1504" s="13">
        <v>0.1874607619</v>
      </c>
      <c r="L1504" s="12">
        <v>22.9697093023</v>
      </c>
      <c r="M1504" s="13">
        <v>0.1266248255</v>
      </c>
      <c r="N1504" s="13">
        <v>0.0746149498</v>
      </c>
      <c r="O1504" s="13">
        <v>0.3160304647</v>
      </c>
      <c r="P1504" s="13">
        <v>0.0242888131</v>
      </c>
      <c r="Q1504" s="13">
        <v>0.0129742663</v>
      </c>
      <c r="R1504" s="13">
        <v>0.1391762383</v>
      </c>
      <c r="S1504" s="13">
        <v>0</v>
      </c>
      <c r="T1504" s="13">
        <v>0.1095553041</v>
      </c>
      <c r="U1504" s="13">
        <v>0.0130581874</v>
      </c>
      <c r="V1504" s="13">
        <v>-0.0019130351</v>
      </c>
      <c r="W1504" s="13">
        <v>-0.0023970749</v>
      </c>
      <c r="X1504" s="13">
        <v>0</v>
      </c>
      <c r="Y1504" s="13">
        <v>0</v>
      </c>
      <c r="Z1504" s="13">
        <v>0.0005262986</v>
      </c>
    </row>
    <row r="1505" s="2" customFormat="1" hidden="1" spans="1:26">
      <c r="A1505" s="11" t="s">
        <v>935</v>
      </c>
      <c r="B1505" s="11" t="s">
        <v>937</v>
      </c>
      <c r="C1505" s="14" t="s">
        <v>740</v>
      </c>
      <c r="D1505" s="14" t="s">
        <v>938</v>
      </c>
      <c r="E1505" s="14" t="s">
        <v>939</v>
      </c>
      <c r="F1505" s="3" t="s">
        <v>940</v>
      </c>
      <c r="G1505" s="4">
        <v>4</v>
      </c>
      <c r="H1505" s="12">
        <v>652.528</v>
      </c>
      <c r="I1505" s="12">
        <v>-121.772488</v>
      </c>
      <c r="J1505" s="13">
        <v>-0.1866164946</v>
      </c>
      <c r="K1505" s="13">
        <v>-0.1866164946</v>
      </c>
      <c r="L1505" s="12">
        <v>23.99</v>
      </c>
      <c r="M1505" s="13">
        <v>0.1230758097</v>
      </c>
      <c r="N1505" s="13">
        <v>0.0434201628</v>
      </c>
      <c r="O1505" s="13">
        <v>0.2938724468</v>
      </c>
      <c r="P1505" s="13">
        <v>0</v>
      </c>
      <c r="Q1505" s="13">
        <v>0.018094379</v>
      </c>
      <c r="R1505" s="13">
        <v>0.6377668482</v>
      </c>
      <c r="S1505" s="13">
        <v>0</v>
      </c>
      <c r="T1505" s="13">
        <v>0.0573155481</v>
      </c>
      <c r="U1505" s="13">
        <v>0.012692194</v>
      </c>
      <c r="V1505" s="13">
        <v>0</v>
      </c>
      <c r="W1505" s="13">
        <v>0</v>
      </c>
      <c r="X1505" s="13">
        <v>0</v>
      </c>
      <c r="Y1505" s="13">
        <v>0</v>
      </c>
      <c r="Z1505" s="13">
        <v>0.0003791055</v>
      </c>
    </row>
    <row r="1506" s="2" customFormat="1" hidden="1" spans="1:26">
      <c r="A1506" s="11" t="s">
        <v>935</v>
      </c>
      <c r="B1506" s="11" t="s">
        <v>937</v>
      </c>
      <c r="C1506" s="14" t="s">
        <v>740</v>
      </c>
      <c r="D1506" s="14" t="s">
        <v>938</v>
      </c>
      <c r="E1506" s="14" t="s">
        <v>939</v>
      </c>
      <c r="F1506" s="3" t="s">
        <v>941</v>
      </c>
      <c r="G1506" s="4">
        <v>48</v>
      </c>
      <c r="H1506" s="12">
        <v>7406.016</v>
      </c>
      <c r="I1506" s="12">
        <v>1337.635137</v>
      </c>
      <c r="J1506" s="13">
        <v>0.1806146701</v>
      </c>
      <c r="K1506" s="13">
        <v>0.1806146701</v>
      </c>
      <c r="L1506" s="12">
        <v>22.69</v>
      </c>
      <c r="M1506" s="13">
        <v>0.1299265678</v>
      </c>
      <c r="N1506" s="13">
        <v>0.0777553275</v>
      </c>
      <c r="O1506" s="13">
        <v>0.3295963713</v>
      </c>
      <c r="P1506" s="13">
        <v>0.0220269575</v>
      </c>
      <c r="Q1506" s="13">
        <v>0.0073513628</v>
      </c>
      <c r="R1506" s="13">
        <v>0.1274094633</v>
      </c>
      <c r="S1506" s="13">
        <v>0</v>
      </c>
      <c r="T1506" s="13">
        <v>0.1110529601</v>
      </c>
      <c r="U1506" s="13">
        <v>0.0133986791</v>
      </c>
      <c r="V1506" s="13">
        <v>0</v>
      </c>
      <c r="W1506" s="13">
        <v>0</v>
      </c>
      <c r="X1506" s="13">
        <v>0</v>
      </c>
      <c r="Y1506" s="13">
        <v>0</v>
      </c>
      <c r="Z1506" s="13">
        <v>0.0008676399</v>
      </c>
    </row>
    <row r="1507" s="2" customFormat="1" hidden="1" spans="1:26">
      <c r="A1507" s="11" t="s">
        <v>935</v>
      </c>
      <c r="B1507" s="11" t="s">
        <v>937</v>
      </c>
      <c r="C1507" s="14" t="s">
        <v>740</v>
      </c>
      <c r="D1507" s="14" t="s">
        <v>938</v>
      </c>
      <c r="E1507" s="14" t="s">
        <v>939</v>
      </c>
      <c r="F1507" s="3" t="s">
        <v>942</v>
      </c>
      <c r="G1507" s="4">
        <v>27</v>
      </c>
      <c r="H1507" s="12">
        <v>3779.032</v>
      </c>
      <c r="I1507" s="12">
        <v>449.006941</v>
      </c>
      <c r="J1507" s="13">
        <v>0.1188153318</v>
      </c>
      <c r="K1507" s="13">
        <v>0.1188153318</v>
      </c>
      <c r="L1507" s="12">
        <v>20.5829629629</v>
      </c>
      <c r="M1507" s="13">
        <v>0.1379221927</v>
      </c>
      <c r="N1507" s="13">
        <v>0.0707776547</v>
      </c>
      <c r="O1507" s="13">
        <v>0.3415266131</v>
      </c>
      <c r="P1507" s="13">
        <v>0</v>
      </c>
      <c r="Q1507" s="13">
        <v>0.0249337851</v>
      </c>
      <c r="R1507" s="13">
        <v>0.1792931655</v>
      </c>
      <c r="S1507" s="13">
        <v>0</v>
      </c>
      <c r="T1507" s="13">
        <v>0.1183287148</v>
      </c>
      <c r="U1507" s="13">
        <v>0.014223228</v>
      </c>
      <c r="V1507" s="13">
        <v>0.000737755</v>
      </c>
      <c r="W1507" s="13">
        <v>-0.0080269172</v>
      </c>
      <c r="X1507" s="13">
        <v>0</v>
      </c>
      <c r="Y1507" s="13">
        <v>0</v>
      </c>
      <c r="Z1507" s="13">
        <v>0.001468476</v>
      </c>
    </row>
    <row r="1508" s="2" customFormat="1" hidden="1" spans="1:26">
      <c r="A1508" s="11" t="s">
        <v>935</v>
      </c>
      <c r="B1508" s="11" t="s">
        <v>937</v>
      </c>
      <c r="C1508" s="14" t="s">
        <v>740</v>
      </c>
      <c r="D1508" s="14" t="s">
        <v>938</v>
      </c>
      <c r="E1508" s="14" t="s">
        <v>939</v>
      </c>
      <c r="F1508" s="3" t="s">
        <v>943</v>
      </c>
      <c r="G1508" s="4">
        <v>43</v>
      </c>
      <c r="H1508" s="12">
        <v>7014.676</v>
      </c>
      <c r="I1508" s="12">
        <v>1749.56599</v>
      </c>
      <c r="J1508" s="13">
        <v>0.249415082</v>
      </c>
      <c r="K1508" s="13">
        <v>0.249415082</v>
      </c>
      <c r="L1508" s="12">
        <v>23.99</v>
      </c>
      <c r="M1508" s="13">
        <v>0.1225218473</v>
      </c>
      <c r="N1508" s="13">
        <v>0.06306149</v>
      </c>
      <c r="O1508" s="13">
        <v>0.3042934556</v>
      </c>
      <c r="P1508" s="13">
        <v>0.0232558139</v>
      </c>
      <c r="Q1508" s="13">
        <v>0.0061725592</v>
      </c>
      <c r="R1508" s="13">
        <v>0.107975765</v>
      </c>
      <c r="S1508" s="13">
        <v>0</v>
      </c>
      <c r="T1508" s="13">
        <v>0.1105887142</v>
      </c>
      <c r="U1508" s="13">
        <v>0.0126350685</v>
      </c>
      <c r="V1508" s="13">
        <v>0</v>
      </c>
      <c r="W1508" s="13">
        <v>0</v>
      </c>
      <c r="X1508" s="13">
        <v>0</v>
      </c>
      <c r="Y1508" s="13">
        <v>0</v>
      </c>
      <c r="Z1508" s="13">
        <v>8.02038e-5</v>
      </c>
    </row>
    <row r="1509" s="2" customFormat="1" spans="1:26">
      <c r="A1509" s="11" t="s">
        <v>935</v>
      </c>
      <c r="B1509" s="11" t="s">
        <v>937</v>
      </c>
      <c r="C1509" s="14" t="s">
        <v>740</v>
      </c>
      <c r="D1509" s="14" t="s">
        <v>938</v>
      </c>
      <c r="E1509" s="14" t="s">
        <v>939</v>
      </c>
      <c r="F1509" s="3" t="s">
        <v>944</v>
      </c>
      <c r="G1509" s="4">
        <v>49</v>
      </c>
      <c r="H1509" s="12">
        <v>7849.988</v>
      </c>
      <c r="I1509" s="12">
        <v>1570.907935</v>
      </c>
      <c r="J1509" s="13">
        <v>0.2001159664</v>
      </c>
      <c r="K1509" s="13">
        <v>0.2001159664</v>
      </c>
      <c r="L1509" s="12">
        <v>23.559387755</v>
      </c>
      <c r="M1509" s="13">
        <v>0.1221198422</v>
      </c>
      <c r="N1509" s="13">
        <v>0.0861719391</v>
      </c>
      <c r="O1509" s="13">
        <v>0.3035316741</v>
      </c>
      <c r="P1509" s="13">
        <v>0.0415623565</v>
      </c>
      <c r="Q1509" s="13">
        <v>0.0184278644</v>
      </c>
      <c r="R1509" s="13">
        <v>0.1194262394</v>
      </c>
      <c r="S1509" s="13">
        <v>0</v>
      </c>
      <c r="T1509" s="13">
        <v>0.1071196541</v>
      </c>
      <c r="U1509" s="13">
        <v>0.012593611</v>
      </c>
      <c r="V1509" s="13">
        <v>-0.0069022271</v>
      </c>
      <c r="W1509" s="13">
        <v>-0.0043394121</v>
      </c>
      <c r="X1509" s="13">
        <v>0</v>
      </c>
      <c r="Y1509" s="13">
        <v>0</v>
      </c>
      <c r="Z1509" s="13">
        <v>0.0001724914</v>
      </c>
    </row>
    <row r="1510" s="2" customFormat="1" hidden="1" spans="1:26">
      <c r="A1510" s="11" t="s">
        <v>935</v>
      </c>
      <c r="B1510" s="11" t="s">
        <v>937</v>
      </c>
      <c r="C1510" s="14" t="s">
        <v>740</v>
      </c>
      <c r="D1510" s="14" t="s">
        <v>938</v>
      </c>
      <c r="E1510" s="14" t="s">
        <v>939</v>
      </c>
      <c r="F1510" s="3" t="s">
        <v>945</v>
      </c>
      <c r="G1510" s="4">
        <v>1</v>
      </c>
      <c r="H1510" s="12">
        <v>163.132</v>
      </c>
      <c r="I1510" s="12">
        <v>50.859589</v>
      </c>
      <c r="J1510" s="13">
        <v>0.3117695424</v>
      </c>
      <c r="K1510" s="13">
        <v>0.3117695424</v>
      </c>
      <c r="L1510" s="12">
        <v>23.99</v>
      </c>
      <c r="M1510" s="13">
        <v>0.1224263295</v>
      </c>
      <c r="N1510" s="13">
        <v>0.086388207</v>
      </c>
      <c r="O1510" s="13">
        <v>0.3042934556</v>
      </c>
      <c r="P1510" s="13">
        <v>0</v>
      </c>
      <c r="Q1510" s="13">
        <v>0.0007631917</v>
      </c>
      <c r="R1510" s="13">
        <v>0.041684035</v>
      </c>
      <c r="S1510" s="13">
        <v>0</v>
      </c>
      <c r="T1510" s="13">
        <v>0.1200500208</v>
      </c>
      <c r="U1510" s="13">
        <v>0.0126252176</v>
      </c>
      <c r="V1510" s="13">
        <v>0</v>
      </c>
      <c r="W1510" s="13">
        <v>0</v>
      </c>
      <c r="X1510" s="13">
        <v>0</v>
      </c>
      <c r="Y1510" s="13">
        <v>0</v>
      </c>
      <c r="Z1510" s="13">
        <v>0</v>
      </c>
    </row>
    <row r="1511" s="2" customFormat="1" hidden="1" spans="1:26">
      <c r="A1511" s="11" t="s">
        <v>935</v>
      </c>
      <c r="B1511" s="11" t="s">
        <v>937</v>
      </c>
      <c r="C1511" s="14" t="s">
        <v>745</v>
      </c>
      <c r="D1511" s="14" t="s">
        <v>938</v>
      </c>
      <c r="E1511" s="14" t="s">
        <v>939</v>
      </c>
      <c r="F1511" s="3" t="s">
        <v>936</v>
      </c>
      <c r="G1511" s="4">
        <v>194</v>
      </c>
      <c r="H1511" s="12">
        <v>30220.968</v>
      </c>
      <c r="I1511" s="12">
        <v>6378.095176</v>
      </c>
      <c r="J1511" s="13">
        <v>0.2110486724</v>
      </c>
      <c r="K1511" s="13">
        <v>0.2110486724</v>
      </c>
      <c r="L1511" s="12">
        <v>22.908556701</v>
      </c>
      <c r="M1511" s="13">
        <v>0.1216588377</v>
      </c>
      <c r="N1511" s="13">
        <v>0.0368653866</v>
      </c>
      <c r="O1511" s="13">
        <v>0.2995459311</v>
      </c>
      <c r="P1511" s="13">
        <v>0.0152488828</v>
      </c>
      <c r="Q1511" s="13">
        <v>0.0149134225</v>
      </c>
      <c r="R1511" s="13">
        <v>0.1815712477</v>
      </c>
      <c r="S1511" s="13">
        <v>0</v>
      </c>
      <c r="T1511" s="13">
        <v>0.1085940066</v>
      </c>
      <c r="U1511" s="13">
        <v>0.0125460683</v>
      </c>
      <c r="V1511" s="13">
        <v>0</v>
      </c>
      <c r="W1511" s="13">
        <v>-0.0024264238</v>
      </c>
      <c r="X1511" s="13">
        <v>0</v>
      </c>
      <c r="Y1511" s="13">
        <v>0</v>
      </c>
      <c r="Z1511" s="13">
        <v>0.0004339677</v>
      </c>
    </row>
    <row r="1512" s="2" customFormat="1" hidden="1" spans="1:26">
      <c r="A1512" s="11" t="s">
        <v>935</v>
      </c>
      <c r="B1512" s="11" t="s">
        <v>937</v>
      </c>
      <c r="C1512" s="14" t="s">
        <v>745</v>
      </c>
      <c r="D1512" s="14" t="s">
        <v>938</v>
      </c>
      <c r="E1512" s="14" t="s">
        <v>939</v>
      </c>
      <c r="F1512" s="3" t="s">
        <v>941</v>
      </c>
      <c r="G1512" s="4">
        <v>12</v>
      </c>
      <c r="H1512" s="12">
        <v>1875.984</v>
      </c>
      <c r="I1512" s="12">
        <v>24.686976</v>
      </c>
      <c r="J1512" s="13">
        <v>0.0131594811</v>
      </c>
      <c r="K1512" s="13">
        <v>0.0131594811</v>
      </c>
      <c r="L1512" s="12">
        <v>22.99</v>
      </c>
      <c r="M1512" s="13">
        <v>0.1212333239</v>
      </c>
      <c r="N1512" s="13">
        <v>0.0301974131</v>
      </c>
      <c r="O1512" s="13">
        <v>0.2734884732</v>
      </c>
      <c r="P1512" s="13">
        <v>0.0833333333</v>
      </c>
      <c r="Q1512" s="13">
        <v>0.004458563</v>
      </c>
      <c r="R1512" s="13">
        <v>0.3738377357</v>
      </c>
      <c r="S1512" s="13">
        <v>0</v>
      </c>
      <c r="T1512" s="13">
        <v>0.08692185</v>
      </c>
      <c r="U1512" s="13">
        <v>0.0125021876</v>
      </c>
      <c r="V1512" s="13">
        <v>0</v>
      </c>
      <c r="W1512" s="13">
        <v>0</v>
      </c>
      <c r="X1512" s="13">
        <v>0</v>
      </c>
      <c r="Y1512" s="13">
        <v>0</v>
      </c>
      <c r="Z1512" s="13">
        <v>0.0008676385</v>
      </c>
    </row>
    <row r="1513" s="2" customFormat="1" hidden="1" spans="1:26">
      <c r="A1513" s="11" t="s">
        <v>935</v>
      </c>
      <c r="B1513" s="11" t="s">
        <v>937</v>
      </c>
      <c r="C1513" s="14" t="s">
        <v>745</v>
      </c>
      <c r="D1513" s="14" t="s">
        <v>938</v>
      </c>
      <c r="E1513" s="14" t="s">
        <v>939</v>
      </c>
      <c r="F1513" s="3" t="s">
        <v>942</v>
      </c>
      <c r="G1513" s="4">
        <v>37</v>
      </c>
      <c r="H1513" s="12">
        <v>5678.204</v>
      </c>
      <c r="I1513" s="12">
        <v>1086.575052</v>
      </c>
      <c r="J1513" s="13">
        <v>0.1913589318</v>
      </c>
      <c r="K1513" s="13">
        <v>0.1913589318</v>
      </c>
      <c r="L1513" s="12">
        <v>22.5683783783</v>
      </c>
      <c r="M1513" s="13">
        <v>0.1234982004</v>
      </c>
      <c r="N1513" s="13">
        <v>0.0307615601</v>
      </c>
      <c r="O1513" s="13">
        <v>0.3057375184</v>
      </c>
      <c r="P1513" s="13">
        <v>0.0260948708</v>
      </c>
      <c r="Q1513" s="13">
        <v>0.0199385677</v>
      </c>
      <c r="R1513" s="13">
        <v>0.1898141973</v>
      </c>
      <c r="S1513" s="13">
        <v>0</v>
      </c>
      <c r="T1513" s="13">
        <v>0.1069302899</v>
      </c>
      <c r="U1513" s="13">
        <v>0.012735753</v>
      </c>
      <c r="V1513" s="13">
        <v>0</v>
      </c>
      <c r="W1513" s="13">
        <v>-0.0083383654</v>
      </c>
      <c r="X1513" s="13">
        <v>0</v>
      </c>
      <c r="Y1513" s="13">
        <v>0</v>
      </c>
      <c r="Z1513" s="13">
        <v>0.0014684755</v>
      </c>
    </row>
    <row r="1514" s="2" customFormat="1" hidden="1" spans="1:26">
      <c r="A1514" s="11" t="s">
        <v>935</v>
      </c>
      <c r="B1514" s="11" t="s">
        <v>937</v>
      </c>
      <c r="C1514" s="14" t="s">
        <v>745</v>
      </c>
      <c r="D1514" s="14" t="s">
        <v>938</v>
      </c>
      <c r="E1514" s="14" t="s">
        <v>939</v>
      </c>
      <c r="F1514" s="3" t="s">
        <v>943</v>
      </c>
      <c r="G1514" s="4">
        <v>49</v>
      </c>
      <c r="H1514" s="12">
        <v>7660.268</v>
      </c>
      <c r="I1514" s="12">
        <v>2061.878369</v>
      </c>
      <c r="J1514" s="13">
        <v>0.2691653045</v>
      </c>
      <c r="K1514" s="13">
        <v>0.2691653045</v>
      </c>
      <c r="L1514" s="12">
        <v>22.99</v>
      </c>
      <c r="M1514" s="13">
        <v>0.1212285392</v>
      </c>
      <c r="N1514" s="13">
        <v>0.0271330244</v>
      </c>
      <c r="O1514" s="13">
        <v>0.3001393684</v>
      </c>
      <c r="P1514" s="13">
        <v>0</v>
      </c>
      <c r="Q1514" s="13">
        <v>0.0150723237</v>
      </c>
      <c r="R1514" s="13">
        <v>0.1423325568</v>
      </c>
      <c r="S1514" s="13">
        <v>0</v>
      </c>
      <c r="T1514" s="13">
        <v>0.1123469831</v>
      </c>
      <c r="U1514" s="13">
        <v>0.0125016951</v>
      </c>
      <c r="V1514" s="13">
        <v>0</v>
      </c>
      <c r="W1514" s="13">
        <v>0</v>
      </c>
      <c r="X1514" s="13">
        <v>0</v>
      </c>
      <c r="Y1514" s="13">
        <v>0</v>
      </c>
      <c r="Z1514" s="13">
        <v>8.02043e-5</v>
      </c>
    </row>
    <row r="1515" s="2" customFormat="1" spans="1:26">
      <c r="A1515" s="11" t="s">
        <v>935</v>
      </c>
      <c r="B1515" s="11" t="s">
        <v>937</v>
      </c>
      <c r="C1515" s="14" t="s">
        <v>745</v>
      </c>
      <c r="D1515" s="14" t="s">
        <v>938</v>
      </c>
      <c r="E1515" s="14" t="s">
        <v>939</v>
      </c>
      <c r="F1515" s="3" t="s">
        <v>944</v>
      </c>
      <c r="G1515" s="4">
        <v>94</v>
      </c>
      <c r="H1515" s="12">
        <v>14693.848</v>
      </c>
      <c r="I1515" s="12">
        <v>3206.869989</v>
      </c>
      <c r="J1515" s="13">
        <v>0.2182457576</v>
      </c>
      <c r="K1515" s="13">
        <v>0.2182457576</v>
      </c>
      <c r="L1515" s="12">
        <v>22.9878723404</v>
      </c>
      <c r="M1515" s="13">
        <v>0.1212359341</v>
      </c>
      <c r="N1515" s="13">
        <v>0.0449766377</v>
      </c>
      <c r="O1515" s="13">
        <v>0.3001582703</v>
      </c>
      <c r="P1515" s="13">
        <v>0.0106392825</v>
      </c>
      <c r="Q1515" s="13">
        <v>0.0145245787</v>
      </c>
      <c r="R1515" s="13">
        <v>0.1692501508</v>
      </c>
      <c r="S1515" s="13">
        <v>0</v>
      </c>
      <c r="T1515" s="13">
        <v>0.1100626602</v>
      </c>
      <c r="U1515" s="13">
        <v>0.0125024555</v>
      </c>
      <c r="V1515" s="13">
        <v>0</v>
      </c>
      <c r="W1515" s="13">
        <v>-0.0017682188</v>
      </c>
      <c r="X1515" s="13">
        <v>0</v>
      </c>
      <c r="Y1515" s="13">
        <v>0</v>
      </c>
      <c r="Z1515" s="13">
        <v>0.000172491</v>
      </c>
    </row>
    <row r="1516" s="2" customFormat="1" hidden="1" spans="1:26">
      <c r="A1516" s="11" t="s">
        <v>935</v>
      </c>
      <c r="B1516" s="11" t="s">
        <v>937</v>
      </c>
      <c r="C1516" s="14" t="s">
        <v>745</v>
      </c>
      <c r="D1516" s="14" t="s">
        <v>938</v>
      </c>
      <c r="E1516" s="14" t="s">
        <v>939</v>
      </c>
      <c r="F1516" s="3" t="s">
        <v>945</v>
      </c>
      <c r="G1516" s="4">
        <v>2</v>
      </c>
      <c r="H1516" s="12">
        <v>312.664</v>
      </c>
      <c r="I1516" s="12">
        <v>-1.91521</v>
      </c>
      <c r="J1516" s="13">
        <v>-0.0061254573</v>
      </c>
      <c r="K1516" s="13">
        <v>-0.0061254573</v>
      </c>
      <c r="L1516" s="12">
        <v>22.99</v>
      </c>
      <c r="M1516" s="13">
        <v>0.121224714</v>
      </c>
      <c r="N1516" s="13">
        <v>0.0449724752</v>
      </c>
      <c r="O1516" s="13">
        <v>0.3001304915</v>
      </c>
      <c r="P1516" s="13">
        <v>0</v>
      </c>
      <c r="Q1516" s="13">
        <v>0.0007632026</v>
      </c>
      <c r="R1516" s="13">
        <v>0.418660287</v>
      </c>
      <c r="S1516" s="13">
        <v>0</v>
      </c>
      <c r="T1516" s="13">
        <v>0.1078729882</v>
      </c>
      <c r="U1516" s="13">
        <v>0.0125012985</v>
      </c>
      <c r="V1516" s="13">
        <v>0</v>
      </c>
      <c r="W1516" s="13">
        <v>0</v>
      </c>
      <c r="X1516" s="13">
        <v>0</v>
      </c>
      <c r="Y1516" s="13">
        <v>0</v>
      </c>
      <c r="Z1516" s="13">
        <v>0</v>
      </c>
    </row>
    <row r="1517" s="2" customFormat="1" hidden="1" spans="1:26">
      <c r="A1517" s="11" t="s">
        <v>935</v>
      </c>
      <c r="B1517" s="11" t="s">
        <v>937</v>
      </c>
      <c r="C1517" s="14" t="s">
        <v>750</v>
      </c>
      <c r="D1517" s="14" t="s">
        <v>938</v>
      </c>
      <c r="E1517" s="14" t="s">
        <v>939</v>
      </c>
      <c r="F1517" s="3" t="s">
        <v>936</v>
      </c>
      <c r="G1517" s="4">
        <v>39</v>
      </c>
      <c r="H1517" s="12">
        <v>4964.816</v>
      </c>
      <c r="I1517" s="12">
        <v>-1263.582572</v>
      </c>
      <c r="J1517" s="13">
        <v>-0.2545074322</v>
      </c>
      <c r="K1517" s="13">
        <v>-0.2545074322</v>
      </c>
      <c r="L1517" s="12">
        <v>18.721025641</v>
      </c>
      <c r="M1517" s="13">
        <v>0.1245417634</v>
      </c>
      <c r="N1517" s="13">
        <v>0.0313901483</v>
      </c>
      <c r="O1517" s="13">
        <v>0.3192214978</v>
      </c>
      <c r="P1517" s="13">
        <v>0.1952144852</v>
      </c>
      <c r="Q1517" s="13">
        <v>0.0623678164</v>
      </c>
      <c r="R1517" s="13">
        <v>0.439294469</v>
      </c>
      <c r="S1517" s="13">
        <v>0</v>
      </c>
      <c r="T1517" s="13">
        <v>0.0903960992</v>
      </c>
      <c r="U1517" s="13">
        <v>0.012843371</v>
      </c>
      <c r="V1517" s="13">
        <v>-0.008176738</v>
      </c>
      <c r="W1517" s="13">
        <v>-0.0131518015</v>
      </c>
      <c r="X1517" s="13">
        <v>0</v>
      </c>
      <c r="Y1517" s="13">
        <v>0</v>
      </c>
      <c r="Z1517" s="13">
        <v>0.000566321</v>
      </c>
    </row>
    <row r="1518" s="2" customFormat="1" hidden="1" spans="1:26">
      <c r="A1518" s="11" t="s">
        <v>935</v>
      </c>
      <c r="B1518" s="11" t="s">
        <v>937</v>
      </c>
      <c r="C1518" s="14" t="s">
        <v>750</v>
      </c>
      <c r="D1518" s="14" t="s">
        <v>938</v>
      </c>
      <c r="E1518" s="14" t="s">
        <v>939</v>
      </c>
      <c r="F1518" s="3" t="s">
        <v>941</v>
      </c>
      <c r="G1518" s="4">
        <v>3</v>
      </c>
      <c r="H1518" s="12">
        <v>468.996</v>
      </c>
      <c r="I1518" s="12">
        <v>-166.040827</v>
      </c>
      <c r="J1518" s="13">
        <v>-0.3540346335</v>
      </c>
      <c r="K1518" s="13">
        <v>-0.3540346335</v>
      </c>
      <c r="L1518" s="12">
        <v>22.99</v>
      </c>
      <c r="M1518" s="13">
        <v>0.1155208594</v>
      </c>
      <c r="N1518" s="13">
        <v>0.0301974131</v>
      </c>
      <c r="O1518" s="13">
        <v>0.2778019428</v>
      </c>
      <c r="P1518" s="13">
        <v>0</v>
      </c>
      <c r="Q1518" s="13">
        <v>0.0044585646</v>
      </c>
      <c r="R1518" s="13">
        <v>0.8686180137</v>
      </c>
      <c r="S1518" s="13">
        <v>0</v>
      </c>
      <c r="T1518" s="13">
        <v>0.0446570972</v>
      </c>
      <c r="U1518" s="13">
        <v>0.0119130888</v>
      </c>
      <c r="V1518" s="13">
        <v>0</v>
      </c>
      <c r="W1518" s="13">
        <v>0</v>
      </c>
      <c r="X1518" s="13">
        <v>0</v>
      </c>
      <c r="Y1518" s="13">
        <v>0</v>
      </c>
      <c r="Z1518" s="13">
        <v>0.0008676534</v>
      </c>
    </row>
    <row r="1519" s="2" customFormat="1" hidden="1" spans="1:26">
      <c r="A1519" s="11" t="s">
        <v>935</v>
      </c>
      <c r="B1519" s="11" t="s">
        <v>937</v>
      </c>
      <c r="C1519" s="14" t="s">
        <v>750</v>
      </c>
      <c r="D1519" s="14" t="s">
        <v>938</v>
      </c>
      <c r="E1519" s="14" t="s">
        <v>939</v>
      </c>
      <c r="F1519" s="3" t="s">
        <v>942</v>
      </c>
      <c r="G1519" s="4">
        <v>10</v>
      </c>
      <c r="H1519" s="12">
        <v>1420.792</v>
      </c>
      <c r="I1519" s="12">
        <v>163.327249</v>
      </c>
      <c r="J1519" s="13">
        <v>0.1149550736</v>
      </c>
      <c r="K1519" s="13">
        <v>0.1149550736</v>
      </c>
      <c r="L1519" s="12">
        <v>20.894</v>
      </c>
      <c r="M1519" s="13">
        <v>0.1143984925</v>
      </c>
      <c r="N1519" s="13">
        <v>0.0299040239</v>
      </c>
      <c r="O1519" s="13">
        <v>0.2972623719</v>
      </c>
      <c r="P1519" s="13">
        <v>0.110031588</v>
      </c>
      <c r="Q1519" s="13">
        <v>0.0623891871</v>
      </c>
      <c r="R1519" s="13">
        <v>0.1506334881</v>
      </c>
      <c r="S1519" s="13">
        <v>0</v>
      </c>
      <c r="T1519" s="13">
        <v>0.1039054273</v>
      </c>
      <c r="U1519" s="13">
        <v>0.0117973447</v>
      </c>
      <c r="V1519" s="13">
        <v>0.0032545228</v>
      </c>
      <c r="W1519" s="13">
        <v>0</v>
      </c>
      <c r="X1519" s="13">
        <v>0</v>
      </c>
      <c r="Y1519" s="13">
        <v>0</v>
      </c>
      <c r="Z1519" s="13">
        <v>0.0014684795</v>
      </c>
    </row>
    <row r="1520" s="2" customFormat="1" hidden="1" spans="1:26">
      <c r="A1520" s="11" t="s">
        <v>935</v>
      </c>
      <c r="B1520" s="11" t="s">
        <v>937</v>
      </c>
      <c r="C1520" s="14" t="s">
        <v>750</v>
      </c>
      <c r="D1520" s="14" t="s">
        <v>938</v>
      </c>
      <c r="E1520" s="14" t="s">
        <v>939</v>
      </c>
      <c r="F1520" s="3" t="s">
        <v>943</v>
      </c>
      <c r="G1520" s="4">
        <v>18</v>
      </c>
      <c r="H1520" s="12">
        <v>2297.924</v>
      </c>
      <c r="I1520" s="12">
        <v>-789.7061</v>
      </c>
      <c r="J1520" s="13">
        <v>-0.3436606693</v>
      </c>
      <c r="K1520" s="13">
        <v>-0.3436606693</v>
      </c>
      <c r="L1520" s="12">
        <v>18.7738888888</v>
      </c>
      <c r="M1520" s="13">
        <v>0.1368267079</v>
      </c>
      <c r="N1520" s="13">
        <v>0.0337537716</v>
      </c>
      <c r="O1520" s="13">
        <v>0.3471133074</v>
      </c>
      <c r="P1520" s="13">
        <v>0.1700648063</v>
      </c>
      <c r="Q1520" s="13">
        <v>0.0513033329</v>
      </c>
      <c r="R1520" s="13">
        <v>0.4875171506</v>
      </c>
      <c r="S1520" s="13">
        <v>0</v>
      </c>
      <c r="T1520" s="13">
        <v>0.1028911312</v>
      </c>
      <c r="U1520" s="13">
        <v>0.0141102577</v>
      </c>
      <c r="V1520" s="13">
        <v>0</v>
      </c>
      <c r="W1520" s="13">
        <v>0</v>
      </c>
      <c r="X1520" s="13">
        <v>0</v>
      </c>
      <c r="Y1520" s="13">
        <v>0</v>
      </c>
      <c r="Z1520" s="13">
        <v>8.02032e-5</v>
      </c>
    </row>
    <row r="1521" s="2" customFormat="1" spans="1:26">
      <c r="A1521" s="11" t="s">
        <v>935</v>
      </c>
      <c r="B1521" s="11" t="s">
        <v>937</v>
      </c>
      <c r="C1521" s="14" t="s">
        <v>750</v>
      </c>
      <c r="D1521" s="14" t="s">
        <v>938</v>
      </c>
      <c r="E1521" s="14" t="s">
        <v>939</v>
      </c>
      <c r="F1521" s="3" t="s">
        <v>944</v>
      </c>
      <c r="G1521" s="4">
        <v>8</v>
      </c>
      <c r="H1521" s="12">
        <v>777.104</v>
      </c>
      <c r="I1521" s="12">
        <v>-447.634894</v>
      </c>
      <c r="J1521" s="13">
        <v>-0.5760295841</v>
      </c>
      <c r="K1521" s="13">
        <v>-0.5760295841</v>
      </c>
      <c r="L1521" s="12">
        <v>14.285</v>
      </c>
      <c r="M1521" s="13">
        <v>0.1122041322</v>
      </c>
      <c r="N1521" s="13">
        <v>0.0278377733</v>
      </c>
      <c r="O1521" s="13">
        <v>0.3018900945</v>
      </c>
      <c r="P1521" s="13">
        <v>0.5431396569</v>
      </c>
      <c r="Q1521" s="13">
        <v>0.12999607</v>
      </c>
      <c r="R1521" s="13">
        <v>0.5350810432</v>
      </c>
      <c r="S1521" s="13">
        <v>0</v>
      </c>
      <c r="T1521" s="13">
        <v>0.0563528176</v>
      </c>
      <c r="U1521" s="13">
        <v>0.0115710509</v>
      </c>
      <c r="V1521" s="13">
        <v>-0.0581904095</v>
      </c>
      <c r="W1521" s="13">
        <v>-0.0840251433</v>
      </c>
      <c r="X1521" s="13">
        <v>0</v>
      </c>
      <c r="Y1521" s="13">
        <v>0</v>
      </c>
      <c r="Z1521" s="13">
        <v>0.0001724981</v>
      </c>
    </row>
    <row r="1522" s="2" customFormat="1" hidden="1" spans="1:26">
      <c r="A1522" s="11" t="s">
        <v>935</v>
      </c>
      <c r="B1522" s="11" t="s">
        <v>937</v>
      </c>
      <c r="C1522" s="14" t="s">
        <v>750</v>
      </c>
      <c r="D1522" s="14" t="s">
        <v>938</v>
      </c>
      <c r="E1522" s="14" t="s">
        <v>939</v>
      </c>
      <c r="F1522" s="3" t="s">
        <v>945</v>
      </c>
      <c r="G1522" s="4">
        <v>0</v>
      </c>
      <c r="H1522" s="12">
        <v>0</v>
      </c>
      <c r="I1522" s="12">
        <v>-23.528</v>
      </c>
      <c r="J1522" s="13"/>
      <c r="K1522" s="13"/>
      <c r="L1522" s="12"/>
      <c r="M1522" s="13"/>
      <c r="N1522" s="13"/>
      <c r="O1522" s="13"/>
      <c r="P1522" s="13"/>
      <c r="Q1522" s="13"/>
      <c r="R1522" s="13"/>
      <c r="S1522" s="13"/>
      <c r="T1522" s="13"/>
      <c r="U1522" s="13"/>
      <c r="V1522" s="13"/>
      <c r="W1522" s="13"/>
      <c r="X1522" s="13"/>
      <c r="Y1522" s="13"/>
      <c r="Z1522" s="13"/>
    </row>
    <row r="1523" s="2" customFormat="1" hidden="1" spans="1:26">
      <c r="A1523" s="11" t="s">
        <v>935</v>
      </c>
      <c r="B1523" s="11" t="s">
        <v>937</v>
      </c>
      <c r="C1523" s="14" t="s">
        <v>755</v>
      </c>
      <c r="D1523" s="14" t="s">
        <v>938</v>
      </c>
      <c r="E1523" s="14" t="s">
        <v>939</v>
      </c>
      <c r="F1523" s="3" t="s">
        <v>936</v>
      </c>
      <c r="G1523" s="4">
        <v>146</v>
      </c>
      <c r="H1523" s="12">
        <v>22940.548</v>
      </c>
      <c r="I1523" s="12">
        <v>2649.202632</v>
      </c>
      <c r="J1523" s="13">
        <v>0.115481227</v>
      </c>
      <c r="K1523" s="13">
        <v>0.115481227</v>
      </c>
      <c r="L1523" s="12">
        <v>23.1069178082</v>
      </c>
      <c r="M1523" s="13">
        <v>0.1626915165</v>
      </c>
      <c r="N1523" s="13">
        <v>0.0430318819</v>
      </c>
      <c r="O1523" s="13">
        <v>0.3236325479</v>
      </c>
      <c r="P1523" s="13">
        <v>0.0060795409</v>
      </c>
      <c r="Q1523" s="13">
        <v>0.0276707898</v>
      </c>
      <c r="R1523" s="13">
        <v>0.1956514196</v>
      </c>
      <c r="S1523" s="13">
        <v>0</v>
      </c>
      <c r="T1523" s="13">
        <v>0.1095414111</v>
      </c>
      <c r="U1523" s="13">
        <v>0.0167775652</v>
      </c>
      <c r="V1523" s="13">
        <v>-0.0010285717</v>
      </c>
      <c r="W1523" s="13">
        <v>0</v>
      </c>
      <c r="X1523" s="13">
        <v>0</v>
      </c>
      <c r="Y1523" s="13">
        <v>0</v>
      </c>
      <c r="Z1523" s="13">
        <v>0.0004706714</v>
      </c>
    </row>
    <row r="1524" s="2" customFormat="1" hidden="1" spans="1:26">
      <c r="A1524" s="11" t="s">
        <v>935</v>
      </c>
      <c r="B1524" s="11" t="s">
        <v>937</v>
      </c>
      <c r="C1524" s="14" t="s">
        <v>755</v>
      </c>
      <c r="D1524" s="14" t="s">
        <v>938</v>
      </c>
      <c r="E1524" s="14" t="s">
        <v>939</v>
      </c>
      <c r="F1524" s="3" t="s">
        <v>940</v>
      </c>
      <c r="G1524" s="4">
        <v>4</v>
      </c>
      <c r="H1524" s="12">
        <v>628.048</v>
      </c>
      <c r="I1524" s="12">
        <v>-101.406154</v>
      </c>
      <c r="J1524" s="13">
        <v>-0.1614624264</v>
      </c>
      <c r="K1524" s="13">
        <v>-0.1614624264</v>
      </c>
      <c r="L1524" s="12">
        <v>23.09</v>
      </c>
      <c r="M1524" s="13">
        <v>0.1640557345</v>
      </c>
      <c r="N1524" s="13">
        <v>0.0461709805</v>
      </c>
      <c r="O1524" s="13">
        <v>0.3053269813</v>
      </c>
      <c r="P1524" s="13">
        <v>0</v>
      </c>
      <c r="Q1524" s="13">
        <v>0.0180944147</v>
      </c>
      <c r="R1524" s="13">
        <v>0.5464199519</v>
      </c>
      <c r="S1524" s="13">
        <v>0</v>
      </c>
      <c r="T1524" s="13">
        <v>0.0640970116</v>
      </c>
      <c r="U1524" s="13">
        <v>0.0169182482</v>
      </c>
      <c r="V1524" s="13">
        <v>0</v>
      </c>
      <c r="W1524" s="13">
        <v>0</v>
      </c>
      <c r="X1524" s="13">
        <v>0</v>
      </c>
      <c r="Y1524" s="13">
        <v>0</v>
      </c>
      <c r="Z1524" s="13">
        <v>0.0003791031</v>
      </c>
    </row>
    <row r="1525" s="2" customFormat="1" hidden="1" spans="1:26">
      <c r="A1525" s="11" t="s">
        <v>935</v>
      </c>
      <c r="B1525" s="11" t="s">
        <v>937</v>
      </c>
      <c r="C1525" s="14" t="s">
        <v>755</v>
      </c>
      <c r="D1525" s="14" t="s">
        <v>938</v>
      </c>
      <c r="E1525" s="14" t="s">
        <v>939</v>
      </c>
      <c r="F1525" s="3" t="s">
        <v>941</v>
      </c>
      <c r="G1525" s="4">
        <v>18</v>
      </c>
      <c r="H1525" s="12">
        <v>2764.2</v>
      </c>
      <c r="I1525" s="12">
        <v>462.040187</v>
      </c>
      <c r="J1525" s="13">
        <v>0.1671515038</v>
      </c>
      <c r="K1525" s="13">
        <v>0.1671515038</v>
      </c>
      <c r="L1525" s="12">
        <v>22.5833333333</v>
      </c>
      <c r="M1525" s="13">
        <v>0.1676935077</v>
      </c>
      <c r="N1525" s="13">
        <v>0.029054365</v>
      </c>
      <c r="O1525" s="13">
        <v>0.3265928659</v>
      </c>
      <c r="P1525" s="13">
        <v>0</v>
      </c>
      <c r="Q1525" s="13">
        <v>0.0157274625</v>
      </c>
      <c r="R1525" s="13">
        <v>0.1619661275</v>
      </c>
      <c r="S1525" s="13">
        <v>0</v>
      </c>
      <c r="T1525" s="13">
        <v>0.1136531365</v>
      </c>
      <c r="U1525" s="13">
        <v>0.0172933948</v>
      </c>
      <c r="V1525" s="13">
        <v>0</v>
      </c>
      <c r="W1525" s="13">
        <v>0</v>
      </c>
      <c r="X1525" s="13">
        <v>0</v>
      </c>
      <c r="Y1525" s="13">
        <v>0</v>
      </c>
      <c r="Z1525" s="13">
        <v>0.0008676358</v>
      </c>
    </row>
    <row r="1526" s="2" customFormat="1" hidden="1" spans="1:26">
      <c r="A1526" s="11" t="s">
        <v>935</v>
      </c>
      <c r="B1526" s="11" t="s">
        <v>937</v>
      </c>
      <c r="C1526" s="14" t="s">
        <v>755</v>
      </c>
      <c r="D1526" s="14" t="s">
        <v>938</v>
      </c>
      <c r="E1526" s="14" t="s">
        <v>939</v>
      </c>
      <c r="F1526" s="3" t="s">
        <v>942</v>
      </c>
      <c r="G1526" s="4">
        <v>28</v>
      </c>
      <c r="H1526" s="12">
        <v>4201.312</v>
      </c>
      <c r="I1526" s="12">
        <v>399.980716</v>
      </c>
      <c r="J1526" s="13">
        <v>0.0952037639</v>
      </c>
      <c r="K1526" s="13">
        <v>0.0952037639</v>
      </c>
      <c r="L1526" s="12">
        <v>22.0657142857</v>
      </c>
      <c r="M1526" s="13">
        <v>0.1716272738</v>
      </c>
      <c r="N1526" s="13">
        <v>0.0301079884</v>
      </c>
      <c r="O1526" s="13">
        <v>0.3457853165</v>
      </c>
      <c r="P1526" s="13">
        <v>0</v>
      </c>
      <c r="Q1526" s="13">
        <v>0.037172627</v>
      </c>
      <c r="R1526" s="13">
        <v>0.1852259212</v>
      </c>
      <c r="S1526" s="13">
        <v>0</v>
      </c>
      <c r="T1526" s="13">
        <v>0.1157095688</v>
      </c>
      <c r="U1526" s="13">
        <v>0.0176990644</v>
      </c>
      <c r="V1526" s="13">
        <v>0</v>
      </c>
      <c r="W1526" s="13">
        <v>0</v>
      </c>
      <c r="X1526" s="13">
        <v>0</v>
      </c>
      <c r="Y1526" s="13">
        <v>0</v>
      </c>
      <c r="Z1526" s="13">
        <v>0.0014684755</v>
      </c>
    </row>
    <row r="1527" s="2" customFormat="1" hidden="1" spans="1:26">
      <c r="A1527" s="11" t="s">
        <v>935</v>
      </c>
      <c r="B1527" s="11" t="s">
        <v>937</v>
      </c>
      <c r="C1527" s="14" t="s">
        <v>755</v>
      </c>
      <c r="D1527" s="14" t="s">
        <v>938</v>
      </c>
      <c r="E1527" s="14" t="s">
        <v>939</v>
      </c>
      <c r="F1527" s="3" t="s">
        <v>943</v>
      </c>
      <c r="G1527" s="4">
        <v>38</v>
      </c>
      <c r="H1527" s="12">
        <v>5885.332</v>
      </c>
      <c r="I1527" s="12">
        <v>981.646525</v>
      </c>
      <c r="J1527" s="13">
        <v>0.1667954373</v>
      </c>
      <c r="K1527" s="13">
        <v>0.1667954373</v>
      </c>
      <c r="L1527" s="12">
        <v>22.7760526315</v>
      </c>
      <c r="M1527" s="13">
        <v>0.1617972923</v>
      </c>
      <c r="N1527" s="13">
        <v>0.0246628468</v>
      </c>
      <c r="O1527" s="13">
        <v>0.3173577973</v>
      </c>
      <c r="P1527" s="13">
        <v>0.0236975586</v>
      </c>
      <c r="Q1527" s="13">
        <v>0.0248397799</v>
      </c>
      <c r="R1527" s="13">
        <v>0.1597844364</v>
      </c>
      <c r="S1527" s="13">
        <v>0</v>
      </c>
      <c r="T1527" s="13">
        <v>0.1083085881</v>
      </c>
      <c r="U1527" s="13">
        <v>0.016685348</v>
      </c>
      <c r="V1527" s="13">
        <v>-0.0040092895</v>
      </c>
      <c r="W1527" s="13">
        <v>0</v>
      </c>
      <c r="X1527" s="13">
        <v>0</v>
      </c>
      <c r="Y1527" s="13">
        <v>0</v>
      </c>
      <c r="Z1527" s="13">
        <v>8.02043e-5</v>
      </c>
    </row>
    <row r="1528" s="2" customFormat="1" spans="1:26">
      <c r="A1528" s="11" t="s">
        <v>935</v>
      </c>
      <c r="B1528" s="11" t="s">
        <v>937</v>
      </c>
      <c r="C1528" s="14" t="s">
        <v>755</v>
      </c>
      <c r="D1528" s="14" t="s">
        <v>938</v>
      </c>
      <c r="E1528" s="14" t="s">
        <v>939</v>
      </c>
      <c r="F1528" s="3" t="s">
        <v>944</v>
      </c>
      <c r="G1528" s="4">
        <v>54</v>
      </c>
      <c r="H1528" s="12">
        <v>8809.128</v>
      </c>
      <c r="I1528" s="12">
        <v>779.631682</v>
      </c>
      <c r="J1528" s="13">
        <v>0.0885027078</v>
      </c>
      <c r="K1528" s="13">
        <v>0.0885027078</v>
      </c>
      <c r="L1528" s="12">
        <v>23.99</v>
      </c>
      <c r="M1528" s="13">
        <v>0.1577280729</v>
      </c>
      <c r="N1528" s="13">
        <v>0.0640715738</v>
      </c>
      <c r="O1528" s="13">
        <v>0.3180491871</v>
      </c>
      <c r="P1528" s="13">
        <v>0</v>
      </c>
      <c r="Q1528" s="13">
        <v>0.0314540669</v>
      </c>
      <c r="R1528" s="13">
        <v>0.2142661239</v>
      </c>
      <c r="S1528" s="13">
        <v>0</v>
      </c>
      <c r="T1528" s="13">
        <v>0.1094900653</v>
      </c>
      <c r="U1528" s="13">
        <v>0.016265711</v>
      </c>
      <c r="V1528" s="13">
        <v>0</v>
      </c>
      <c r="W1528" s="13">
        <v>0</v>
      </c>
      <c r="X1528" s="13">
        <v>0</v>
      </c>
      <c r="Y1528" s="13">
        <v>0</v>
      </c>
      <c r="Z1528" s="13">
        <v>0.0001724907</v>
      </c>
    </row>
    <row r="1529" s="2" customFormat="1" hidden="1" spans="1:26">
      <c r="A1529" s="11" t="s">
        <v>935</v>
      </c>
      <c r="B1529" s="11" t="s">
        <v>937</v>
      </c>
      <c r="C1529" s="14" t="s">
        <v>755</v>
      </c>
      <c r="D1529" s="14" t="s">
        <v>938</v>
      </c>
      <c r="E1529" s="14" t="s">
        <v>939</v>
      </c>
      <c r="F1529" s="3" t="s">
        <v>945</v>
      </c>
      <c r="G1529" s="4">
        <v>4</v>
      </c>
      <c r="H1529" s="12">
        <v>652.528</v>
      </c>
      <c r="I1529" s="12">
        <v>127.309676</v>
      </c>
      <c r="J1529" s="13">
        <v>0.1951022423</v>
      </c>
      <c r="K1529" s="13">
        <v>0.1951022423</v>
      </c>
      <c r="L1529" s="12">
        <v>23.99</v>
      </c>
      <c r="M1529" s="13">
        <v>0.1577280729</v>
      </c>
      <c r="N1529" s="13">
        <v>0.0640715739</v>
      </c>
      <c r="O1529" s="13">
        <v>0.3180491871</v>
      </c>
      <c r="P1529" s="13">
        <v>0</v>
      </c>
      <c r="Q1529" s="13">
        <v>0.000763204</v>
      </c>
      <c r="R1529" s="13">
        <v>0.1400583576</v>
      </c>
      <c r="S1529" s="13">
        <v>0</v>
      </c>
      <c r="T1529" s="13">
        <v>0.1079616506</v>
      </c>
      <c r="U1529" s="13">
        <v>0.0162657112</v>
      </c>
      <c r="V1529" s="13">
        <v>0</v>
      </c>
      <c r="W1529" s="13">
        <v>0</v>
      </c>
      <c r="X1529" s="13">
        <v>0</v>
      </c>
      <c r="Y1529" s="13">
        <v>0</v>
      </c>
      <c r="Z1529" s="13">
        <v>0</v>
      </c>
    </row>
    <row r="1530" s="2" customFormat="1" hidden="1" spans="1:26">
      <c r="A1530" s="11" t="s">
        <v>935</v>
      </c>
      <c r="B1530" s="11" t="s">
        <v>937</v>
      </c>
      <c r="C1530" s="14" t="s">
        <v>760</v>
      </c>
      <c r="D1530" s="14" t="s">
        <v>938</v>
      </c>
      <c r="E1530" s="14" t="s">
        <v>939</v>
      </c>
      <c r="F1530" s="3" t="s">
        <v>936</v>
      </c>
      <c r="G1530" s="4">
        <v>156</v>
      </c>
      <c r="H1530" s="12">
        <v>25299.604</v>
      </c>
      <c r="I1530" s="12">
        <v>2455.317498</v>
      </c>
      <c r="J1530" s="13">
        <v>0.0970496414</v>
      </c>
      <c r="K1530" s="13">
        <v>0.0970496414</v>
      </c>
      <c r="L1530" s="12">
        <v>23.849551282</v>
      </c>
      <c r="M1530" s="13">
        <v>0.1533995234</v>
      </c>
      <c r="N1530" s="13">
        <v>0.0744666531</v>
      </c>
      <c r="O1530" s="13">
        <v>0.3105794066</v>
      </c>
      <c r="P1530" s="13">
        <v>0.0257920242</v>
      </c>
      <c r="Q1530" s="13">
        <v>0.0147489346</v>
      </c>
      <c r="R1530" s="13">
        <v>0.2047029159</v>
      </c>
      <c r="S1530" s="13">
        <v>0</v>
      </c>
      <c r="T1530" s="13">
        <v>0.1060279046</v>
      </c>
      <c r="U1530" s="13">
        <v>0.0158193269</v>
      </c>
      <c r="V1530" s="13">
        <v>0.000177394</v>
      </c>
      <c r="W1530" s="13">
        <v>-0.0029520001</v>
      </c>
      <c r="X1530" s="13">
        <v>0</v>
      </c>
      <c r="Y1530" s="13">
        <v>0</v>
      </c>
      <c r="Z1530" s="13">
        <v>0.0001882748</v>
      </c>
    </row>
    <row r="1531" s="2" customFormat="1" hidden="1" spans="1:26">
      <c r="A1531" s="11" t="s">
        <v>935</v>
      </c>
      <c r="B1531" s="11" t="s">
        <v>937</v>
      </c>
      <c r="C1531" s="14" t="s">
        <v>760</v>
      </c>
      <c r="D1531" s="14" t="s">
        <v>938</v>
      </c>
      <c r="E1531" s="14" t="s">
        <v>939</v>
      </c>
      <c r="F1531" s="3" t="s">
        <v>942</v>
      </c>
      <c r="G1531" s="4">
        <v>5</v>
      </c>
      <c r="H1531" s="12">
        <v>815.66</v>
      </c>
      <c r="I1531" s="12">
        <v>-144.423929</v>
      </c>
      <c r="J1531" s="13">
        <v>-0.1770638856</v>
      </c>
      <c r="K1531" s="13">
        <v>-0.1770638856</v>
      </c>
      <c r="L1531" s="12">
        <v>23.99</v>
      </c>
      <c r="M1531" s="13">
        <v>0.1534853308</v>
      </c>
      <c r="N1531" s="13">
        <v>0.0427680712</v>
      </c>
      <c r="O1531" s="13">
        <v>0.3042934556</v>
      </c>
      <c r="P1531" s="13">
        <v>0</v>
      </c>
      <c r="Q1531" s="13">
        <v>0.0060198992</v>
      </c>
      <c r="R1531" s="13">
        <v>0.5819207831</v>
      </c>
      <c r="S1531" s="13">
        <v>0</v>
      </c>
      <c r="T1531" s="13">
        <v>0.0712796998</v>
      </c>
      <c r="U1531" s="13">
        <v>0.0158281759</v>
      </c>
      <c r="V1531" s="13">
        <v>0</v>
      </c>
      <c r="W1531" s="13">
        <v>0</v>
      </c>
      <c r="X1531" s="13">
        <v>0</v>
      </c>
      <c r="Y1531" s="13">
        <v>0</v>
      </c>
      <c r="Z1531" s="13">
        <v>0.0014684697</v>
      </c>
    </row>
    <row r="1532" s="2" customFormat="1" hidden="1" spans="1:26">
      <c r="A1532" s="11" t="s">
        <v>935</v>
      </c>
      <c r="B1532" s="11" t="s">
        <v>937</v>
      </c>
      <c r="C1532" s="14" t="s">
        <v>760</v>
      </c>
      <c r="D1532" s="14" t="s">
        <v>938</v>
      </c>
      <c r="E1532" s="14" t="s">
        <v>939</v>
      </c>
      <c r="F1532" s="3" t="s">
        <v>943</v>
      </c>
      <c r="G1532" s="4">
        <v>25</v>
      </c>
      <c r="H1532" s="12">
        <v>4078.3</v>
      </c>
      <c r="I1532" s="12">
        <v>332.724036</v>
      </c>
      <c r="J1532" s="13">
        <v>0.0815840021</v>
      </c>
      <c r="K1532" s="13">
        <v>0.0815840021</v>
      </c>
      <c r="L1532" s="12">
        <v>23.99</v>
      </c>
      <c r="M1532" s="13">
        <v>0.1534853308</v>
      </c>
      <c r="N1532" s="13">
        <v>0.0752071635</v>
      </c>
      <c r="O1532" s="13">
        <v>0.3109629012</v>
      </c>
      <c r="P1532" s="13">
        <v>0.04</v>
      </c>
      <c r="Q1532" s="13">
        <v>0.0163760071</v>
      </c>
      <c r="R1532" s="13">
        <v>0.2086960269</v>
      </c>
      <c r="S1532" s="13">
        <v>0</v>
      </c>
      <c r="T1532" s="13">
        <v>0.1069278866</v>
      </c>
      <c r="U1532" s="13">
        <v>0.0158281759</v>
      </c>
      <c r="V1532" s="13">
        <v>0</v>
      </c>
      <c r="W1532" s="13">
        <v>-0.0091476997</v>
      </c>
      <c r="X1532" s="13">
        <v>0</v>
      </c>
      <c r="Y1532" s="13">
        <v>0</v>
      </c>
      <c r="Z1532" s="13">
        <v>8.02052e-5</v>
      </c>
    </row>
    <row r="1533" s="2" customFormat="1" spans="1:26">
      <c r="A1533" s="11" t="s">
        <v>935</v>
      </c>
      <c r="B1533" s="11" t="s">
        <v>937</v>
      </c>
      <c r="C1533" s="14" t="s">
        <v>760</v>
      </c>
      <c r="D1533" s="14" t="s">
        <v>938</v>
      </c>
      <c r="E1533" s="14" t="s">
        <v>939</v>
      </c>
      <c r="F1533" s="3" t="s">
        <v>944</v>
      </c>
      <c r="G1533" s="4">
        <v>116</v>
      </c>
      <c r="H1533" s="12">
        <v>18774.324</v>
      </c>
      <c r="I1533" s="12">
        <v>1975.77557</v>
      </c>
      <c r="J1533" s="13">
        <v>0.1052381736</v>
      </c>
      <c r="K1533" s="13">
        <v>0.1052381736</v>
      </c>
      <c r="L1533" s="12">
        <v>23.8011206896</v>
      </c>
      <c r="M1533" s="13">
        <v>0.1533696998</v>
      </c>
      <c r="N1533" s="13">
        <v>0.0755811625</v>
      </c>
      <c r="O1533" s="13">
        <v>0.3107358752</v>
      </c>
      <c r="P1533" s="13">
        <v>0.0260673034</v>
      </c>
      <c r="Q1533" s="13">
        <v>0.0159899619</v>
      </c>
      <c r="R1533" s="13">
        <v>0.1896594626</v>
      </c>
      <c r="S1533" s="13">
        <v>0</v>
      </c>
      <c r="T1533" s="13">
        <v>0.1071305683</v>
      </c>
      <c r="U1533" s="13">
        <v>0.0158162513</v>
      </c>
      <c r="V1533" s="13">
        <v>0.0002390498</v>
      </c>
      <c r="W1533" s="13">
        <v>0</v>
      </c>
      <c r="X1533" s="13">
        <v>0</v>
      </c>
      <c r="Y1533" s="13">
        <v>0</v>
      </c>
      <c r="Z1533" s="13">
        <v>0.0001724911</v>
      </c>
    </row>
    <row r="1534" s="2" customFormat="1" hidden="1" spans="1:26">
      <c r="A1534" s="11" t="s">
        <v>935</v>
      </c>
      <c r="B1534" s="11" t="s">
        <v>937</v>
      </c>
      <c r="C1534" s="14" t="s">
        <v>760</v>
      </c>
      <c r="D1534" s="14" t="s">
        <v>938</v>
      </c>
      <c r="E1534" s="14" t="s">
        <v>939</v>
      </c>
      <c r="F1534" s="3" t="s">
        <v>945</v>
      </c>
      <c r="G1534" s="4">
        <v>10</v>
      </c>
      <c r="H1534" s="12">
        <v>1631.32</v>
      </c>
      <c r="I1534" s="12">
        <v>291.241821</v>
      </c>
      <c r="J1534" s="13">
        <v>0.1785313862</v>
      </c>
      <c r="K1534" s="13">
        <v>0.1785313862</v>
      </c>
      <c r="L1534" s="12">
        <v>23.99</v>
      </c>
      <c r="M1534" s="13">
        <v>0.1534853308</v>
      </c>
      <c r="N1534" s="13">
        <v>0.0756381464</v>
      </c>
      <c r="O1534" s="13">
        <v>0.3109629012</v>
      </c>
      <c r="P1534" s="13">
        <v>0</v>
      </c>
      <c r="Q1534" s="13">
        <v>0.0007631972</v>
      </c>
      <c r="R1534" s="13">
        <v>0.1792413504</v>
      </c>
      <c r="S1534" s="13">
        <v>0</v>
      </c>
      <c r="T1534" s="13">
        <v>0.1084618591</v>
      </c>
      <c r="U1534" s="13">
        <v>0.0158281759</v>
      </c>
      <c r="V1534" s="13">
        <v>0</v>
      </c>
      <c r="W1534" s="13">
        <v>-0.0229123476</v>
      </c>
      <c r="X1534" s="13">
        <v>0</v>
      </c>
      <c r="Y1534" s="13">
        <v>0</v>
      </c>
      <c r="Z1534" s="13">
        <v>0</v>
      </c>
    </row>
    <row r="1535" s="2" customFormat="1" hidden="1" spans="1:26">
      <c r="A1535" s="11" t="s">
        <v>935</v>
      </c>
      <c r="B1535" s="11" t="s">
        <v>937</v>
      </c>
      <c r="C1535" s="14" t="s">
        <v>765</v>
      </c>
      <c r="D1535" s="14" t="s">
        <v>938</v>
      </c>
      <c r="E1535" s="14" t="s">
        <v>939</v>
      </c>
      <c r="F1535" s="3" t="s">
        <v>936</v>
      </c>
      <c r="G1535" s="4">
        <v>219</v>
      </c>
      <c r="H1535" s="12">
        <v>35848.24</v>
      </c>
      <c r="I1535" s="12">
        <v>4640.326501</v>
      </c>
      <c r="J1535" s="13">
        <v>0.1294436351</v>
      </c>
      <c r="K1535" s="13">
        <v>0.1294436351</v>
      </c>
      <c r="L1535" s="12">
        <v>24.0721461187</v>
      </c>
      <c r="M1535" s="13">
        <v>0.1419868931</v>
      </c>
      <c r="N1535" s="13">
        <v>0.0810786117</v>
      </c>
      <c r="O1535" s="13">
        <v>0.3204844645</v>
      </c>
      <c r="P1535" s="13">
        <v>0.0280625213</v>
      </c>
      <c r="Q1535" s="13">
        <v>0.0137488615</v>
      </c>
      <c r="R1535" s="13">
        <v>0.1710564678</v>
      </c>
      <c r="S1535" s="13">
        <v>0</v>
      </c>
      <c r="T1535" s="13">
        <v>0.1096399711</v>
      </c>
      <c r="U1535" s="13">
        <v>0.0146424009</v>
      </c>
      <c r="V1535" s="13">
        <v>-0.0093023255</v>
      </c>
      <c r="W1535" s="13">
        <v>-0.0010698069</v>
      </c>
      <c r="X1535" s="13">
        <v>0</v>
      </c>
      <c r="Y1535" s="13">
        <v>0</v>
      </c>
      <c r="Z1535" s="13">
        <v>0.0002283049</v>
      </c>
    </row>
    <row r="1536" s="2" customFormat="1" hidden="1" spans="1:26">
      <c r="A1536" s="11" t="s">
        <v>935</v>
      </c>
      <c r="B1536" s="11" t="s">
        <v>937</v>
      </c>
      <c r="C1536" s="14" t="s">
        <v>765</v>
      </c>
      <c r="D1536" s="14" t="s">
        <v>938</v>
      </c>
      <c r="E1536" s="14" t="s">
        <v>939</v>
      </c>
      <c r="F1536" s="3" t="s">
        <v>942</v>
      </c>
      <c r="G1536" s="4">
        <v>17</v>
      </c>
      <c r="H1536" s="12">
        <v>2771.884</v>
      </c>
      <c r="I1536" s="12">
        <v>194.442202</v>
      </c>
      <c r="J1536" s="13">
        <v>0.07014803</v>
      </c>
      <c r="K1536" s="13">
        <v>0.07014803</v>
      </c>
      <c r="L1536" s="12">
        <v>23.9782352941</v>
      </c>
      <c r="M1536" s="13">
        <v>0.1434477283</v>
      </c>
      <c r="N1536" s="13">
        <v>0.0535625996</v>
      </c>
      <c r="O1536" s="13">
        <v>0.3148688761</v>
      </c>
      <c r="P1536" s="13">
        <v>0</v>
      </c>
      <c r="Q1536" s="13">
        <v>0.0060199012</v>
      </c>
      <c r="R1536" s="13">
        <v>0.2989614626</v>
      </c>
      <c r="S1536" s="13">
        <v>0</v>
      </c>
      <c r="T1536" s="13">
        <v>0.0967298775</v>
      </c>
      <c r="U1536" s="13">
        <v>0.0147930476</v>
      </c>
      <c r="V1536" s="13">
        <v>0</v>
      </c>
      <c r="W1536" s="13">
        <v>0</v>
      </c>
      <c r="X1536" s="13">
        <v>0</v>
      </c>
      <c r="Y1536" s="13">
        <v>0</v>
      </c>
      <c r="Z1536" s="13">
        <v>0.0014684766</v>
      </c>
    </row>
    <row r="1537" s="2" customFormat="1" hidden="1" spans="1:26">
      <c r="A1537" s="11" t="s">
        <v>935</v>
      </c>
      <c r="B1537" s="11" t="s">
        <v>937</v>
      </c>
      <c r="C1537" s="14" t="s">
        <v>765</v>
      </c>
      <c r="D1537" s="14" t="s">
        <v>938</v>
      </c>
      <c r="E1537" s="14" t="s">
        <v>939</v>
      </c>
      <c r="F1537" s="3" t="s">
        <v>943</v>
      </c>
      <c r="G1537" s="4">
        <v>92</v>
      </c>
      <c r="H1537" s="12">
        <v>14386.556</v>
      </c>
      <c r="I1537" s="12">
        <v>2274.450006</v>
      </c>
      <c r="J1537" s="13">
        <v>0.1580955168</v>
      </c>
      <c r="K1537" s="13">
        <v>0.1580955168</v>
      </c>
      <c r="L1537" s="12">
        <v>22.9964130434</v>
      </c>
      <c r="M1537" s="13">
        <v>0.1466598795</v>
      </c>
      <c r="N1537" s="13">
        <v>0.0932559523</v>
      </c>
      <c r="O1537" s="13">
        <v>0.3282080853</v>
      </c>
      <c r="P1537" s="13">
        <v>0.022678395</v>
      </c>
      <c r="Q1537" s="13">
        <v>0.0096046292</v>
      </c>
      <c r="R1537" s="13">
        <v>0.1148530701</v>
      </c>
      <c r="S1537" s="13">
        <v>0</v>
      </c>
      <c r="T1537" s="13">
        <v>0.1134628746</v>
      </c>
      <c r="U1537" s="13">
        <v>0.0151243014</v>
      </c>
      <c r="V1537" s="13">
        <v>0.0006428223</v>
      </c>
      <c r="W1537" s="13">
        <v>-0.0026657314</v>
      </c>
      <c r="X1537" s="13">
        <v>0</v>
      </c>
      <c r="Y1537" s="13">
        <v>0</v>
      </c>
      <c r="Z1537" s="13">
        <v>8.02043e-5</v>
      </c>
    </row>
    <row r="1538" s="2" customFormat="1" spans="1:26">
      <c r="A1538" s="11" t="s">
        <v>935</v>
      </c>
      <c r="B1538" s="11" t="s">
        <v>937</v>
      </c>
      <c r="C1538" s="14" t="s">
        <v>765</v>
      </c>
      <c r="D1538" s="14" t="s">
        <v>938</v>
      </c>
      <c r="E1538" s="14" t="s">
        <v>939</v>
      </c>
      <c r="F1538" s="3" t="s">
        <v>944</v>
      </c>
      <c r="G1538" s="4">
        <v>101</v>
      </c>
      <c r="H1538" s="12">
        <v>17160.412</v>
      </c>
      <c r="I1538" s="12">
        <v>1832.185689</v>
      </c>
      <c r="J1538" s="13">
        <v>0.1067681643</v>
      </c>
      <c r="K1538" s="13">
        <v>0.1067681643</v>
      </c>
      <c r="L1538" s="12">
        <v>24.9860396039</v>
      </c>
      <c r="M1538" s="13">
        <v>0.1381749767</v>
      </c>
      <c r="N1538" s="13">
        <v>0.0757869323</v>
      </c>
      <c r="O1538" s="13">
        <v>0.315376111</v>
      </c>
      <c r="P1538" s="13">
        <v>0.0396102377</v>
      </c>
      <c r="Q1538" s="13">
        <v>0.0196289727</v>
      </c>
      <c r="R1538" s="13">
        <v>0.2024927309</v>
      </c>
      <c r="S1538" s="13">
        <v>0</v>
      </c>
      <c r="T1538" s="13">
        <v>0.107711633</v>
      </c>
      <c r="U1538" s="13">
        <v>0.0142492982</v>
      </c>
      <c r="V1538" s="13">
        <v>-0.0199715484</v>
      </c>
      <c r="W1538" s="13">
        <v>0</v>
      </c>
      <c r="X1538" s="13">
        <v>0</v>
      </c>
      <c r="Y1538" s="13">
        <v>0</v>
      </c>
      <c r="Z1538" s="13">
        <v>0.0001724911</v>
      </c>
    </row>
    <row r="1539" s="2" customFormat="1" hidden="1" spans="1:26">
      <c r="A1539" s="11" t="s">
        <v>935</v>
      </c>
      <c r="B1539" s="11" t="s">
        <v>937</v>
      </c>
      <c r="C1539" s="14" t="s">
        <v>765</v>
      </c>
      <c r="D1539" s="14" t="s">
        <v>938</v>
      </c>
      <c r="E1539" s="14" t="s">
        <v>939</v>
      </c>
      <c r="F1539" s="3" t="s">
        <v>945</v>
      </c>
      <c r="G1539" s="4">
        <v>9</v>
      </c>
      <c r="H1539" s="12">
        <v>1529.388</v>
      </c>
      <c r="I1539" s="12">
        <v>339.248604</v>
      </c>
      <c r="J1539" s="13">
        <v>0.2218198416</v>
      </c>
      <c r="K1539" s="13">
        <v>0.2218198416</v>
      </c>
      <c r="L1539" s="12">
        <v>24.99</v>
      </c>
      <c r="M1539" s="13">
        <v>0.1381530788</v>
      </c>
      <c r="N1539" s="13">
        <v>0.0757749217</v>
      </c>
      <c r="O1539" s="13">
        <v>0.3153261304</v>
      </c>
      <c r="P1539" s="13">
        <v>0</v>
      </c>
      <c r="Q1539" s="13">
        <v>0.0007631987</v>
      </c>
      <c r="R1539" s="13">
        <v>0.1152016361</v>
      </c>
      <c r="S1539" s="13">
        <v>0</v>
      </c>
      <c r="T1539" s="13">
        <v>0.1187141523</v>
      </c>
      <c r="U1539" s="13">
        <v>0.0142470399</v>
      </c>
      <c r="V1539" s="13">
        <v>0</v>
      </c>
      <c r="W1539" s="13">
        <v>0</v>
      </c>
      <c r="X1539" s="13">
        <v>0</v>
      </c>
      <c r="Y1539" s="13">
        <v>0</v>
      </c>
      <c r="Z1539" s="13">
        <v>0</v>
      </c>
    </row>
    <row r="1540" s="2" customFormat="1" hidden="1" spans="1:26">
      <c r="A1540" s="11" t="s">
        <v>935</v>
      </c>
      <c r="B1540" s="11" t="s">
        <v>937</v>
      </c>
      <c r="C1540" s="14" t="s">
        <v>770</v>
      </c>
      <c r="D1540" s="14" t="s">
        <v>938</v>
      </c>
      <c r="E1540" s="14" t="s">
        <v>939</v>
      </c>
      <c r="F1540" s="3" t="s">
        <v>936</v>
      </c>
      <c r="G1540" s="4">
        <v>112</v>
      </c>
      <c r="H1540" s="12">
        <v>16815.584</v>
      </c>
      <c r="I1540" s="12">
        <v>394.673501</v>
      </c>
      <c r="J1540" s="13">
        <v>0.0234706984</v>
      </c>
      <c r="K1540" s="13">
        <v>0.0234706984</v>
      </c>
      <c r="L1540" s="12">
        <v>22.0792857142</v>
      </c>
      <c r="M1540" s="13">
        <v>0.1415283057</v>
      </c>
      <c r="N1540" s="13">
        <v>0.0427697747</v>
      </c>
      <c r="O1540" s="13">
        <v>0.3128902332</v>
      </c>
      <c r="P1540" s="13">
        <v>0.0709011355</v>
      </c>
      <c r="Q1540" s="13">
        <v>0.0292093549</v>
      </c>
      <c r="R1540" s="13">
        <v>0.2622112463</v>
      </c>
      <c r="S1540" s="13">
        <v>0</v>
      </c>
      <c r="T1540" s="13">
        <v>0.1039880625</v>
      </c>
      <c r="U1540" s="13">
        <v>0.0145951083</v>
      </c>
      <c r="V1540" s="13">
        <v>-0.002110899</v>
      </c>
      <c r="W1540" s="13">
        <v>0</v>
      </c>
      <c r="X1540" s="13">
        <v>0</v>
      </c>
      <c r="Y1540" s="13">
        <v>0</v>
      </c>
      <c r="Z1540" s="13">
        <v>0.0005469792</v>
      </c>
    </row>
    <row r="1541" s="2" customFormat="1" hidden="1" spans="1:26">
      <c r="A1541" s="11" t="s">
        <v>935</v>
      </c>
      <c r="B1541" s="11" t="s">
        <v>937</v>
      </c>
      <c r="C1541" s="14" t="s">
        <v>770</v>
      </c>
      <c r="D1541" s="14" t="s">
        <v>938</v>
      </c>
      <c r="E1541" s="14" t="s">
        <v>939</v>
      </c>
      <c r="F1541" s="3" t="s">
        <v>940</v>
      </c>
      <c r="G1541" s="4">
        <v>0</v>
      </c>
      <c r="H1541" s="12">
        <v>0</v>
      </c>
      <c r="I1541" s="12">
        <v>-7.14</v>
      </c>
      <c r="J1541" s="13"/>
      <c r="K1541" s="13"/>
      <c r="L1541" s="12"/>
      <c r="M1541" s="13"/>
      <c r="N1541" s="13"/>
      <c r="O1541" s="13"/>
      <c r="P1541" s="13"/>
      <c r="Q1541" s="13"/>
      <c r="R1541" s="13"/>
      <c r="S1541" s="13"/>
      <c r="T1541" s="13"/>
      <c r="U1541" s="13"/>
      <c r="V1541" s="13"/>
      <c r="W1541" s="13"/>
      <c r="X1541" s="13"/>
      <c r="Y1541" s="13"/>
      <c r="Z1541" s="13"/>
    </row>
    <row r="1542" s="2" customFormat="1" hidden="1" spans="1:26">
      <c r="A1542" s="11" t="s">
        <v>935</v>
      </c>
      <c r="B1542" s="11" t="s">
        <v>937</v>
      </c>
      <c r="C1542" s="14" t="s">
        <v>770</v>
      </c>
      <c r="D1542" s="14" t="s">
        <v>938</v>
      </c>
      <c r="E1542" s="14" t="s">
        <v>939</v>
      </c>
      <c r="F1542" s="3" t="s">
        <v>941</v>
      </c>
      <c r="G1542" s="4">
        <v>9</v>
      </c>
      <c r="H1542" s="12">
        <v>1321.512</v>
      </c>
      <c r="I1542" s="12">
        <v>-454.038921</v>
      </c>
      <c r="J1542" s="13">
        <v>-0.3435753296</v>
      </c>
      <c r="K1542" s="13">
        <v>-0.3435753296</v>
      </c>
      <c r="L1542" s="12">
        <v>21.5933333333</v>
      </c>
      <c r="M1542" s="13">
        <v>0.1532743153</v>
      </c>
      <c r="N1542" s="13">
        <v>0.0306949721</v>
      </c>
      <c r="O1542" s="13">
        <v>0.2978285479</v>
      </c>
      <c r="P1542" s="13">
        <v>0.2184316146</v>
      </c>
      <c r="Q1542" s="13">
        <v>0.0110336606</v>
      </c>
      <c r="R1542" s="13">
        <v>0.5336684138</v>
      </c>
      <c r="S1542" s="13">
        <v>0</v>
      </c>
      <c r="T1542" s="13">
        <v>0.0819697437</v>
      </c>
      <c r="U1542" s="13">
        <v>0.0158064171</v>
      </c>
      <c r="V1542" s="13">
        <v>0</v>
      </c>
      <c r="W1542" s="13">
        <v>0</v>
      </c>
      <c r="X1542" s="13">
        <v>0</v>
      </c>
      <c r="Y1542" s="13">
        <v>0</v>
      </c>
      <c r="Z1542" s="13">
        <v>0.000867644</v>
      </c>
    </row>
    <row r="1543" s="2" customFormat="1" hidden="1" spans="1:26">
      <c r="A1543" s="11" t="s">
        <v>935</v>
      </c>
      <c r="B1543" s="11" t="s">
        <v>937</v>
      </c>
      <c r="C1543" s="14" t="s">
        <v>770</v>
      </c>
      <c r="D1543" s="14" t="s">
        <v>938</v>
      </c>
      <c r="E1543" s="14" t="s">
        <v>939</v>
      </c>
      <c r="F1543" s="3" t="s">
        <v>942</v>
      </c>
      <c r="G1543" s="4">
        <v>34</v>
      </c>
      <c r="H1543" s="12">
        <v>4530.5</v>
      </c>
      <c r="I1543" s="12">
        <v>-61.22557</v>
      </c>
      <c r="J1543" s="13">
        <v>-0.0135140867</v>
      </c>
      <c r="K1543" s="13">
        <v>-0.0135140867</v>
      </c>
      <c r="L1543" s="12">
        <v>19.5955882352</v>
      </c>
      <c r="M1543" s="13">
        <v>0.1490297958</v>
      </c>
      <c r="N1543" s="13">
        <v>0.0337631607</v>
      </c>
      <c r="O1543" s="13">
        <v>0.3323076923</v>
      </c>
      <c r="P1543" s="13">
        <v>0.0914221388</v>
      </c>
      <c r="Q1543" s="13">
        <v>0.0272122472</v>
      </c>
      <c r="R1543" s="13">
        <v>0.2538386868</v>
      </c>
      <c r="S1543" s="13">
        <v>0</v>
      </c>
      <c r="T1543" s="13">
        <v>0.1058011257</v>
      </c>
      <c r="U1543" s="13">
        <v>0.015368701</v>
      </c>
      <c r="V1543" s="13">
        <v>0.0033020637</v>
      </c>
      <c r="W1543" s="13">
        <v>0</v>
      </c>
      <c r="X1543" s="13">
        <v>0</v>
      </c>
      <c r="Y1543" s="13">
        <v>0</v>
      </c>
      <c r="Z1543" s="13">
        <v>0.0014684743</v>
      </c>
    </row>
    <row r="1544" s="2" customFormat="1" hidden="1" spans="1:26">
      <c r="A1544" s="11" t="s">
        <v>935</v>
      </c>
      <c r="B1544" s="11" t="s">
        <v>937</v>
      </c>
      <c r="C1544" s="14" t="s">
        <v>770</v>
      </c>
      <c r="D1544" s="14" t="s">
        <v>938</v>
      </c>
      <c r="E1544" s="14" t="s">
        <v>939</v>
      </c>
      <c r="F1544" s="3" t="s">
        <v>943</v>
      </c>
      <c r="G1544" s="4">
        <v>29</v>
      </c>
      <c r="H1544" s="12">
        <v>4730.828</v>
      </c>
      <c r="I1544" s="12">
        <v>705.985086</v>
      </c>
      <c r="J1544" s="13">
        <v>0.1492307659</v>
      </c>
      <c r="K1544" s="13">
        <v>0.1492307659</v>
      </c>
      <c r="L1544" s="12">
        <v>23.99</v>
      </c>
      <c r="M1544" s="13">
        <v>0.137623354</v>
      </c>
      <c r="N1544" s="13">
        <v>0.0312556702</v>
      </c>
      <c r="O1544" s="13">
        <v>0.3076281784</v>
      </c>
      <c r="P1544" s="13">
        <v>0.0344827586</v>
      </c>
      <c r="Q1544" s="13">
        <v>0.0266581279</v>
      </c>
      <c r="R1544" s="13">
        <v>0.1914330856</v>
      </c>
      <c r="S1544" s="13">
        <v>0</v>
      </c>
      <c r="T1544" s="13">
        <v>0.107415446</v>
      </c>
      <c r="U1544" s="13">
        <v>0.0141924086</v>
      </c>
      <c r="V1544" s="13">
        <v>0</v>
      </c>
      <c r="W1544" s="13">
        <v>0</v>
      </c>
      <c r="X1544" s="13">
        <v>0</v>
      </c>
      <c r="Y1544" s="13">
        <v>0</v>
      </c>
      <c r="Z1544" s="13">
        <v>8.02043e-5</v>
      </c>
    </row>
    <row r="1545" s="2" customFormat="1" spans="1:26">
      <c r="A1545" s="11" t="s">
        <v>935</v>
      </c>
      <c r="B1545" s="11" t="s">
        <v>937</v>
      </c>
      <c r="C1545" s="14" t="s">
        <v>770</v>
      </c>
      <c r="D1545" s="14" t="s">
        <v>938</v>
      </c>
      <c r="E1545" s="14" t="s">
        <v>939</v>
      </c>
      <c r="F1545" s="3" t="s">
        <v>944</v>
      </c>
      <c r="G1545" s="4">
        <v>38</v>
      </c>
      <c r="H1545" s="12">
        <v>5906.48</v>
      </c>
      <c r="I1545" s="12">
        <v>174.899186</v>
      </c>
      <c r="J1545" s="13">
        <v>0.0296114074</v>
      </c>
      <c r="K1545" s="13">
        <v>0.0296114074</v>
      </c>
      <c r="L1545" s="12">
        <v>22.8578947368</v>
      </c>
      <c r="M1545" s="13">
        <v>0.136508025</v>
      </c>
      <c r="N1545" s="13">
        <v>0.0605980638</v>
      </c>
      <c r="O1545" s="13">
        <v>0.3058715173</v>
      </c>
      <c r="P1545" s="13">
        <v>0.0552383145</v>
      </c>
      <c r="Q1545" s="13">
        <v>0.0384225697</v>
      </c>
      <c r="R1545" s="13">
        <v>0.2635527171</v>
      </c>
      <c r="S1545" s="13">
        <v>0</v>
      </c>
      <c r="T1545" s="13">
        <v>0.1044899838</v>
      </c>
      <c r="U1545" s="13">
        <v>0.0140773916</v>
      </c>
      <c r="V1545" s="13">
        <v>-0.0085424821</v>
      </c>
      <c r="W1545" s="13">
        <v>0</v>
      </c>
      <c r="X1545" s="13">
        <v>0</v>
      </c>
      <c r="Y1545" s="13">
        <v>0</v>
      </c>
      <c r="Z1545" s="13">
        <v>0.0001724913</v>
      </c>
    </row>
    <row r="1546" s="2" customFormat="1" hidden="1" spans="1:26">
      <c r="A1546" s="11" t="s">
        <v>935</v>
      </c>
      <c r="B1546" s="11" t="s">
        <v>937</v>
      </c>
      <c r="C1546" s="14" t="s">
        <v>770</v>
      </c>
      <c r="D1546" s="14" t="s">
        <v>938</v>
      </c>
      <c r="E1546" s="14" t="s">
        <v>939</v>
      </c>
      <c r="F1546" s="3" t="s">
        <v>945</v>
      </c>
      <c r="G1546" s="4">
        <v>2</v>
      </c>
      <c r="H1546" s="12">
        <v>326.264</v>
      </c>
      <c r="I1546" s="12">
        <v>36.19372</v>
      </c>
      <c r="J1546" s="13">
        <v>0.1109338449</v>
      </c>
      <c r="K1546" s="13">
        <v>0.1109338449</v>
      </c>
      <c r="L1546" s="12">
        <v>23.99</v>
      </c>
      <c r="M1546" s="13">
        <v>0.1372920089</v>
      </c>
      <c r="N1546" s="13">
        <v>0.0609460866</v>
      </c>
      <c r="O1546" s="13">
        <v>0.3076281784</v>
      </c>
      <c r="P1546" s="13">
        <v>0</v>
      </c>
      <c r="Q1546" s="13">
        <v>0.0007631917</v>
      </c>
      <c r="R1546" s="13">
        <v>0.2590662775</v>
      </c>
      <c r="S1546" s="13">
        <v>0</v>
      </c>
      <c r="T1546" s="13">
        <v>0.1092121717</v>
      </c>
      <c r="U1546" s="13">
        <v>0.0141582399</v>
      </c>
      <c r="V1546" s="13">
        <v>0</v>
      </c>
      <c r="W1546" s="13">
        <v>0</v>
      </c>
      <c r="X1546" s="13">
        <v>0</v>
      </c>
      <c r="Y1546" s="13">
        <v>0</v>
      </c>
      <c r="Z1546" s="13">
        <v>0</v>
      </c>
    </row>
    <row r="1547" s="2" customFormat="1" hidden="1" spans="1:26">
      <c r="A1547" s="11" t="s">
        <v>935</v>
      </c>
      <c r="B1547" s="11" t="s">
        <v>937</v>
      </c>
      <c r="C1547" s="14" t="s">
        <v>775</v>
      </c>
      <c r="D1547" s="14" t="s">
        <v>938</v>
      </c>
      <c r="E1547" s="14" t="s">
        <v>939</v>
      </c>
      <c r="F1547" s="3" t="s">
        <v>936</v>
      </c>
      <c r="G1547" s="4">
        <v>41</v>
      </c>
      <c r="H1547" s="12">
        <v>6543.708</v>
      </c>
      <c r="I1547" s="12">
        <v>813.267884</v>
      </c>
      <c r="J1547" s="13">
        <v>0.1242824227</v>
      </c>
      <c r="K1547" s="13">
        <v>0.1242824227</v>
      </c>
      <c r="L1547" s="12">
        <v>23.4709756097</v>
      </c>
      <c r="M1547" s="13">
        <v>0.1475759749</v>
      </c>
      <c r="N1547" s="13">
        <v>0.0945853965</v>
      </c>
      <c r="O1547" s="13">
        <v>0.3098585694</v>
      </c>
      <c r="P1547" s="13">
        <v>0.0213132982</v>
      </c>
      <c r="Q1547" s="13">
        <v>0.0392550281</v>
      </c>
      <c r="R1547" s="13">
        <v>0.1467307576</v>
      </c>
      <c r="S1547" s="13">
        <v>0</v>
      </c>
      <c r="T1547" s="13">
        <v>0.1068782408</v>
      </c>
      <c r="U1547" s="13">
        <v>0.0152187745</v>
      </c>
      <c r="V1547" s="13">
        <v>0</v>
      </c>
      <c r="W1547" s="13">
        <v>-0.0059670503</v>
      </c>
      <c r="X1547" s="13">
        <v>0</v>
      </c>
      <c r="Y1547" s="13">
        <v>0</v>
      </c>
      <c r="Z1547" s="13">
        <v>0.000268587</v>
      </c>
    </row>
    <row r="1548" s="2" customFormat="1" hidden="1" spans="1:26">
      <c r="A1548" s="11" t="s">
        <v>935</v>
      </c>
      <c r="B1548" s="11" t="s">
        <v>937</v>
      </c>
      <c r="C1548" s="14" t="s">
        <v>775</v>
      </c>
      <c r="D1548" s="14" t="s">
        <v>938</v>
      </c>
      <c r="E1548" s="14" t="s">
        <v>939</v>
      </c>
      <c r="F1548" s="3" t="s">
        <v>942</v>
      </c>
      <c r="G1548" s="4">
        <v>4</v>
      </c>
      <c r="H1548" s="12">
        <v>652.528</v>
      </c>
      <c r="I1548" s="12">
        <v>32.933977</v>
      </c>
      <c r="J1548" s="13">
        <v>0.0504713621</v>
      </c>
      <c r="K1548" s="13">
        <v>0.0504713621</v>
      </c>
      <c r="L1548" s="12">
        <v>23.99</v>
      </c>
      <c r="M1548" s="13">
        <v>0.1433910023</v>
      </c>
      <c r="N1548" s="13">
        <v>0.0460135657</v>
      </c>
      <c r="O1548" s="13">
        <v>0.2926219258</v>
      </c>
      <c r="P1548" s="13">
        <v>0</v>
      </c>
      <c r="Q1548" s="13">
        <v>0.0060199041</v>
      </c>
      <c r="R1548" s="13">
        <v>0.3611290243</v>
      </c>
      <c r="S1548" s="13">
        <v>0</v>
      </c>
      <c r="T1548" s="13">
        <v>0.0840975406</v>
      </c>
      <c r="U1548" s="13">
        <v>0.0147871968</v>
      </c>
      <c r="V1548" s="13">
        <v>0</v>
      </c>
      <c r="W1548" s="13">
        <v>0</v>
      </c>
      <c r="X1548" s="13">
        <v>0</v>
      </c>
      <c r="Y1548" s="13">
        <v>0</v>
      </c>
      <c r="Z1548" s="13">
        <v>0.0014684779</v>
      </c>
    </row>
    <row r="1549" s="2" customFormat="1" hidden="1" spans="1:26">
      <c r="A1549" s="11" t="s">
        <v>935</v>
      </c>
      <c r="B1549" s="11" t="s">
        <v>937</v>
      </c>
      <c r="C1549" s="14" t="s">
        <v>775</v>
      </c>
      <c r="D1549" s="14" t="s">
        <v>938</v>
      </c>
      <c r="E1549" s="14" t="s">
        <v>939</v>
      </c>
      <c r="F1549" s="3" t="s">
        <v>943</v>
      </c>
      <c r="G1549" s="4">
        <v>15</v>
      </c>
      <c r="H1549" s="12">
        <v>2349.604</v>
      </c>
      <c r="I1549" s="12">
        <v>345.002129</v>
      </c>
      <c r="J1549" s="13">
        <v>0.1468341597</v>
      </c>
      <c r="K1549" s="13">
        <v>0.1468341597</v>
      </c>
      <c r="L1549" s="12">
        <v>23.0353333333</v>
      </c>
      <c r="M1549" s="13">
        <v>0.1504786253</v>
      </c>
      <c r="N1549" s="13">
        <v>0.1057413802</v>
      </c>
      <c r="O1549" s="13">
        <v>0.3169044656</v>
      </c>
      <c r="P1549" s="13">
        <v>0</v>
      </c>
      <c r="Q1549" s="13">
        <v>0.0337498003</v>
      </c>
      <c r="R1549" s="13">
        <v>0.116520823</v>
      </c>
      <c r="S1549" s="13">
        <v>0</v>
      </c>
      <c r="T1549" s="13">
        <v>0.1141724307</v>
      </c>
      <c r="U1549" s="13">
        <v>0.0155181107</v>
      </c>
      <c r="V1549" s="13">
        <v>0</v>
      </c>
      <c r="W1549" s="13">
        <v>0</v>
      </c>
      <c r="X1549" s="13">
        <v>0</v>
      </c>
      <c r="Y1549" s="13">
        <v>0</v>
      </c>
      <c r="Z1549" s="13">
        <v>8.02041e-5</v>
      </c>
    </row>
    <row r="1550" s="2" customFormat="1" spans="1:26">
      <c r="A1550" s="11" t="s">
        <v>935</v>
      </c>
      <c r="B1550" s="11" t="s">
        <v>937</v>
      </c>
      <c r="C1550" s="14" t="s">
        <v>775</v>
      </c>
      <c r="D1550" s="14" t="s">
        <v>938</v>
      </c>
      <c r="E1550" s="14" t="s">
        <v>939</v>
      </c>
      <c r="F1550" s="3" t="s">
        <v>944</v>
      </c>
      <c r="G1550" s="4">
        <v>22</v>
      </c>
      <c r="H1550" s="12">
        <v>3541.576</v>
      </c>
      <c r="I1550" s="12">
        <v>408.865143</v>
      </c>
      <c r="J1550" s="13">
        <v>0.1154472311</v>
      </c>
      <c r="K1550" s="13">
        <v>0.1154472311</v>
      </c>
      <c r="L1550" s="12">
        <v>23.6736363636</v>
      </c>
      <c r="M1550" s="13">
        <v>0.1464213288</v>
      </c>
      <c r="N1550" s="13">
        <v>0.0961333897</v>
      </c>
      <c r="O1550" s="13">
        <v>0.308359894</v>
      </c>
      <c r="P1550" s="13">
        <v>0.0393802081</v>
      </c>
      <c r="Q1550" s="13">
        <v>0.049030889</v>
      </c>
      <c r="R1550" s="13">
        <v>0.1237185481</v>
      </c>
      <c r="S1550" s="13">
        <v>0</v>
      </c>
      <c r="T1550" s="13">
        <v>0.1062363196</v>
      </c>
      <c r="U1550" s="13">
        <v>0.0150997019</v>
      </c>
      <c r="V1550" s="13">
        <v>0</v>
      </c>
      <c r="W1550" s="13">
        <v>0</v>
      </c>
      <c r="X1550" s="13">
        <v>0</v>
      </c>
      <c r="Y1550" s="13">
        <v>0</v>
      </c>
      <c r="Z1550" s="13">
        <v>0.0001724893</v>
      </c>
    </row>
    <row r="1551" s="2" customFormat="1" hidden="1" spans="1:26">
      <c r="A1551" s="11" t="s">
        <v>935</v>
      </c>
      <c r="B1551" s="11" t="s">
        <v>937</v>
      </c>
      <c r="C1551" s="14" t="s">
        <v>775</v>
      </c>
      <c r="D1551" s="14" t="s">
        <v>938</v>
      </c>
      <c r="E1551" s="14" t="s">
        <v>939</v>
      </c>
      <c r="F1551" s="3" t="s">
        <v>945</v>
      </c>
      <c r="G1551" s="4">
        <v>0</v>
      </c>
      <c r="H1551" s="12">
        <v>0</v>
      </c>
      <c r="I1551" s="12">
        <v>26.466635</v>
      </c>
      <c r="J1551" s="13"/>
      <c r="K1551" s="13"/>
      <c r="L1551" s="12"/>
      <c r="M1551" s="13"/>
      <c r="N1551" s="13"/>
      <c r="O1551" s="13"/>
      <c r="P1551" s="13"/>
      <c r="Q1551" s="13"/>
      <c r="R1551" s="13"/>
      <c r="S1551" s="13"/>
      <c r="T1551" s="13"/>
      <c r="U1551" s="13"/>
      <c r="V1551" s="13"/>
      <c r="W1551" s="13"/>
      <c r="X1551" s="13"/>
      <c r="Y1551" s="13"/>
      <c r="Z1551" s="13"/>
    </row>
    <row r="1552" s="2" customFormat="1" hidden="1" spans="1:26">
      <c r="A1552" s="11" t="s">
        <v>935</v>
      </c>
      <c r="B1552" s="11" t="s">
        <v>937</v>
      </c>
      <c r="C1552" s="14" t="s">
        <v>780</v>
      </c>
      <c r="D1552" s="14" t="s">
        <v>938</v>
      </c>
      <c r="E1552" s="14" t="s">
        <v>939</v>
      </c>
      <c r="F1552" s="3" t="s">
        <v>936</v>
      </c>
      <c r="G1552" s="4">
        <v>104</v>
      </c>
      <c r="H1552" s="12">
        <v>16573.436</v>
      </c>
      <c r="I1552" s="12">
        <v>2243.474844</v>
      </c>
      <c r="J1552" s="13">
        <v>0.1353657047</v>
      </c>
      <c r="K1552" s="13">
        <v>0.1353657047</v>
      </c>
      <c r="L1552" s="12">
        <v>23.4352884615</v>
      </c>
      <c r="M1552" s="13">
        <v>0.1412190006</v>
      </c>
      <c r="N1552" s="13">
        <v>0.0555882021</v>
      </c>
      <c r="O1552" s="13">
        <v>0.3136542114</v>
      </c>
      <c r="P1552" s="13">
        <v>0.00984298</v>
      </c>
      <c r="Q1552" s="13">
        <v>0.0241967969</v>
      </c>
      <c r="R1552" s="13">
        <v>0.1983765063</v>
      </c>
      <c r="S1552" s="13">
        <v>0</v>
      </c>
      <c r="T1552" s="13">
        <v>0.1066685266</v>
      </c>
      <c r="U1552" s="13">
        <v>0.014563213</v>
      </c>
      <c r="V1552" s="13">
        <v>0.0003405449</v>
      </c>
      <c r="W1552" s="13">
        <v>0</v>
      </c>
      <c r="X1552" s="13">
        <v>0</v>
      </c>
      <c r="Y1552" s="13">
        <v>0</v>
      </c>
      <c r="Z1552" s="13">
        <v>0.0001843128</v>
      </c>
    </row>
    <row r="1553" s="2" customFormat="1" hidden="1" spans="1:26">
      <c r="A1553" s="11" t="s">
        <v>935</v>
      </c>
      <c r="B1553" s="11" t="s">
        <v>937</v>
      </c>
      <c r="C1553" s="14" t="s">
        <v>780</v>
      </c>
      <c r="D1553" s="14" t="s">
        <v>938</v>
      </c>
      <c r="E1553" s="14" t="s">
        <v>939</v>
      </c>
      <c r="F1553" s="3" t="s">
        <v>942</v>
      </c>
      <c r="G1553" s="4">
        <v>4</v>
      </c>
      <c r="H1553" s="12">
        <v>644.368</v>
      </c>
      <c r="I1553" s="12">
        <v>-131.040841</v>
      </c>
      <c r="J1553" s="13">
        <v>-0.2033633591</v>
      </c>
      <c r="K1553" s="13">
        <v>-0.2033633591</v>
      </c>
      <c r="L1553" s="12">
        <v>23.69</v>
      </c>
      <c r="M1553" s="13">
        <v>0.1406950252</v>
      </c>
      <c r="N1553" s="13">
        <v>0.0355573895</v>
      </c>
      <c r="O1553" s="13">
        <v>0.2735331363</v>
      </c>
      <c r="P1553" s="13">
        <v>0</v>
      </c>
      <c r="Q1553" s="13">
        <v>0.0060199109</v>
      </c>
      <c r="R1553" s="13">
        <v>0.6706895608</v>
      </c>
      <c r="S1553" s="13">
        <v>0</v>
      </c>
      <c r="T1553" s="13">
        <v>0.0608906711</v>
      </c>
      <c r="U1553" s="13">
        <v>0.0145091748</v>
      </c>
      <c r="V1553" s="13">
        <v>0</v>
      </c>
      <c r="W1553" s="13">
        <v>0</v>
      </c>
      <c r="X1553" s="13">
        <v>0</v>
      </c>
      <c r="Y1553" s="13">
        <v>0</v>
      </c>
      <c r="Z1553" s="13">
        <v>0.00146849</v>
      </c>
    </row>
    <row r="1554" s="2" customFormat="1" hidden="1" spans="1:26">
      <c r="A1554" s="11" t="s">
        <v>935</v>
      </c>
      <c r="B1554" s="11" t="s">
        <v>937</v>
      </c>
      <c r="C1554" s="14" t="s">
        <v>780</v>
      </c>
      <c r="D1554" s="14" t="s">
        <v>938</v>
      </c>
      <c r="E1554" s="14" t="s">
        <v>939</v>
      </c>
      <c r="F1554" s="3" t="s">
        <v>943</v>
      </c>
      <c r="G1554" s="4">
        <v>38</v>
      </c>
      <c r="H1554" s="12">
        <v>5970.536</v>
      </c>
      <c r="I1554" s="12">
        <v>1101.835411</v>
      </c>
      <c r="J1554" s="13">
        <v>0.1845454764</v>
      </c>
      <c r="K1554" s="13">
        <v>0.1845454764</v>
      </c>
      <c r="L1554" s="12">
        <v>23.1057894736</v>
      </c>
      <c r="M1554" s="13">
        <v>0.1446384505</v>
      </c>
      <c r="N1554" s="13">
        <v>0.0498067557</v>
      </c>
      <c r="O1554" s="13">
        <v>0.3228628049</v>
      </c>
      <c r="P1554" s="13">
        <v>0</v>
      </c>
      <c r="Q1554" s="13">
        <v>0.0161677315</v>
      </c>
      <c r="R1554" s="13">
        <v>0.1564385534</v>
      </c>
      <c r="S1554" s="13">
        <v>0</v>
      </c>
      <c r="T1554" s="13">
        <v>0.1105441789</v>
      </c>
      <c r="U1554" s="13">
        <v>0.014915844</v>
      </c>
      <c r="V1554" s="13">
        <v>0</v>
      </c>
      <c r="W1554" s="13">
        <v>0</v>
      </c>
      <c r="X1554" s="13">
        <v>0</v>
      </c>
      <c r="Y1554" s="13">
        <v>0</v>
      </c>
      <c r="Z1554" s="13">
        <v>8.02043e-5</v>
      </c>
    </row>
    <row r="1555" s="2" customFormat="1" spans="1:26">
      <c r="A1555" s="11" t="s">
        <v>935</v>
      </c>
      <c r="B1555" s="11" t="s">
        <v>937</v>
      </c>
      <c r="C1555" s="14" t="s">
        <v>780</v>
      </c>
      <c r="D1555" s="14" t="s">
        <v>938</v>
      </c>
      <c r="E1555" s="14" t="s">
        <v>939</v>
      </c>
      <c r="F1555" s="3" t="s">
        <v>944</v>
      </c>
      <c r="G1555" s="4">
        <v>58</v>
      </c>
      <c r="H1555" s="12">
        <v>9447.376</v>
      </c>
      <c r="I1555" s="12">
        <v>1208.243097</v>
      </c>
      <c r="J1555" s="13">
        <v>0.1278919243</v>
      </c>
      <c r="K1555" s="13">
        <v>0.1278919243</v>
      </c>
      <c r="L1555" s="12">
        <v>23.9537931034</v>
      </c>
      <c r="M1555" s="13">
        <v>0.1395180117</v>
      </c>
      <c r="N1555" s="13">
        <v>0.0604871598</v>
      </c>
      <c r="O1555" s="13">
        <v>0.3114329312</v>
      </c>
      <c r="P1555" s="13">
        <v>0.0172674401</v>
      </c>
      <c r="Q1555" s="13">
        <v>0.0317786534</v>
      </c>
      <c r="R1555" s="13">
        <v>0.1895433637</v>
      </c>
      <c r="S1555" s="13">
        <v>0</v>
      </c>
      <c r="T1555" s="13">
        <v>0.1075202257</v>
      </c>
      <c r="U1555" s="13">
        <v>0.0143877986</v>
      </c>
      <c r="V1555" s="13">
        <v>0</v>
      </c>
      <c r="W1555" s="13">
        <v>0</v>
      </c>
      <c r="X1555" s="13">
        <v>0</v>
      </c>
      <c r="Y1555" s="13">
        <v>0</v>
      </c>
      <c r="Z1555" s="13">
        <v>0.0001724908</v>
      </c>
    </row>
    <row r="1556" s="2" customFormat="1" hidden="1" spans="1:26">
      <c r="A1556" s="11" t="s">
        <v>935</v>
      </c>
      <c r="B1556" s="11" t="s">
        <v>937</v>
      </c>
      <c r="C1556" s="14" t="s">
        <v>780</v>
      </c>
      <c r="D1556" s="14" t="s">
        <v>938</v>
      </c>
      <c r="E1556" s="14" t="s">
        <v>939</v>
      </c>
      <c r="F1556" s="3" t="s">
        <v>945</v>
      </c>
      <c r="G1556" s="4">
        <v>4</v>
      </c>
      <c r="H1556" s="12">
        <v>511.156</v>
      </c>
      <c r="I1556" s="12">
        <v>64.437177</v>
      </c>
      <c r="J1556" s="13">
        <v>0.1260616661</v>
      </c>
      <c r="K1556" s="13">
        <v>0.1260616661</v>
      </c>
      <c r="L1556" s="12">
        <v>18.7925</v>
      </c>
      <c r="M1556" s="13">
        <v>0.133377102</v>
      </c>
      <c r="N1556" s="13">
        <v>0.0578248069</v>
      </c>
      <c r="O1556" s="13">
        <v>0.2977251563</v>
      </c>
      <c r="P1556" s="13">
        <v>0</v>
      </c>
      <c r="Q1556" s="13">
        <v>0.0007632034</v>
      </c>
      <c r="R1556" s="13">
        <v>0.2560862045</v>
      </c>
      <c r="S1556" s="13">
        <v>0</v>
      </c>
      <c r="T1556" s="13">
        <v>0.1033657044</v>
      </c>
      <c r="U1556" s="13">
        <v>0.0137545172</v>
      </c>
      <c r="V1556" s="13">
        <v>0.0110416389</v>
      </c>
      <c r="W1556" s="13">
        <v>0</v>
      </c>
      <c r="X1556" s="13">
        <v>0</v>
      </c>
      <c r="Y1556" s="13">
        <v>0</v>
      </c>
      <c r="Z1556" s="13">
        <v>0</v>
      </c>
    </row>
    <row r="1557" s="2" customFormat="1" hidden="1" spans="1:26">
      <c r="A1557" s="11" t="s">
        <v>935</v>
      </c>
      <c r="B1557" s="11" t="s">
        <v>937</v>
      </c>
      <c r="C1557" s="14" t="s">
        <v>981</v>
      </c>
      <c r="D1557" s="14" t="s">
        <v>938</v>
      </c>
      <c r="E1557" s="14" t="s">
        <v>939</v>
      </c>
      <c r="F1557" s="3" t="s">
        <v>936</v>
      </c>
      <c r="G1557" s="4">
        <v>10</v>
      </c>
      <c r="H1557" s="12">
        <v>1474.728091</v>
      </c>
      <c r="I1557" s="12">
        <v>336.244477</v>
      </c>
      <c r="J1557" s="13">
        <v>0.2280043887</v>
      </c>
      <c r="K1557" s="13">
        <v>0.2280043887</v>
      </c>
      <c r="L1557" s="12">
        <v>21.858509953</v>
      </c>
      <c r="M1557" s="13">
        <v>0.1724385678</v>
      </c>
      <c r="N1557" s="13">
        <v>0.0442237863</v>
      </c>
      <c r="O1557" s="13">
        <v>0.2717823207</v>
      </c>
      <c r="P1557" s="13">
        <v>0.2225689318</v>
      </c>
      <c r="Q1557" s="13">
        <v>0.0337278989</v>
      </c>
      <c r="R1557" s="13">
        <v>0.1331455094</v>
      </c>
      <c r="S1557" s="13">
        <v>0</v>
      </c>
      <c r="T1557" s="13">
        <v>0.0961084452</v>
      </c>
      <c r="U1557" s="13">
        <v>0</v>
      </c>
      <c r="V1557" s="13">
        <v>-0.2029382838</v>
      </c>
      <c r="W1557" s="13">
        <v>0</v>
      </c>
      <c r="X1557" s="13">
        <v>0</v>
      </c>
      <c r="Y1557" s="13">
        <v>0</v>
      </c>
      <c r="Z1557" s="13">
        <v>0.0009384346</v>
      </c>
    </row>
    <row r="1558" s="2" customFormat="1" hidden="1" spans="1:26">
      <c r="A1558" s="11" t="s">
        <v>935</v>
      </c>
      <c r="B1558" s="11" t="s">
        <v>937</v>
      </c>
      <c r="C1558" s="14" t="s">
        <v>981</v>
      </c>
      <c r="D1558" s="14" t="s">
        <v>938</v>
      </c>
      <c r="E1558" s="14" t="s">
        <v>939</v>
      </c>
      <c r="F1558" s="3" t="s">
        <v>982</v>
      </c>
      <c r="G1558" s="4">
        <v>3</v>
      </c>
      <c r="H1558" s="12">
        <v>472.415958</v>
      </c>
      <c r="I1558" s="12">
        <v>73.118349</v>
      </c>
      <c r="J1558" s="13">
        <v>0.1547753579</v>
      </c>
      <c r="K1558" s="13">
        <v>0.1547753579</v>
      </c>
      <c r="L1558" s="12">
        <v>24.99</v>
      </c>
      <c r="M1558" s="13">
        <v>0.1614890409</v>
      </c>
      <c r="N1558" s="13">
        <v>0.0414156585</v>
      </c>
      <c r="O1558" s="13">
        <v>0.269307723</v>
      </c>
      <c r="P1558" s="13">
        <v>0</v>
      </c>
      <c r="Q1558" s="13">
        <v>0.0160234278</v>
      </c>
      <c r="R1558" s="13">
        <v>0.2439851238</v>
      </c>
      <c r="S1558" s="13">
        <v>0</v>
      </c>
      <c r="T1558" s="13">
        <v>0.1120448179</v>
      </c>
      <c r="U1558" s="13">
        <v>0</v>
      </c>
      <c r="V1558" s="13">
        <v>0</v>
      </c>
      <c r="W1558" s="13">
        <v>0</v>
      </c>
      <c r="X1558" s="13">
        <v>0</v>
      </c>
      <c r="Y1558" s="13">
        <v>0</v>
      </c>
      <c r="Z1558" s="13">
        <v>0.0009588499</v>
      </c>
    </row>
    <row r="1559" s="2" customFormat="1" hidden="1" spans="1:26">
      <c r="A1559" s="11" t="s">
        <v>935</v>
      </c>
      <c r="B1559" s="11" t="s">
        <v>937</v>
      </c>
      <c r="C1559" s="14" t="s">
        <v>981</v>
      </c>
      <c r="D1559" s="14" t="s">
        <v>938</v>
      </c>
      <c r="E1559" s="14" t="s">
        <v>939</v>
      </c>
      <c r="F1559" s="3" t="s">
        <v>983</v>
      </c>
      <c r="G1559" s="4">
        <v>2</v>
      </c>
      <c r="H1559" s="12">
        <v>317.417982</v>
      </c>
      <c r="I1559" s="12">
        <v>52.353746</v>
      </c>
      <c r="J1559" s="13">
        <v>0.1649362952</v>
      </c>
      <c r="K1559" s="13">
        <v>0.1649362952</v>
      </c>
      <c r="L1559" s="12">
        <v>24.99</v>
      </c>
      <c r="M1559" s="13">
        <v>0.1602303677</v>
      </c>
      <c r="N1559" s="13">
        <v>0.0410928578</v>
      </c>
      <c r="O1559" s="13">
        <v>0.269307723</v>
      </c>
      <c r="P1559" s="13">
        <v>0</v>
      </c>
      <c r="Q1559" s="13">
        <v>0.0522969363</v>
      </c>
      <c r="R1559" s="13">
        <v>0.1905779301</v>
      </c>
      <c r="S1559" s="13">
        <v>0</v>
      </c>
      <c r="T1559" s="13">
        <v>0.1200480192</v>
      </c>
      <c r="U1559" s="13">
        <v>0</v>
      </c>
      <c r="V1559" s="13">
        <v>0</v>
      </c>
      <c r="W1559" s="13">
        <v>0</v>
      </c>
      <c r="X1559" s="13">
        <v>0</v>
      </c>
      <c r="Y1559" s="13">
        <v>0</v>
      </c>
      <c r="Z1559" s="13">
        <v>0.0015098702</v>
      </c>
    </row>
    <row r="1560" s="2" customFormat="1" hidden="1" spans="1:26">
      <c r="A1560" s="11" t="s">
        <v>935</v>
      </c>
      <c r="B1560" s="11" t="s">
        <v>937</v>
      </c>
      <c r="C1560" s="14" t="s">
        <v>981</v>
      </c>
      <c r="D1560" s="14" t="s">
        <v>938</v>
      </c>
      <c r="E1560" s="14" t="s">
        <v>939</v>
      </c>
      <c r="F1560" s="3" t="s">
        <v>984</v>
      </c>
      <c r="G1560" s="4">
        <v>2</v>
      </c>
      <c r="H1560" s="12">
        <v>164.114328</v>
      </c>
      <c r="I1560" s="12">
        <v>-293.494235</v>
      </c>
      <c r="J1560" s="13">
        <v>-1.7883522942</v>
      </c>
      <c r="K1560" s="13">
        <v>-1.7883522942</v>
      </c>
      <c r="L1560" s="12">
        <v>12.495</v>
      </c>
      <c r="M1560" s="13">
        <v>0.309905909</v>
      </c>
      <c r="N1560" s="13">
        <v>0.079478813</v>
      </c>
      <c r="O1560" s="13">
        <v>0.2829131652</v>
      </c>
      <c r="P1560" s="13">
        <v>2</v>
      </c>
      <c r="Q1560" s="13">
        <v>0.0740331398</v>
      </c>
      <c r="R1560" s="13">
        <v>0.1133262112</v>
      </c>
      <c r="S1560" s="13">
        <v>0</v>
      </c>
      <c r="T1560" s="13">
        <v>-0.0720288115</v>
      </c>
      <c r="U1560" s="13">
        <v>0</v>
      </c>
      <c r="V1560" s="13">
        <v>0</v>
      </c>
      <c r="W1560" s="13">
        <v>0</v>
      </c>
      <c r="X1560" s="13">
        <v>0</v>
      </c>
      <c r="Y1560" s="13">
        <v>0</v>
      </c>
      <c r="Z1560" s="13">
        <v>0.0007238672</v>
      </c>
    </row>
    <row r="1561" s="2" customFormat="1" hidden="1" spans="1:26">
      <c r="A1561" s="11" t="s">
        <v>935</v>
      </c>
      <c r="B1561" s="11" t="s">
        <v>937</v>
      </c>
      <c r="C1561" s="14" t="s">
        <v>981</v>
      </c>
      <c r="D1561" s="14" t="s">
        <v>938</v>
      </c>
      <c r="E1561" s="14" t="s">
        <v>939</v>
      </c>
      <c r="F1561" s="3" t="s">
        <v>985</v>
      </c>
      <c r="G1561" s="4">
        <v>1</v>
      </c>
      <c r="H1561" s="12">
        <v>173.225949</v>
      </c>
      <c r="I1561" s="12">
        <v>66.57747</v>
      </c>
      <c r="J1561" s="13">
        <v>0.384338896</v>
      </c>
      <c r="K1561" s="13">
        <v>0.384338896</v>
      </c>
      <c r="L1561" s="12">
        <v>25.99</v>
      </c>
      <c r="M1561" s="13">
        <v>0.1468024862</v>
      </c>
      <c r="N1561" s="13">
        <v>0.0376491284</v>
      </c>
      <c r="O1561" s="13">
        <v>0.2720277029</v>
      </c>
      <c r="P1561" s="13">
        <v>0</v>
      </c>
      <c r="Q1561" s="13">
        <v>0.0364263959</v>
      </c>
      <c r="R1561" s="13">
        <v>0.0020104262</v>
      </c>
      <c r="S1561" s="13">
        <v>0</v>
      </c>
      <c r="T1561" s="13">
        <v>0.1200461716</v>
      </c>
      <c r="U1561" s="13">
        <v>0</v>
      </c>
      <c r="V1561" s="13">
        <v>0</v>
      </c>
      <c r="W1561" s="13">
        <v>0</v>
      </c>
      <c r="X1561" s="13">
        <v>0</v>
      </c>
      <c r="Y1561" s="13">
        <v>0</v>
      </c>
      <c r="Z1561" s="13">
        <v>0.0006987925</v>
      </c>
    </row>
    <row r="1562" s="2" customFormat="1" hidden="1" spans="1:26">
      <c r="A1562" s="11" t="s">
        <v>935</v>
      </c>
      <c r="B1562" s="11" t="s">
        <v>937</v>
      </c>
      <c r="C1562" s="14" t="s">
        <v>981</v>
      </c>
      <c r="D1562" s="14" t="s">
        <v>938</v>
      </c>
      <c r="E1562" s="14" t="s">
        <v>939</v>
      </c>
      <c r="F1562" s="3" t="s">
        <v>986</v>
      </c>
      <c r="G1562" s="4">
        <v>2</v>
      </c>
      <c r="H1562" s="12">
        <v>347.553874</v>
      </c>
      <c r="I1562" s="12">
        <v>439.819147</v>
      </c>
      <c r="J1562" s="13">
        <v>1.2654704202</v>
      </c>
      <c r="K1562" s="13">
        <v>1.2654704202</v>
      </c>
      <c r="L1562" s="12">
        <v>25.99</v>
      </c>
      <c r="M1562" s="13">
        <v>0.1463370251</v>
      </c>
      <c r="N1562" s="13">
        <v>0.0375297557</v>
      </c>
      <c r="O1562" s="13">
        <v>0.2720277029</v>
      </c>
      <c r="P1562" s="13">
        <v>0</v>
      </c>
      <c r="Q1562" s="13">
        <v>0.0143283484</v>
      </c>
      <c r="R1562" s="13">
        <v>0.0047514417</v>
      </c>
      <c r="S1562" s="13">
        <v>0</v>
      </c>
      <c r="T1562" s="13">
        <v>0.1200461716</v>
      </c>
      <c r="U1562" s="13">
        <v>0</v>
      </c>
      <c r="V1562" s="13">
        <v>-0.8611004232</v>
      </c>
      <c r="W1562" s="13">
        <v>0</v>
      </c>
      <c r="X1562" s="13">
        <v>0</v>
      </c>
      <c r="Y1562" s="13">
        <v>0</v>
      </c>
      <c r="Z1562" s="13">
        <v>0.0006095572</v>
      </c>
    </row>
    <row r="1563" s="2" customFormat="1" hidden="1" spans="1:26">
      <c r="A1563" s="11" t="s">
        <v>935</v>
      </c>
      <c r="B1563" s="11" t="s">
        <v>937</v>
      </c>
      <c r="C1563" s="14" t="s">
        <v>981</v>
      </c>
      <c r="D1563" s="14" t="s">
        <v>938</v>
      </c>
      <c r="E1563" s="14" t="s">
        <v>939</v>
      </c>
      <c r="F1563" s="3" t="s">
        <v>987</v>
      </c>
      <c r="G1563" s="4">
        <v>0</v>
      </c>
      <c r="H1563" s="12">
        <v>0</v>
      </c>
      <c r="I1563" s="12">
        <v>-2.13</v>
      </c>
      <c r="J1563" s="13"/>
      <c r="K1563" s="13"/>
      <c r="L1563" s="12"/>
      <c r="M1563" s="13"/>
      <c r="N1563" s="13"/>
      <c r="O1563" s="13"/>
      <c r="P1563" s="13"/>
      <c r="Q1563" s="13"/>
      <c r="R1563" s="13"/>
      <c r="S1563" s="13"/>
      <c r="T1563" s="13"/>
      <c r="U1563" s="13"/>
      <c r="V1563" s="13"/>
      <c r="W1563" s="13"/>
      <c r="X1563" s="13"/>
      <c r="Y1563" s="13"/>
      <c r="Z1563" s="13"/>
    </row>
    <row r="1564" s="2" customFormat="1" spans="1:26">
      <c r="A1564" s="15"/>
      <c r="B1564" s="15"/>
      <c r="C1564" s="15"/>
      <c r="D1564" s="15"/>
      <c r="E1564" s="15"/>
      <c r="F1564" s="15"/>
      <c r="G1564" s="15"/>
      <c r="H1564" s="15"/>
      <c r="I1564" s="15"/>
      <c r="J1564" s="15"/>
      <c r="K1564" s="15"/>
      <c r="L1564" s="15"/>
      <c r="M1564" s="15"/>
      <c r="N1564" s="15"/>
      <c r="O1564" s="15"/>
      <c r="P1564" s="15"/>
      <c r="Q1564" s="15"/>
      <c r="R1564" s="15"/>
      <c r="S1564" s="15"/>
      <c r="T1564" s="15"/>
      <c r="U1564" s="15"/>
      <c r="V1564" s="15"/>
      <c r="W1564" s="15"/>
      <c r="X1564" s="15"/>
      <c r="Y1564" s="15"/>
      <c r="Z1564" s="15"/>
    </row>
    <row r="1565" s="2" customFormat="1" spans="1:26">
      <c r="A1565" s="15"/>
      <c r="B1565" s="15"/>
      <c r="C1565" s="15"/>
      <c r="D1565" s="15"/>
      <c r="E1565" s="15"/>
      <c r="F1565" s="15"/>
      <c r="G1565" s="15"/>
      <c r="H1565" s="15"/>
      <c r="I1565" s="15"/>
      <c r="J1565" s="15"/>
      <c r="K1565" s="15"/>
      <c r="L1565" s="15"/>
      <c r="M1565" s="15"/>
      <c r="N1565" s="15"/>
      <c r="O1565" s="15"/>
      <c r="P1565" s="15"/>
      <c r="Q1565" s="15"/>
      <c r="R1565" s="15"/>
      <c r="S1565" s="15"/>
      <c r="T1565" s="15"/>
      <c r="U1565" s="15"/>
      <c r="V1565" s="15"/>
      <c r="W1565" s="15"/>
      <c r="X1565" s="15"/>
      <c r="Y1565" s="15"/>
      <c r="Z1565" s="15"/>
    </row>
    <row r="1566" s="2" customFormat="1" spans="1:26">
      <c r="A1566" s="15"/>
      <c r="B1566" s="15"/>
      <c r="C1566" s="15"/>
      <c r="D1566" s="15"/>
      <c r="E1566" s="15"/>
      <c r="F1566" s="15"/>
      <c r="G1566" s="15"/>
      <c r="H1566" s="15"/>
      <c r="I1566" s="15"/>
      <c r="J1566" s="15"/>
      <c r="K1566" s="15"/>
      <c r="L1566" s="15"/>
      <c r="M1566" s="15"/>
      <c r="N1566" s="15"/>
      <c r="O1566" s="15"/>
      <c r="P1566" s="15"/>
      <c r="Q1566" s="15"/>
      <c r="R1566" s="15"/>
      <c r="S1566" s="15"/>
      <c r="T1566" s="15"/>
      <c r="U1566" s="15"/>
      <c r="V1566" s="15"/>
      <c r="W1566" s="15"/>
      <c r="X1566" s="15"/>
      <c r="Y1566" s="15"/>
      <c r="Z1566" s="15"/>
    </row>
    <row r="1567" s="2" customFormat="1" spans="1:26">
      <c r="A1567" s="15"/>
      <c r="B1567" s="15"/>
      <c r="C1567" s="15"/>
      <c r="D1567" s="15"/>
      <c r="E1567" s="15"/>
      <c r="F1567" s="15"/>
      <c r="G1567" s="15"/>
      <c r="H1567" s="15"/>
      <c r="I1567" s="15"/>
      <c r="J1567" s="15"/>
      <c r="K1567" s="15"/>
      <c r="L1567" s="15"/>
      <c r="M1567" s="15"/>
      <c r="N1567" s="15"/>
      <c r="O1567" s="15"/>
      <c r="P1567" s="15"/>
      <c r="Q1567" s="15"/>
      <c r="R1567" s="15"/>
      <c r="S1567" s="15"/>
      <c r="T1567" s="15"/>
      <c r="U1567" s="15"/>
      <c r="V1567" s="15"/>
      <c r="W1567" s="15"/>
      <c r="X1567" s="15"/>
      <c r="Y1567" s="15"/>
      <c r="Z1567" s="15"/>
    </row>
    <row r="1568" s="2" customFormat="1" spans="1:26">
      <c r="A1568" s="15"/>
      <c r="B1568" s="15"/>
      <c r="C1568" s="15"/>
      <c r="D1568" s="15"/>
      <c r="E1568" s="15"/>
      <c r="F1568" s="15"/>
      <c r="G1568" s="15"/>
      <c r="H1568" s="15"/>
      <c r="I1568" s="15"/>
      <c r="J1568" s="15"/>
      <c r="K1568" s="15"/>
      <c r="L1568" s="15"/>
      <c r="M1568" s="15"/>
      <c r="N1568" s="15"/>
      <c r="O1568" s="15"/>
      <c r="P1568" s="15"/>
      <c r="Q1568" s="15"/>
      <c r="R1568" s="15"/>
      <c r="S1568" s="15"/>
      <c r="T1568" s="15"/>
      <c r="U1568" s="15"/>
      <c r="V1568" s="15"/>
      <c r="W1568" s="15"/>
      <c r="X1568" s="15"/>
      <c r="Y1568" s="15"/>
      <c r="Z1568" s="15"/>
    </row>
    <row r="1569" s="2" customFormat="1" spans="1:26">
      <c r="A1569" s="15"/>
      <c r="B1569" s="15"/>
      <c r="C1569" s="15"/>
      <c r="D1569" s="15"/>
      <c r="E1569" s="15"/>
      <c r="F1569" s="15"/>
      <c r="G1569" s="15"/>
      <c r="H1569" s="15"/>
      <c r="I1569" s="15"/>
      <c r="J1569" s="15"/>
      <c r="K1569" s="15"/>
      <c r="L1569" s="15"/>
      <c r="M1569" s="15"/>
      <c r="N1569" s="15"/>
      <c r="O1569" s="15"/>
      <c r="P1569" s="15"/>
      <c r="Q1569" s="15"/>
      <c r="R1569" s="15"/>
      <c r="S1569" s="15"/>
      <c r="T1569" s="15"/>
      <c r="U1569" s="15"/>
      <c r="V1569" s="15"/>
      <c r="W1569" s="15"/>
      <c r="X1569" s="15"/>
      <c r="Y1569" s="15"/>
      <c r="Z1569" s="15"/>
    </row>
    <row r="1570" s="2" customFormat="1" spans="1:26">
      <c r="A1570" s="15"/>
      <c r="B1570" s="15"/>
      <c r="C1570" s="15"/>
      <c r="D1570" s="15"/>
      <c r="E1570" s="15"/>
      <c r="F1570" s="15"/>
      <c r="G1570" s="15"/>
      <c r="H1570" s="15"/>
      <c r="I1570" s="15"/>
      <c r="J1570" s="15"/>
      <c r="K1570" s="15"/>
      <c r="L1570" s="15"/>
      <c r="M1570" s="15"/>
      <c r="N1570" s="15"/>
      <c r="O1570" s="15"/>
      <c r="P1570" s="15"/>
      <c r="Q1570" s="15"/>
      <c r="R1570" s="15"/>
      <c r="S1570" s="15"/>
      <c r="T1570" s="15"/>
      <c r="U1570" s="15"/>
      <c r="V1570" s="15"/>
      <c r="W1570" s="15"/>
      <c r="X1570" s="15"/>
      <c r="Y1570" s="15"/>
      <c r="Z1570" s="15"/>
    </row>
    <row r="1571" s="2" customFormat="1" spans="1:26">
      <c r="A1571" s="15"/>
      <c r="B1571" s="15"/>
      <c r="C1571" s="15"/>
      <c r="D1571" s="15"/>
      <c r="E1571" s="15"/>
      <c r="F1571" s="15"/>
      <c r="G1571" s="15"/>
      <c r="H1571" s="15"/>
      <c r="I1571" s="15"/>
      <c r="J1571" s="15"/>
      <c r="K1571" s="15"/>
      <c r="L1571" s="15"/>
      <c r="M1571" s="15"/>
      <c r="N1571" s="15"/>
      <c r="O1571" s="15"/>
      <c r="P1571" s="15"/>
      <c r="Q1571" s="15"/>
      <c r="R1571" s="15"/>
      <c r="S1571" s="15"/>
      <c r="T1571" s="15"/>
      <c r="U1571" s="15"/>
      <c r="V1571" s="15"/>
      <c r="W1571" s="15"/>
      <c r="X1571" s="15"/>
      <c r="Y1571" s="15"/>
      <c r="Z1571" s="15"/>
    </row>
    <row r="1572" s="2" customFormat="1" spans="1:26">
      <c r="A1572" s="15"/>
      <c r="B1572" s="15"/>
      <c r="C1572" s="15"/>
      <c r="D1572" s="15"/>
      <c r="E1572" s="15"/>
      <c r="F1572" s="15"/>
      <c r="G1572" s="15"/>
      <c r="H1572" s="15"/>
      <c r="I1572" s="15"/>
      <c r="J1572" s="15"/>
      <c r="K1572" s="15"/>
      <c r="L1572" s="15"/>
      <c r="M1572" s="15"/>
      <c r="N1572" s="15"/>
      <c r="O1572" s="15"/>
      <c r="P1572" s="15"/>
      <c r="Q1572" s="15"/>
      <c r="R1572" s="15"/>
      <c r="S1572" s="15"/>
      <c r="T1572" s="15"/>
      <c r="U1572" s="15"/>
      <c r="V1572" s="15"/>
      <c r="W1572" s="15"/>
      <c r="X1572" s="15"/>
      <c r="Y1572" s="15"/>
      <c r="Z1572" s="15"/>
    </row>
    <row r="1573" s="2" customFormat="1" spans="1:26">
      <c r="A1573" s="15"/>
      <c r="B1573" s="15"/>
      <c r="C1573" s="15"/>
      <c r="D1573" s="15"/>
      <c r="E1573" s="15"/>
      <c r="F1573" s="15"/>
      <c r="G1573" s="15"/>
      <c r="H1573" s="15"/>
      <c r="I1573" s="15"/>
      <c r="J1573" s="15"/>
      <c r="K1573" s="15"/>
      <c r="L1573" s="15"/>
      <c r="M1573" s="15"/>
      <c r="N1573" s="15"/>
      <c r="O1573" s="15"/>
      <c r="P1573" s="15"/>
      <c r="Q1573" s="15"/>
      <c r="R1573" s="15"/>
      <c r="S1573" s="15"/>
      <c r="T1573" s="15"/>
      <c r="U1573" s="15"/>
      <c r="V1573" s="15"/>
      <c r="W1573" s="15"/>
      <c r="X1573" s="15"/>
      <c r="Y1573" s="15"/>
      <c r="Z1573" s="15"/>
    </row>
    <row r="1574" s="2" customFormat="1" spans="1:26">
      <c r="A1574" s="15"/>
      <c r="B1574" s="15"/>
      <c r="C1574" s="15"/>
      <c r="D1574" s="15"/>
      <c r="E1574" s="15"/>
      <c r="F1574" s="15"/>
      <c r="G1574" s="15"/>
      <c r="H1574" s="15"/>
      <c r="I1574" s="15"/>
      <c r="J1574" s="15"/>
      <c r="K1574" s="15"/>
      <c r="L1574" s="15"/>
      <c r="M1574" s="15"/>
      <c r="N1574" s="15"/>
      <c r="O1574" s="15"/>
      <c r="P1574" s="15"/>
      <c r="Q1574" s="15"/>
      <c r="R1574" s="15"/>
      <c r="S1574" s="15"/>
      <c r="T1574" s="15"/>
      <c r="U1574" s="15"/>
      <c r="V1574" s="15"/>
      <c r="W1574" s="15"/>
      <c r="X1574" s="15"/>
      <c r="Y1574" s="15"/>
      <c r="Z1574" s="15"/>
    </row>
    <row r="1575" s="2" customFormat="1" spans="1:26">
      <c r="A1575" s="15"/>
      <c r="B1575" s="15"/>
      <c r="C1575" s="15"/>
      <c r="D1575" s="15"/>
      <c r="E1575" s="15"/>
      <c r="F1575" s="15"/>
      <c r="G1575" s="15"/>
      <c r="H1575" s="15"/>
      <c r="I1575" s="15"/>
      <c r="J1575" s="15"/>
      <c r="K1575" s="15"/>
      <c r="L1575" s="15"/>
      <c r="M1575" s="15"/>
      <c r="N1575" s="15"/>
      <c r="O1575" s="15"/>
      <c r="P1575" s="15"/>
      <c r="Q1575" s="15"/>
      <c r="R1575" s="15"/>
      <c r="S1575" s="15"/>
      <c r="T1575" s="15"/>
      <c r="U1575" s="15"/>
      <c r="V1575" s="15"/>
      <c r="W1575" s="15"/>
      <c r="X1575" s="15"/>
      <c r="Y1575" s="15"/>
      <c r="Z1575" s="15"/>
    </row>
    <row r="1576" s="2" customFormat="1" spans="1:26">
      <c r="A1576" s="15"/>
      <c r="B1576" s="15"/>
      <c r="C1576" s="15"/>
      <c r="D1576" s="15"/>
      <c r="E1576" s="15"/>
      <c r="F1576" s="15"/>
      <c r="G1576" s="15"/>
      <c r="H1576" s="15"/>
      <c r="I1576" s="15"/>
      <c r="J1576" s="15"/>
      <c r="K1576" s="15"/>
      <c r="L1576" s="15"/>
      <c r="M1576" s="15"/>
      <c r="N1576" s="15"/>
      <c r="O1576" s="15"/>
      <c r="P1576" s="15"/>
      <c r="Q1576" s="15"/>
      <c r="R1576" s="15"/>
      <c r="S1576" s="15"/>
      <c r="T1576" s="15"/>
      <c r="U1576" s="15"/>
      <c r="V1576" s="15"/>
      <c r="W1576" s="15"/>
      <c r="X1576" s="15"/>
      <c r="Y1576" s="15"/>
      <c r="Z1576" s="15"/>
    </row>
    <row r="1577" s="2" customFormat="1" spans="1:26">
      <c r="A1577" s="15"/>
      <c r="B1577" s="15"/>
      <c r="C1577" s="15"/>
      <c r="D1577" s="15"/>
      <c r="E1577" s="15"/>
      <c r="F1577" s="15"/>
      <c r="G1577" s="15"/>
      <c r="H1577" s="15"/>
      <c r="I1577" s="15"/>
      <c r="J1577" s="15"/>
      <c r="K1577" s="15"/>
      <c r="L1577" s="15"/>
      <c r="M1577" s="15"/>
      <c r="N1577" s="15"/>
      <c r="O1577" s="15"/>
      <c r="P1577" s="15"/>
      <c r="Q1577" s="15"/>
      <c r="R1577" s="15"/>
      <c r="S1577" s="15"/>
      <c r="T1577" s="15"/>
      <c r="U1577" s="15"/>
      <c r="V1577" s="15"/>
      <c r="W1577" s="15"/>
      <c r="X1577" s="15"/>
      <c r="Y1577" s="15"/>
      <c r="Z1577" s="15"/>
    </row>
    <row r="1578" s="2" customFormat="1" spans="1:26">
      <c r="A1578" s="15"/>
      <c r="B1578" s="15"/>
      <c r="C1578" s="15"/>
      <c r="D1578" s="15"/>
      <c r="E1578" s="15"/>
      <c r="F1578" s="15"/>
      <c r="G1578" s="15"/>
      <c r="H1578" s="15"/>
      <c r="I1578" s="15"/>
      <c r="J1578" s="15"/>
      <c r="K1578" s="15"/>
      <c r="L1578" s="15"/>
      <c r="M1578" s="15"/>
      <c r="N1578" s="15"/>
      <c r="O1578" s="15"/>
      <c r="P1578" s="15"/>
      <c r="Q1578" s="15"/>
      <c r="R1578" s="15"/>
      <c r="S1578" s="15"/>
      <c r="T1578" s="15"/>
      <c r="U1578" s="15"/>
      <c r="V1578" s="15"/>
      <c r="W1578" s="15"/>
      <c r="X1578" s="15"/>
      <c r="Y1578" s="15"/>
      <c r="Z1578" s="15"/>
    </row>
    <row r="1579" s="2" customFormat="1" spans="1:26">
      <c r="A1579" s="15"/>
      <c r="B1579" s="15"/>
      <c r="C1579" s="15"/>
      <c r="D1579" s="15"/>
      <c r="E1579" s="15"/>
      <c r="F1579" s="15"/>
      <c r="G1579" s="15"/>
      <c r="H1579" s="15"/>
      <c r="I1579" s="15"/>
      <c r="J1579" s="15"/>
      <c r="K1579" s="15"/>
      <c r="L1579" s="15"/>
      <c r="M1579" s="15"/>
      <c r="N1579" s="15"/>
      <c r="O1579" s="15"/>
      <c r="P1579" s="15"/>
      <c r="Q1579" s="15"/>
      <c r="R1579" s="15"/>
      <c r="S1579" s="15"/>
      <c r="T1579" s="15"/>
      <c r="U1579" s="15"/>
      <c r="V1579" s="15"/>
      <c r="W1579" s="15"/>
      <c r="X1579" s="15"/>
      <c r="Y1579" s="15"/>
      <c r="Z1579" s="15"/>
    </row>
    <row r="1580" s="2" customFormat="1" spans="1:26">
      <c r="A1580" s="15"/>
      <c r="B1580" s="15"/>
      <c r="C1580" s="15"/>
      <c r="D1580" s="15"/>
      <c r="E1580" s="15"/>
      <c r="F1580" s="15"/>
      <c r="G1580" s="15"/>
      <c r="H1580" s="15"/>
      <c r="I1580" s="15"/>
      <c r="J1580" s="15"/>
      <c r="K1580" s="15"/>
      <c r="L1580" s="15"/>
      <c r="M1580" s="15"/>
      <c r="N1580" s="15"/>
      <c r="O1580" s="15"/>
      <c r="P1580" s="15"/>
      <c r="Q1580" s="15"/>
      <c r="R1580" s="15"/>
      <c r="S1580" s="15"/>
      <c r="T1580" s="15"/>
      <c r="U1580" s="15"/>
      <c r="V1580" s="15"/>
      <c r="W1580" s="15"/>
      <c r="X1580" s="15"/>
      <c r="Y1580" s="15"/>
      <c r="Z1580" s="15"/>
    </row>
    <row r="1581" s="2" customFormat="1" spans="1:26">
      <c r="A1581" s="15"/>
      <c r="B1581" s="15"/>
      <c r="C1581" s="15"/>
      <c r="D1581" s="15"/>
      <c r="E1581" s="15"/>
      <c r="F1581" s="15"/>
      <c r="G1581" s="15"/>
      <c r="H1581" s="15"/>
      <c r="I1581" s="15"/>
      <c r="J1581" s="15"/>
      <c r="K1581" s="15"/>
      <c r="L1581" s="15"/>
      <c r="M1581" s="15"/>
      <c r="N1581" s="15"/>
      <c r="O1581" s="15"/>
      <c r="P1581" s="15"/>
      <c r="Q1581" s="15"/>
      <c r="R1581" s="15"/>
      <c r="S1581" s="15"/>
      <c r="T1581" s="15"/>
      <c r="U1581" s="15"/>
      <c r="V1581" s="15"/>
      <c r="W1581" s="15"/>
      <c r="X1581" s="15"/>
      <c r="Y1581" s="15"/>
      <c r="Z1581" s="15"/>
    </row>
    <row r="1582" s="2" customFormat="1" spans="1:26">
      <c r="A1582" s="15"/>
      <c r="B1582" s="15"/>
      <c r="C1582" s="15"/>
      <c r="D1582" s="15"/>
      <c r="E1582" s="15"/>
      <c r="F1582" s="15"/>
      <c r="G1582" s="15"/>
      <c r="H1582" s="15"/>
      <c r="I1582" s="15"/>
      <c r="J1582" s="15"/>
      <c r="K1582" s="15"/>
      <c r="L1582" s="15"/>
      <c r="M1582" s="15"/>
      <c r="N1582" s="15"/>
      <c r="O1582" s="15"/>
      <c r="P1582" s="15"/>
      <c r="Q1582" s="15"/>
      <c r="R1582" s="15"/>
      <c r="S1582" s="15"/>
      <c r="T1582" s="15"/>
      <c r="U1582" s="15"/>
      <c r="V1582" s="15"/>
      <c r="W1582" s="15"/>
      <c r="X1582" s="15"/>
      <c r="Y1582" s="15"/>
      <c r="Z1582" s="15"/>
    </row>
    <row r="1583" s="2" customFormat="1" spans="1:26">
      <c r="A1583" s="15"/>
      <c r="B1583" s="15"/>
      <c r="C1583" s="15"/>
      <c r="D1583" s="15"/>
      <c r="E1583" s="15"/>
      <c r="F1583" s="15"/>
      <c r="G1583" s="15"/>
      <c r="H1583" s="15"/>
      <c r="I1583" s="15"/>
      <c r="J1583" s="15"/>
      <c r="K1583" s="15"/>
      <c r="L1583" s="15"/>
      <c r="M1583" s="15"/>
      <c r="N1583" s="15"/>
      <c r="O1583" s="15"/>
      <c r="P1583" s="15"/>
      <c r="Q1583" s="15"/>
      <c r="R1583" s="15"/>
      <c r="S1583" s="15"/>
      <c r="T1583" s="15"/>
      <c r="U1583" s="15"/>
      <c r="V1583" s="15"/>
      <c r="W1583" s="15"/>
      <c r="X1583" s="15"/>
      <c r="Y1583" s="15"/>
      <c r="Z1583" s="15"/>
    </row>
    <row r="1584" s="2" customFormat="1" spans="1:26">
      <c r="A1584" s="15"/>
      <c r="B1584" s="15"/>
      <c r="C1584" s="15"/>
      <c r="D1584" s="15"/>
      <c r="E1584" s="15"/>
      <c r="F1584" s="15"/>
      <c r="G1584" s="15"/>
      <c r="H1584" s="15"/>
      <c r="I1584" s="15"/>
      <c r="J1584" s="15"/>
      <c r="K1584" s="15"/>
      <c r="L1584" s="15"/>
      <c r="M1584" s="15"/>
      <c r="N1584" s="15"/>
      <c r="O1584" s="15"/>
      <c r="P1584" s="15"/>
      <c r="Q1584" s="15"/>
      <c r="R1584" s="15"/>
      <c r="S1584" s="15"/>
      <c r="T1584" s="15"/>
      <c r="U1584" s="15"/>
      <c r="V1584" s="15"/>
      <c r="W1584" s="15"/>
      <c r="X1584" s="15"/>
      <c r="Y1584" s="15"/>
      <c r="Z1584" s="15"/>
    </row>
    <row r="1585" s="2" customFormat="1" spans="1:26">
      <c r="A1585" s="15"/>
      <c r="B1585" s="15"/>
      <c r="C1585" s="15"/>
      <c r="D1585" s="15"/>
      <c r="E1585" s="15"/>
      <c r="F1585" s="15"/>
      <c r="G1585" s="15"/>
      <c r="H1585" s="15"/>
      <c r="I1585" s="15"/>
      <c r="J1585" s="15"/>
      <c r="K1585" s="15"/>
      <c r="L1585" s="15"/>
      <c r="M1585" s="15"/>
      <c r="N1585" s="15"/>
      <c r="O1585" s="15"/>
      <c r="P1585" s="15"/>
      <c r="Q1585" s="15"/>
      <c r="R1585" s="15"/>
      <c r="S1585" s="15"/>
      <c r="T1585" s="15"/>
      <c r="U1585" s="15"/>
      <c r="V1585" s="15"/>
      <c r="W1585" s="15"/>
      <c r="X1585" s="15"/>
      <c r="Y1585" s="15"/>
      <c r="Z1585" s="15"/>
    </row>
    <row r="1586" s="2" customFormat="1" spans="1:26">
      <c r="A1586" s="15"/>
      <c r="B1586" s="15"/>
      <c r="C1586" s="15"/>
      <c r="D1586" s="15"/>
      <c r="E1586" s="15"/>
      <c r="F1586" s="15"/>
      <c r="G1586" s="15"/>
      <c r="H1586" s="15"/>
      <c r="I1586" s="15"/>
      <c r="J1586" s="15"/>
      <c r="K1586" s="15"/>
      <c r="L1586" s="15"/>
      <c r="M1586" s="15"/>
      <c r="N1586" s="15"/>
      <c r="O1586" s="15"/>
      <c r="P1586" s="15"/>
      <c r="Q1586" s="15"/>
      <c r="R1586" s="15"/>
      <c r="S1586" s="15"/>
      <c r="T1586" s="15"/>
      <c r="U1586" s="15"/>
      <c r="V1586" s="15"/>
      <c r="W1586" s="15"/>
      <c r="X1586" s="15"/>
      <c r="Y1586" s="15"/>
      <c r="Z1586" s="15"/>
    </row>
    <row r="1587" s="2" customFormat="1" spans="1:26">
      <c r="A1587" s="15"/>
      <c r="B1587" s="15"/>
      <c r="C1587" s="15"/>
      <c r="D1587" s="15"/>
      <c r="E1587" s="15"/>
      <c r="F1587" s="15"/>
      <c r="G1587" s="15"/>
      <c r="H1587" s="15"/>
      <c r="I1587" s="15"/>
      <c r="J1587" s="15"/>
      <c r="K1587" s="15"/>
      <c r="L1587" s="15"/>
      <c r="M1587" s="15"/>
      <c r="N1587" s="15"/>
      <c r="O1587" s="15"/>
      <c r="P1587" s="15"/>
      <c r="Q1587" s="15"/>
      <c r="R1587" s="15"/>
      <c r="S1587" s="15"/>
      <c r="T1587" s="15"/>
      <c r="U1587" s="15"/>
      <c r="V1587" s="15"/>
      <c r="W1587" s="15"/>
      <c r="X1587" s="15"/>
      <c r="Y1587" s="15"/>
      <c r="Z1587" s="15"/>
    </row>
    <row r="1588" s="2" customFormat="1" spans="1:26">
      <c r="A1588" s="15"/>
      <c r="B1588" s="15"/>
      <c r="C1588" s="15"/>
      <c r="D1588" s="15"/>
      <c r="E1588" s="15"/>
      <c r="F1588" s="15"/>
      <c r="G1588" s="15"/>
      <c r="H1588" s="15"/>
      <c r="I1588" s="15"/>
      <c r="J1588" s="15"/>
      <c r="K1588" s="15"/>
      <c r="L1588" s="15"/>
      <c r="M1588" s="15"/>
      <c r="N1588" s="15"/>
      <c r="O1588" s="15"/>
      <c r="P1588" s="15"/>
      <c r="Q1588" s="15"/>
      <c r="R1588" s="15"/>
      <c r="S1588" s="15"/>
      <c r="T1588" s="15"/>
      <c r="U1588" s="15"/>
      <c r="V1588" s="15"/>
      <c r="W1588" s="15"/>
      <c r="X1588" s="15"/>
      <c r="Y1588" s="15"/>
      <c r="Z1588" s="15"/>
    </row>
    <row r="1589" s="2" customFormat="1" spans="1:26">
      <c r="A1589" s="15"/>
      <c r="B1589" s="15"/>
      <c r="C1589" s="15"/>
      <c r="D1589" s="15"/>
      <c r="E1589" s="15"/>
      <c r="F1589" s="15"/>
      <c r="G1589" s="15"/>
      <c r="H1589" s="15"/>
      <c r="I1589" s="15"/>
      <c r="J1589" s="15"/>
      <c r="K1589" s="15"/>
      <c r="L1589" s="15"/>
      <c r="M1589" s="15"/>
      <c r="N1589" s="15"/>
      <c r="O1589" s="15"/>
      <c r="P1589" s="15"/>
      <c r="Q1589" s="15"/>
      <c r="R1589" s="15"/>
      <c r="S1589" s="15"/>
      <c r="T1589" s="15"/>
      <c r="U1589" s="15"/>
      <c r="V1589" s="15"/>
      <c r="W1589" s="15"/>
      <c r="X1589" s="15"/>
      <c r="Y1589" s="15"/>
      <c r="Z1589" s="15"/>
    </row>
    <row r="1590" s="2" customFormat="1" spans="1:26">
      <c r="A1590" s="15"/>
      <c r="B1590" s="15"/>
      <c r="C1590" s="15"/>
      <c r="D1590" s="15"/>
      <c r="E1590" s="15"/>
      <c r="F1590" s="15"/>
      <c r="G1590" s="15"/>
      <c r="H1590" s="15"/>
      <c r="I1590" s="15"/>
      <c r="J1590" s="15"/>
      <c r="K1590" s="15"/>
      <c r="L1590" s="15"/>
      <c r="M1590" s="15"/>
      <c r="N1590" s="15"/>
      <c r="O1590" s="15"/>
      <c r="P1590" s="15"/>
      <c r="Q1590" s="15"/>
      <c r="R1590" s="15"/>
      <c r="S1590" s="15"/>
      <c r="T1590" s="15"/>
      <c r="U1590" s="15"/>
      <c r="V1590" s="15"/>
      <c r="W1590" s="15"/>
      <c r="X1590" s="15"/>
      <c r="Y1590" s="15"/>
      <c r="Z1590" s="15"/>
    </row>
    <row r="1591" s="2" customFormat="1" spans="1:26">
      <c r="A1591" s="15"/>
      <c r="B1591" s="15"/>
      <c r="C1591" s="15"/>
      <c r="D1591" s="15"/>
      <c r="E1591" s="15"/>
      <c r="F1591" s="15"/>
      <c r="G1591" s="15"/>
      <c r="H1591" s="15"/>
      <c r="I1591" s="15"/>
      <c r="J1591" s="15"/>
      <c r="K1591" s="15"/>
      <c r="L1591" s="15"/>
      <c r="M1591" s="15"/>
      <c r="N1591" s="15"/>
      <c r="O1591" s="15"/>
      <c r="P1591" s="15"/>
      <c r="Q1591" s="15"/>
      <c r="R1591" s="15"/>
      <c r="S1591" s="15"/>
      <c r="T1591" s="15"/>
      <c r="U1591" s="15"/>
      <c r="V1591" s="15"/>
      <c r="W1591" s="15"/>
      <c r="X1591" s="15"/>
      <c r="Y1591" s="15"/>
      <c r="Z1591" s="15"/>
    </row>
    <row r="1592" s="2" customFormat="1" spans="1:26">
      <c r="A1592" s="15"/>
      <c r="B1592" s="15"/>
      <c r="C1592" s="15"/>
      <c r="D1592" s="15"/>
      <c r="E1592" s="15"/>
      <c r="F1592" s="15"/>
      <c r="G1592" s="15"/>
      <c r="H1592" s="15"/>
      <c r="I1592" s="15"/>
      <c r="J1592" s="15"/>
      <c r="K1592" s="15"/>
      <c r="L1592" s="15"/>
      <c r="M1592" s="15"/>
      <c r="N1592" s="15"/>
      <c r="O1592" s="15"/>
      <c r="P1592" s="15"/>
      <c r="Q1592" s="15"/>
      <c r="R1592" s="15"/>
      <c r="S1592" s="15"/>
      <c r="T1592" s="15"/>
      <c r="U1592" s="15"/>
      <c r="V1592" s="15"/>
      <c r="W1592" s="15"/>
      <c r="X1592" s="15"/>
      <c r="Y1592" s="15"/>
      <c r="Z1592" s="15"/>
    </row>
    <row r="1593" s="2" customFormat="1" spans="1:26">
      <c r="A1593" s="15"/>
      <c r="B1593" s="15"/>
      <c r="C1593" s="15"/>
      <c r="D1593" s="15"/>
      <c r="E1593" s="15"/>
      <c r="F1593" s="15"/>
      <c r="G1593" s="15"/>
      <c r="H1593" s="15"/>
      <c r="I1593" s="15"/>
      <c r="J1593" s="15"/>
      <c r="K1593" s="15"/>
      <c r="L1593" s="15"/>
      <c r="M1593" s="15"/>
      <c r="N1593" s="15"/>
      <c r="O1593" s="15"/>
      <c r="P1593" s="15"/>
      <c r="Q1593" s="15"/>
      <c r="R1593" s="15"/>
      <c r="S1593" s="15"/>
      <c r="T1593" s="15"/>
      <c r="U1593" s="15"/>
      <c r="V1593" s="15"/>
      <c r="W1593" s="15"/>
      <c r="X1593" s="15"/>
      <c r="Y1593" s="15"/>
      <c r="Z1593" s="15"/>
    </row>
    <row r="1594" s="2" customFormat="1" spans="1:26">
      <c r="A1594" s="15"/>
      <c r="B1594" s="15"/>
      <c r="C1594" s="15"/>
      <c r="D1594" s="15"/>
      <c r="E1594" s="15"/>
      <c r="F1594" s="15"/>
      <c r="G1594" s="15"/>
      <c r="H1594" s="15"/>
      <c r="I1594" s="15"/>
      <c r="J1594" s="15"/>
      <c r="K1594" s="15"/>
      <c r="L1594" s="15"/>
      <c r="M1594" s="15"/>
      <c r="N1594" s="15"/>
      <c r="O1594" s="15"/>
      <c r="P1594" s="15"/>
      <c r="Q1594" s="15"/>
      <c r="R1594" s="15"/>
      <c r="S1594" s="15"/>
      <c r="T1594" s="15"/>
      <c r="U1594" s="15"/>
      <c r="V1594" s="15"/>
      <c r="W1594" s="15"/>
      <c r="X1594" s="15"/>
      <c r="Y1594" s="15"/>
      <c r="Z1594" s="15"/>
    </row>
    <row r="1595" s="2" customFormat="1" spans="1:26">
      <c r="A1595" s="15"/>
      <c r="B1595" s="15"/>
      <c r="C1595" s="15"/>
      <c r="D1595" s="15"/>
      <c r="E1595" s="15"/>
      <c r="F1595" s="15"/>
      <c r="G1595" s="15"/>
      <c r="H1595" s="15"/>
      <c r="I1595" s="15"/>
      <c r="J1595" s="15"/>
      <c r="K1595" s="15"/>
      <c r="L1595" s="15"/>
      <c r="M1595" s="15"/>
      <c r="N1595" s="15"/>
      <c r="O1595" s="15"/>
      <c r="P1595" s="15"/>
      <c r="Q1595" s="15"/>
      <c r="R1595" s="15"/>
      <c r="S1595" s="15"/>
      <c r="T1595" s="15"/>
      <c r="U1595" s="15"/>
      <c r="V1595" s="15"/>
      <c r="W1595" s="15"/>
      <c r="X1595" s="15"/>
      <c r="Y1595" s="15"/>
      <c r="Z1595" s="15"/>
    </row>
    <row r="1596" s="2" customFormat="1" spans="1:26">
      <c r="A1596" s="15"/>
      <c r="B1596" s="15"/>
      <c r="C1596" s="15"/>
      <c r="D1596" s="15"/>
      <c r="E1596" s="15"/>
      <c r="F1596" s="15"/>
      <c r="G1596" s="15"/>
      <c r="H1596" s="15"/>
      <c r="I1596" s="15"/>
      <c r="J1596" s="15"/>
      <c r="K1596" s="15"/>
      <c r="L1596" s="15"/>
      <c r="M1596" s="15"/>
      <c r="N1596" s="15"/>
      <c r="O1596" s="15"/>
      <c r="P1596" s="15"/>
      <c r="Q1596" s="15"/>
      <c r="R1596" s="15"/>
      <c r="S1596" s="15"/>
      <c r="T1596" s="15"/>
      <c r="U1596" s="15"/>
      <c r="V1596" s="15"/>
      <c r="W1596" s="15"/>
      <c r="X1596" s="15"/>
      <c r="Y1596" s="15"/>
      <c r="Z1596" s="15"/>
    </row>
    <row r="1597" s="2" customFormat="1" spans="1:26">
      <c r="A1597" s="15"/>
      <c r="B1597" s="15"/>
      <c r="C1597" s="15"/>
      <c r="D1597" s="15"/>
      <c r="E1597" s="15"/>
      <c r="F1597" s="15"/>
      <c r="G1597" s="15"/>
      <c r="H1597" s="15"/>
      <c r="I1597" s="15"/>
      <c r="J1597" s="15"/>
      <c r="K1597" s="15"/>
      <c r="L1597" s="15"/>
      <c r="M1597" s="15"/>
      <c r="N1597" s="15"/>
      <c r="O1597" s="15"/>
      <c r="P1597" s="15"/>
      <c r="Q1597" s="15"/>
      <c r="R1597" s="15"/>
      <c r="S1597" s="15"/>
      <c r="T1597" s="15"/>
      <c r="U1597" s="15"/>
      <c r="V1597" s="15"/>
      <c r="W1597" s="15"/>
      <c r="X1597" s="15"/>
      <c r="Y1597" s="15"/>
      <c r="Z1597" s="15"/>
    </row>
    <row r="1598" s="2" customFormat="1" spans="1:26">
      <c r="A1598" s="15"/>
      <c r="B1598" s="15"/>
      <c r="C1598" s="15"/>
      <c r="D1598" s="15"/>
      <c r="E1598" s="15"/>
      <c r="F1598" s="15"/>
      <c r="G1598" s="15"/>
      <c r="H1598" s="15"/>
      <c r="I1598" s="15"/>
      <c r="J1598" s="15"/>
      <c r="K1598" s="15"/>
      <c r="L1598" s="15"/>
      <c r="M1598" s="15"/>
      <c r="N1598" s="15"/>
      <c r="O1598" s="15"/>
      <c r="P1598" s="15"/>
      <c r="Q1598" s="15"/>
      <c r="R1598" s="15"/>
      <c r="S1598" s="15"/>
      <c r="T1598" s="15"/>
      <c r="U1598" s="15"/>
      <c r="V1598" s="15"/>
      <c r="W1598" s="15"/>
      <c r="X1598" s="15"/>
      <c r="Y1598" s="15"/>
      <c r="Z1598" s="15"/>
    </row>
    <row r="1599" s="2" customFormat="1" spans="1:26">
      <c r="A1599" s="15"/>
      <c r="B1599" s="15"/>
      <c r="C1599" s="15"/>
      <c r="D1599" s="15"/>
      <c r="E1599" s="15"/>
      <c r="F1599" s="15"/>
      <c r="G1599" s="15"/>
      <c r="H1599" s="15"/>
      <c r="I1599" s="15"/>
      <c r="J1599" s="15"/>
      <c r="K1599" s="15"/>
      <c r="L1599" s="15"/>
      <c r="M1599" s="15"/>
      <c r="N1599" s="15"/>
      <c r="O1599" s="15"/>
      <c r="P1599" s="15"/>
      <c r="Q1599" s="15"/>
      <c r="R1599" s="15"/>
      <c r="S1599" s="15"/>
      <c r="T1599" s="15"/>
      <c r="U1599" s="15"/>
      <c r="V1599" s="15"/>
      <c r="W1599" s="15"/>
      <c r="X1599" s="15"/>
      <c r="Y1599" s="15"/>
      <c r="Z1599" s="15"/>
    </row>
    <row r="1600" s="2" customFormat="1" spans="1:26">
      <c r="A1600" s="15"/>
      <c r="B1600" s="15"/>
      <c r="C1600" s="15"/>
      <c r="D1600" s="15"/>
      <c r="E1600" s="15"/>
      <c r="F1600" s="15"/>
      <c r="G1600" s="15"/>
      <c r="H1600" s="15"/>
      <c r="I1600" s="15"/>
      <c r="J1600" s="15"/>
      <c r="K1600" s="15"/>
      <c r="L1600" s="15"/>
      <c r="M1600" s="15"/>
      <c r="N1600" s="15"/>
      <c r="O1600" s="15"/>
      <c r="P1600" s="15"/>
      <c r="Q1600" s="15"/>
      <c r="R1600" s="15"/>
      <c r="S1600" s="15"/>
      <c r="T1600" s="15"/>
      <c r="U1600" s="15"/>
      <c r="V1600" s="15"/>
      <c r="W1600" s="15"/>
      <c r="X1600" s="15"/>
      <c r="Y1600" s="15"/>
      <c r="Z1600" s="15"/>
    </row>
    <row r="1601" s="2" customFormat="1" spans="1:26">
      <c r="A1601" s="15"/>
      <c r="B1601" s="15"/>
      <c r="C1601" s="15"/>
      <c r="D1601" s="15"/>
      <c r="E1601" s="15"/>
      <c r="F1601" s="15"/>
      <c r="G1601" s="15"/>
      <c r="H1601" s="15"/>
      <c r="I1601" s="15"/>
      <c r="J1601" s="15"/>
      <c r="K1601" s="15"/>
      <c r="L1601" s="15"/>
      <c r="M1601" s="15"/>
      <c r="N1601" s="15"/>
      <c r="O1601" s="15"/>
      <c r="P1601" s="15"/>
      <c r="Q1601" s="15"/>
      <c r="R1601" s="15"/>
      <c r="S1601" s="15"/>
      <c r="T1601" s="15"/>
      <c r="U1601" s="15"/>
      <c r="V1601" s="15"/>
      <c r="W1601" s="15"/>
      <c r="X1601" s="15"/>
      <c r="Y1601" s="15"/>
      <c r="Z1601" s="15"/>
    </row>
    <row r="1602" s="2" customFormat="1" spans="1:26">
      <c r="A1602" s="15"/>
      <c r="B1602" s="15"/>
      <c r="C1602" s="15"/>
      <c r="D1602" s="15"/>
      <c r="E1602" s="15"/>
      <c r="F1602" s="15"/>
      <c r="G1602" s="15"/>
      <c r="H1602" s="15"/>
      <c r="I1602" s="15"/>
      <c r="J1602" s="15"/>
      <c r="K1602" s="15"/>
      <c r="L1602" s="15"/>
      <c r="M1602" s="15"/>
      <c r="N1602" s="15"/>
      <c r="O1602" s="15"/>
      <c r="P1602" s="15"/>
      <c r="Q1602" s="15"/>
      <c r="R1602" s="15"/>
      <c r="S1602" s="15"/>
      <c r="T1602" s="15"/>
      <c r="U1602" s="15"/>
      <c r="V1602" s="15"/>
      <c r="W1602" s="15"/>
      <c r="X1602" s="15"/>
      <c r="Y1602" s="15"/>
      <c r="Z1602" s="15"/>
    </row>
    <row r="1603" s="2" customFormat="1" spans="1:26">
      <c r="A1603" s="15"/>
      <c r="B1603" s="15"/>
      <c r="C1603" s="15"/>
      <c r="D1603" s="15"/>
      <c r="E1603" s="15"/>
      <c r="F1603" s="15"/>
      <c r="G1603" s="15"/>
      <c r="H1603" s="15"/>
      <c r="I1603" s="15"/>
      <c r="J1603" s="15"/>
      <c r="K1603" s="15"/>
      <c r="L1603" s="15"/>
      <c r="M1603" s="15"/>
      <c r="N1603" s="15"/>
      <c r="O1603" s="15"/>
      <c r="P1603" s="15"/>
      <c r="Q1603" s="15"/>
      <c r="R1603" s="15"/>
      <c r="S1603" s="15"/>
      <c r="T1603" s="15"/>
      <c r="U1603" s="15"/>
      <c r="V1603" s="15"/>
      <c r="W1603" s="15"/>
      <c r="X1603" s="15"/>
      <c r="Y1603" s="15"/>
      <c r="Z1603" s="15"/>
    </row>
    <row r="1604" s="2" customFormat="1" spans="1:26">
      <c r="A1604" s="15"/>
      <c r="B1604" s="15"/>
      <c r="C1604" s="15"/>
      <c r="D1604" s="15"/>
      <c r="E1604" s="15"/>
      <c r="F1604" s="15"/>
      <c r="G1604" s="15"/>
      <c r="H1604" s="15"/>
      <c r="I1604" s="15"/>
      <c r="J1604" s="15"/>
      <c r="K1604" s="15"/>
      <c r="L1604" s="15"/>
      <c r="M1604" s="15"/>
      <c r="N1604" s="15"/>
      <c r="O1604" s="15"/>
      <c r="P1604" s="15"/>
      <c r="Q1604" s="15"/>
      <c r="R1604" s="15"/>
      <c r="S1604" s="15"/>
      <c r="T1604" s="15"/>
      <c r="U1604" s="15"/>
      <c r="V1604" s="15"/>
      <c r="W1604" s="15"/>
      <c r="X1604" s="15"/>
      <c r="Y1604" s="15"/>
      <c r="Z1604" s="15"/>
    </row>
    <row r="1605" s="2" customFormat="1" spans="1:26">
      <c r="A1605" s="15"/>
      <c r="B1605" s="15"/>
      <c r="C1605" s="15"/>
      <c r="D1605" s="15"/>
      <c r="E1605" s="15"/>
      <c r="F1605" s="15"/>
      <c r="G1605" s="15"/>
      <c r="H1605" s="15"/>
      <c r="I1605" s="15"/>
      <c r="J1605" s="15"/>
      <c r="K1605" s="15"/>
      <c r="L1605" s="15"/>
      <c r="M1605" s="15"/>
      <c r="N1605" s="15"/>
      <c r="O1605" s="15"/>
      <c r="P1605" s="15"/>
      <c r="Q1605" s="15"/>
      <c r="R1605" s="15"/>
      <c r="S1605" s="15"/>
      <c r="T1605" s="15"/>
      <c r="U1605" s="15"/>
      <c r="V1605" s="15"/>
      <c r="W1605" s="15"/>
      <c r="X1605" s="15"/>
      <c r="Y1605" s="15"/>
      <c r="Z1605" s="15"/>
    </row>
    <row r="1606" s="2" customFormat="1" spans="1:26">
      <c r="A1606" s="15"/>
      <c r="B1606" s="15"/>
      <c r="C1606" s="15"/>
      <c r="D1606" s="15"/>
      <c r="E1606" s="15"/>
      <c r="F1606" s="15"/>
      <c r="G1606" s="15"/>
      <c r="H1606" s="15"/>
      <c r="I1606" s="15"/>
      <c r="J1606" s="15"/>
      <c r="K1606" s="15"/>
      <c r="L1606" s="15"/>
      <c r="M1606" s="15"/>
      <c r="N1606" s="15"/>
      <c r="O1606" s="15"/>
      <c r="P1606" s="15"/>
      <c r="Q1606" s="15"/>
      <c r="R1606" s="15"/>
      <c r="S1606" s="15"/>
      <c r="T1606" s="15"/>
      <c r="U1606" s="15"/>
      <c r="V1606" s="15"/>
      <c r="W1606" s="15"/>
      <c r="X1606" s="15"/>
      <c r="Y1606" s="15"/>
      <c r="Z1606" s="15"/>
    </row>
    <row r="1607" s="2" customFormat="1" spans="1:26">
      <c r="A1607" s="15"/>
      <c r="B1607" s="15"/>
      <c r="C1607" s="15"/>
      <c r="D1607" s="15"/>
      <c r="E1607" s="15"/>
      <c r="F1607" s="15"/>
      <c r="G1607" s="15"/>
      <c r="H1607" s="15"/>
      <c r="I1607" s="15"/>
      <c r="J1607" s="15"/>
      <c r="K1607" s="15"/>
      <c r="L1607" s="15"/>
      <c r="M1607" s="15"/>
      <c r="N1607" s="15"/>
      <c r="O1607" s="15"/>
      <c r="P1607" s="15"/>
      <c r="Q1607" s="15"/>
      <c r="R1607" s="15"/>
      <c r="S1607" s="15"/>
      <c r="T1607" s="15"/>
      <c r="U1607" s="15"/>
      <c r="V1607" s="15"/>
      <c r="W1607" s="15"/>
      <c r="X1607" s="15"/>
      <c r="Y1607" s="15"/>
      <c r="Z1607" s="15"/>
    </row>
    <row r="1608" s="2" customFormat="1" spans="1:26">
      <c r="A1608" s="15"/>
      <c r="B1608" s="15"/>
      <c r="C1608" s="15"/>
      <c r="D1608" s="15"/>
      <c r="E1608" s="15"/>
      <c r="F1608" s="15"/>
      <c r="G1608" s="15"/>
      <c r="H1608" s="15"/>
      <c r="I1608" s="15"/>
      <c r="J1608" s="15"/>
      <c r="K1608" s="15"/>
      <c r="L1608" s="15"/>
      <c r="M1608" s="15"/>
      <c r="N1608" s="15"/>
      <c r="O1608" s="15"/>
      <c r="P1608" s="15"/>
      <c r="Q1608" s="15"/>
      <c r="R1608" s="15"/>
      <c r="S1608" s="15"/>
      <c r="T1608" s="15"/>
      <c r="U1608" s="15"/>
      <c r="V1608" s="15"/>
      <c r="W1608" s="15"/>
      <c r="X1608" s="15"/>
      <c r="Y1608" s="15"/>
      <c r="Z1608" s="15"/>
    </row>
    <row r="1609" s="2" customFormat="1" spans="1:26">
      <c r="A1609" s="15"/>
      <c r="B1609" s="15"/>
      <c r="C1609" s="15"/>
      <c r="D1609" s="15"/>
      <c r="E1609" s="15"/>
      <c r="F1609" s="15"/>
      <c r="G1609" s="15"/>
      <c r="H1609" s="15"/>
      <c r="I1609" s="15"/>
      <c r="J1609" s="15"/>
      <c r="K1609" s="15"/>
      <c r="L1609" s="15"/>
      <c r="M1609" s="15"/>
      <c r="N1609" s="15"/>
      <c r="O1609" s="15"/>
      <c r="P1609" s="15"/>
      <c r="Q1609" s="15"/>
      <c r="R1609" s="15"/>
      <c r="S1609" s="15"/>
      <c r="T1609" s="15"/>
      <c r="U1609" s="15"/>
      <c r="V1609" s="15"/>
      <c r="W1609" s="15"/>
      <c r="X1609" s="15"/>
      <c r="Y1609" s="15"/>
      <c r="Z1609" s="15"/>
    </row>
    <row r="1610" s="2" customFormat="1" spans="1:26">
      <c r="A1610" s="15"/>
      <c r="B1610" s="15"/>
      <c r="C1610" s="15"/>
      <c r="D1610" s="15"/>
      <c r="E1610" s="15"/>
      <c r="F1610" s="15"/>
      <c r="G1610" s="15"/>
      <c r="H1610" s="15"/>
      <c r="I1610" s="15"/>
      <c r="J1610" s="15"/>
      <c r="K1610" s="15"/>
      <c r="L1610" s="15"/>
      <c r="M1610" s="15"/>
      <c r="N1610" s="15"/>
      <c r="O1610" s="15"/>
      <c r="P1610" s="15"/>
      <c r="Q1610" s="15"/>
      <c r="R1610" s="15"/>
      <c r="S1610" s="15"/>
      <c r="T1610" s="15"/>
      <c r="U1610" s="15"/>
      <c r="V1610" s="15"/>
      <c r="W1610" s="15"/>
      <c r="X1610" s="15"/>
      <c r="Y1610" s="15"/>
      <c r="Z1610" s="15"/>
    </row>
    <row r="1611" s="2" customFormat="1" spans="1:26">
      <c r="A1611" s="15"/>
      <c r="B1611" s="15"/>
      <c r="C1611" s="15"/>
      <c r="D1611" s="15"/>
      <c r="E1611" s="15"/>
      <c r="F1611" s="15"/>
      <c r="G1611" s="15"/>
      <c r="H1611" s="15"/>
      <c r="I1611" s="15"/>
      <c r="J1611" s="15"/>
      <c r="K1611" s="15"/>
      <c r="L1611" s="15"/>
      <c r="M1611" s="15"/>
      <c r="N1611" s="15"/>
      <c r="O1611" s="15"/>
      <c r="P1611" s="15"/>
      <c r="Q1611" s="15"/>
      <c r="R1611" s="15"/>
      <c r="S1611" s="15"/>
      <c r="T1611" s="15"/>
      <c r="U1611" s="15"/>
      <c r="V1611" s="15"/>
      <c r="W1611" s="15"/>
      <c r="X1611" s="15"/>
      <c r="Y1611" s="15"/>
      <c r="Z1611" s="15"/>
    </row>
    <row r="1612" s="2" customFormat="1" spans="1:26">
      <c r="A1612" s="15"/>
      <c r="B1612" s="15"/>
      <c r="C1612" s="15"/>
      <c r="D1612" s="15"/>
      <c r="E1612" s="15"/>
      <c r="F1612" s="15"/>
      <c r="G1612" s="15"/>
      <c r="H1612" s="15"/>
      <c r="I1612" s="15"/>
      <c r="J1612" s="15"/>
      <c r="K1612" s="15"/>
      <c r="L1612" s="15"/>
      <c r="M1612" s="15"/>
      <c r="N1612" s="15"/>
      <c r="O1612" s="15"/>
      <c r="P1612" s="15"/>
      <c r="Q1612" s="15"/>
      <c r="R1612" s="15"/>
      <c r="S1612" s="15"/>
      <c r="T1612" s="15"/>
      <c r="U1612" s="15"/>
      <c r="V1612" s="15"/>
      <c r="W1612" s="15"/>
      <c r="X1612" s="15"/>
      <c r="Y1612" s="15"/>
      <c r="Z1612" s="15"/>
    </row>
    <row r="1613" s="2" customFormat="1" spans="1:26">
      <c r="A1613" s="15"/>
      <c r="B1613" s="15"/>
      <c r="C1613" s="15"/>
      <c r="D1613" s="15"/>
      <c r="E1613" s="15"/>
      <c r="F1613" s="15"/>
      <c r="G1613" s="15"/>
      <c r="H1613" s="15"/>
      <c r="I1613" s="15"/>
      <c r="J1613" s="15"/>
      <c r="K1613" s="15"/>
      <c r="L1613" s="15"/>
      <c r="M1613" s="15"/>
      <c r="N1613" s="15"/>
      <c r="O1613" s="15"/>
      <c r="P1613" s="15"/>
      <c r="Q1613" s="15"/>
      <c r="R1613" s="15"/>
      <c r="S1613" s="15"/>
      <c r="T1613" s="15"/>
      <c r="U1613" s="15"/>
      <c r="V1613" s="15"/>
      <c r="W1613" s="15"/>
      <c r="X1613" s="15"/>
      <c r="Y1613" s="15"/>
      <c r="Z1613" s="15"/>
    </row>
    <row r="1614" s="2" customFormat="1" spans="1:26">
      <c r="A1614" s="15"/>
      <c r="B1614" s="15"/>
      <c r="C1614" s="15"/>
      <c r="D1614" s="15"/>
      <c r="E1614" s="15"/>
      <c r="F1614" s="15"/>
      <c r="G1614" s="15"/>
      <c r="H1614" s="15"/>
      <c r="I1614" s="15"/>
      <c r="J1614" s="15"/>
      <c r="K1614" s="15"/>
      <c r="L1614" s="15"/>
      <c r="M1614" s="15"/>
      <c r="N1614" s="15"/>
      <c r="O1614" s="15"/>
      <c r="P1614" s="15"/>
      <c r="Q1614" s="15"/>
      <c r="R1614" s="15"/>
      <c r="S1614" s="15"/>
      <c r="T1614" s="15"/>
      <c r="U1614" s="15"/>
      <c r="V1614" s="15"/>
      <c r="W1614" s="15"/>
      <c r="X1614" s="15"/>
      <c r="Y1614" s="15"/>
      <c r="Z1614" s="15"/>
    </row>
    <row r="1615" s="2" customFormat="1" spans="1:26">
      <c r="A1615" s="15"/>
      <c r="B1615" s="15"/>
      <c r="C1615" s="15"/>
      <c r="D1615" s="15"/>
      <c r="E1615" s="15"/>
      <c r="F1615" s="15"/>
      <c r="G1615" s="15"/>
      <c r="H1615" s="15"/>
      <c r="I1615" s="15"/>
      <c r="J1615" s="15"/>
      <c r="K1615" s="15"/>
      <c r="L1615" s="15"/>
      <c r="M1615" s="15"/>
      <c r="N1615" s="15"/>
      <c r="O1615" s="15"/>
      <c r="P1615" s="15"/>
      <c r="Q1615" s="15"/>
      <c r="R1615" s="15"/>
      <c r="S1615" s="15"/>
      <c r="T1615" s="15"/>
      <c r="U1615" s="15"/>
      <c r="V1615" s="15"/>
      <c r="W1615" s="15"/>
      <c r="X1615" s="15"/>
      <c r="Y1615" s="15"/>
      <c r="Z1615" s="15"/>
    </row>
    <row r="1616" s="2" customFormat="1" spans="1:26">
      <c r="A1616" s="15"/>
      <c r="B1616" s="15"/>
      <c r="C1616" s="15"/>
      <c r="D1616" s="15"/>
      <c r="E1616" s="15"/>
      <c r="F1616" s="15"/>
      <c r="G1616" s="15"/>
      <c r="H1616" s="15"/>
      <c r="I1616" s="15"/>
      <c r="J1616" s="15"/>
      <c r="K1616" s="15"/>
      <c r="L1616" s="15"/>
      <c r="M1616" s="15"/>
      <c r="N1616" s="15"/>
      <c r="O1616" s="15"/>
      <c r="P1616" s="15"/>
      <c r="Q1616" s="15"/>
      <c r="R1616" s="15"/>
      <c r="S1616" s="15"/>
      <c r="T1616" s="15"/>
      <c r="U1616" s="15"/>
      <c r="V1616" s="15"/>
      <c r="W1616" s="15"/>
      <c r="X1616" s="15"/>
      <c r="Y1616" s="15"/>
      <c r="Z1616" s="15"/>
    </row>
    <row r="1617" s="2" customFormat="1" spans="1:26">
      <c r="A1617" s="15"/>
      <c r="B1617" s="15"/>
      <c r="C1617" s="15"/>
      <c r="D1617" s="15"/>
      <c r="E1617" s="15"/>
      <c r="F1617" s="15"/>
      <c r="G1617" s="15"/>
      <c r="H1617" s="15"/>
      <c r="I1617" s="15"/>
      <c r="J1617" s="15"/>
      <c r="K1617" s="15"/>
      <c r="L1617" s="15"/>
      <c r="M1617" s="15"/>
      <c r="N1617" s="15"/>
      <c r="O1617" s="15"/>
      <c r="P1617" s="15"/>
      <c r="Q1617" s="15"/>
      <c r="R1617" s="15"/>
      <c r="S1617" s="15"/>
      <c r="T1617" s="15"/>
      <c r="U1617" s="15"/>
      <c r="V1617" s="15"/>
      <c r="W1617" s="15"/>
      <c r="X1617" s="15"/>
      <c r="Y1617" s="15"/>
      <c r="Z1617" s="15"/>
    </row>
    <row r="1618" s="2" customFormat="1" spans="1:26">
      <c r="A1618" s="15"/>
      <c r="B1618" s="15"/>
      <c r="C1618" s="15"/>
      <c r="D1618" s="15"/>
      <c r="E1618" s="15"/>
      <c r="F1618" s="15"/>
      <c r="G1618" s="15"/>
      <c r="H1618" s="15"/>
      <c r="I1618" s="15"/>
      <c r="J1618" s="15"/>
      <c r="K1618" s="15"/>
      <c r="L1618" s="15"/>
      <c r="M1618" s="15"/>
      <c r="N1618" s="15"/>
      <c r="O1618" s="15"/>
      <c r="P1618" s="15"/>
      <c r="Q1618" s="15"/>
      <c r="R1618" s="15"/>
      <c r="S1618" s="15"/>
      <c r="T1618" s="15"/>
      <c r="U1618" s="15"/>
      <c r="V1618" s="15"/>
      <c r="W1618" s="15"/>
      <c r="X1618" s="15"/>
      <c r="Y1618" s="15"/>
      <c r="Z1618" s="15"/>
    </row>
    <row r="1619" s="2" customFormat="1" spans="1:26">
      <c r="A1619" s="15"/>
      <c r="B1619" s="15"/>
      <c r="C1619" s="15"/>
      <c r="D1619" s="15"/>
      <c r="E1619" s="15"/>
      <c r="F1619" s="15"/>
      <c r="G1619" s="15"/>
      <c r="H1619" s="15"/>
      <c r="I1619" s="15"/>
      <c r="J1619" s="15"/>
      <c r="K1619" s="15"/>
      <c r="L1619" s="15"/>
      <c r="M1619" s="15"/>
      <c r="N1619" s="15"/>
      <c r="O1619" s="15"/>
      <c r="P1619" s="15"/>
      <c r="Q1619" s="15"/>
      <c r="R1619" s="15"/>
      <c r="S1619" s="15"/>
      <c r="T1619" s="15"/>
      <c r="U1619" s="15"/>
      <c r="V1619" s="15"/>
      <c r="W1619" s="15"/>
      <c r="X1619" s="15"/>
      <c r="Y1619" s="15"/>
      <c r="Z1619" s="15"/>
    </row>
    <row r="1620" s="2" customFormat="1" spans="1:26">
      <c r="A1620" s="15"/>
      <c r="B1620" s="15"/>
      <c r="C1620" s="15"/>
      <c r="D1620" s="15"/>
      <c r="E1620" s="15"/>
      <c r="F1620" s="15"/>
      <c r="G1620" s="15"/>
      <c r="H1620" s="15"/>
      <c r="I1620" s="15"/>
      <c r="J1620" s="15"/>
      <c r="K1620" s="15"/>
      <c r="L1620" s="15"/>
      <c r="M1620" s="15"/>
      <c r="N1620" s="15"/>
      <c r="O1620" s="15"/>
      <c r="P1620" s="15"/>
      <c r="Q1620" s="15"/>
      <c r="R1620" s="15"/>
      <c r="S1620" s="15"/>
      <c r="T1620" s="15"/>
      <c r="U1620" s="15"/>
      <c r="V1620" s="15"/>
      <c r="W1620" s="15"/>
      <c r="X1620" s="15"/>
      <c r="Y1620" s="15"/>
      <c r="Z1620" s="15"/>
    </row>
    <row r="1621" s="2" customFormat="1" spans="1:26">
      <c r="A1621" s="15"/>
      <c r="B1621" s="15"/>
      <c r="C1621" s="15"/>
      <c r="D1621" s="15"/>
      <c r="E1621" s="15"/>
      <c r="F1621" s="15"/>
      <c r="G1621" s="15"/>
      <c r="H1621" s="15"/>
      <c r="I1621" s="15"/>
      <c r="J1621" s="15"/>
      <c r="K1621" s="15"/>
      <c r="L1621" s="15"/>
      <c r="M1621" s="15"/>
      <c r="N1621" s="15"/>
      <c r="O1621" s="15"/>
      <c r="P1621" s="15"/>
      <c r="Q1621" s="15"/>
      <c r="R1621" s="15"/>
      <c r="S1621" s="15"/>
      <c r="T1621" s="15"/>
      <c r="U1621" s="15"/>
      <c r="V1621" s="15"/>
      <c r="W1621" s="15"/>
      <c r="X1621" s="15"/>
      <c r="Y1621" s="15"/>
      <c r="Z1621" s="15"/>
    </row>
    <row r="1622" s="2" customFormat="1" spans="1:26">
      <c r="A1622" s="15"/>
      <c r="B1622" s="15"/>
      <c r="C1622" s="15"/>
      <c r="D1622" s="15"/>
      <c r="E1622" s="15"/>
      <c r="F1622" s="15"/>
      <c r="G1622" s="15"/>
      <c r="H1622" s="15"/>
      <c r="I1622" s="15"/>
      <c r="J1622" s="15"/>
      <c r="K1622" s="15"/>
      <c r="L1622" s="15"/>
      <c r="M1622" s="15"/>
      <c r="N1622" s="15"/>
      <c r="O1622" s="15"/>
      <c r="P1622" s="15"/>
      <c r="Q1622" s="15"/>
      <c r="R1622" s="15"/>
      <c r="S1622" s="15"/>
      <c r="T1622" s="15"/>
      <c r="U1622" s="15"/>
      <c r="V1622" s="15"/>
      <c r="W1622" s="15"/>
      <c r="X1622" s="15"/>
      <c r="Y1622" s="15"/>
      <c r="Z1622" s="15"/>
    </row>
    <row r="1623" s="2" customFormat="1" spans="1:26">
      <c r="A1623" s="15"/>
      <c r="B1623" s="15"/>
      <c r="C1623" s="15"/>
      <c r="D1623" s="15"/>
      <c r="E1623" s="15"/>
      <c r="F1623" s="15"/>
      <c r="G1623" s="15"/>
      <c r="H1623" s="15"/>
      <c r="I1623" s="15"/>
      <c r="J1623" s="15"/>
      <c r="K1623" s="15"/>
      <c r="L1623" s="15"/>
      <c r="M1623" s="15"/>
      <c r="N1623" s="15"/>
      <c r="O1623" s="15"/>
      <c r="P1623" s="15"/>
      <c r="Q1623" s="15"/>
      <c r="R1623" s="15"/>
      <c r="S1623" s="15"/>
      <c r="T1623" s="15"/>
      <c r="U1623" s="15"/>
      <c r="V1623" s="15"/>
      <c r="W1623" s="15"/>
      <c r="X1623" s="15"/>
      <c r="Y1623" s="15"/>
      <c r="Z1623" s="15"/>
    </row>
    <row r="1624" s="2" customFormat="1" spans="1:26">
      <c r="A1624" s="15"/>
      <c r="B1624" s="15"/>
      <c r="C1624" s="15"/>
      <c r="D1624" s="15"/>
      <c r="E1624" s="15"/>
      <c r="F1624" s="15"/>
      <c r="G1624" s="15"/>
      <c r="H1624" s="15"/>
      <c r="I1624" s="15"/>
      <c r="J1624" s="15"/>
      <c r="K1624" s="15"/>
      <c r="L1624" s="15"/>
      <c r="M1624" s="15"/>
      <c r="N1624" s="15"/>
      <c r="O1624" s="15"/>
      <c r="P1624" s="15"/>
      <c r="Q1624" s="15"/>
      <c r="R1624" s="15"/>
      <c r="S1624" s="15"/>
      <c r="T1624" s="15"/>
      <c r="U1624" s="15"/>
      <c r="V1624" s="15"/>
      <c r="W1624" s="15"/>
      <c r="X1624" s="15"/>
      <c r="Y1624" s="15"/>
      <c r="Z1624" s="15"/>
    </row>
    <row r="1625" s="2" customFormat="1" spans="1:26">
      <c r="A1625" s="15"/>
      <c r="B1625" s="15"/>
      <c r="C1625" s="15"/>
      <c r="D1625" s="15"/>
      <c r="E1625" s="15"/>
      <c r="F1625" s="15"/>
      <c r="G1625" s="15"/>
      <c r="H1625" s="15"/>
      <c r="I1625" s="15"/>
      <c r="J1625" s="15"/>
      <c r="K1625" s="15"/>
      <c r="L1625" s="15"/>
      <c r="M1625" s="15"/>
      <c r="N1625" s="15"/>
      <c r="O1625" s="15"/>
      <c r="P1625" s="15"/>
      <c r="Q1625" s="15"/>
      <c r="R1625" s="15"/>
      <c r="S1625" s="15"/>
      <c r="T1625" s="15"/>
      <c r="U1625" s="15"/>
      <c r="V1625" s="15"/>
      <c r="W1625" s="15"/>
      <c r="X1625" s="15"/>
      <c r="Y1625" s="15"/>
      <c r="Z1625" s="15"/>
    </row>
    <row r="1626" s="2" customFormat="1" spans="1:26">
      <c r="A1626" s="15"/>
      <c r="B1626" s="15"/>
      <c r="C1626" s="15"/>
      <c r="D1626" s="15"/>
      <c r="E1626" s="15"/>
      <c r="F1626" s="15"/>
      <c r="G1626" s="15"/>
      <c r="H1626" s="15"/>
      <c r="I1626" s="15"/>
      <c r="J1626" s="15"/>
      <c r="K1626" s="15"/>
      <c r="L1626" s="15"/>
      <c r="M1626" s="15"/>
      <c r="N1626" s="15"/>
      <c r="O1626" s="15"/>
      <c r="P1626" s="15"/>
      <c r="Q1626" s="15"/>
      <c r="R1626" s="15"/>
      <c r="S1626" s="15"/>
      <c r="T1626" s="15"/>
      <c r="U1626" s="15"/>
      <c r="V1626" s="15"/>
      <c r="W1626" s="15"/>
      <c r="X1626" s="15"/>
      <c r="Y1626" s="15"/>
      <c r="Z1626" s="15"/>
    </row>
  </sheetData>
  <autoFilter xmlns:etc="http://www.wps.cn/officeDocument/2017/etCustomData" ref="A1:Z1563" etc:filterBottomFollowUsedRange="0">
    <filterColumn colId="5">
      <customFilters>
        <customFilter operator="equal" val="202607"/>
      </custom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S320"/>
  <sheetViews>
    <sheetView workbookViewId="0">
      <selection activeCell="A235" sqref="A17:A235"/>
    </sheetView>
  </sheetViews>
  <sheetFormatPr defaultColWidth="9" defaultRowHeight="14.25"/>
  <cols>
    <col min="1" max="7" width="18.8333333333333" customWidth="1"/>
    <col min="14" max="15" width="12.625"/>
    <col min="24" max="27" width="12.625"/>
    <col min="28" max="28" width="11.5"/>
    <col min="29" max="29" width="12.625"/>
    <col min="31" max="31" width="12.625"/>
    <col min="35" max="35" width="12.625"/>
    <col min="39" max="40" width="11"/>
  </cols>
  <sheetData>
    <row r="1" ht="16.5" spans="1:45">
      <c r="A1" s="1" t="s">
        <v>0</v>
      </c>
      <c r="B1" s="1" t="s">
        <v>988</v>
      </c>
      <c r="C1" s="1" t="s">
        <v>910</v>
      </c>
      <c r="D1" s="1" t="s">
        <v>989</v>
      </c>
      <c r="E1" s="1" t="s">
        <v>990</v>
      </c>
      <c r="F1" s="1" t="s">
        <v>991</v>
      </c>
      <c r="G1" s="1" t="s">
        <v>992</v>
      </c>
      <c r="H1" s="1" t="s">
        <v>993</v>
      </c>
      <c r="I1" s="1" t="s">
        <v>994</v>
      </c>
      <c r="J1" s="1" t="s">
        <v>995</v>
      </c>
      <c r="K1" s="1" t="s">
        <v>996</v>
      </c>
      <c r="L1" s="1" t="s">
        <v>997</v>
      </c>
      <c r="M1" s="1" t="s">
        <v>998</v>
      </c>
      <c r="N1" s="1" t="s">
        <v>999</v>
      </c>
      <c r="O1" s="1" t="s">
        <v>1000</v>
      </c>
      <c r="P1" s="1" t="s">
        <v>1001</v>
      </c>
      <c r="Q1" s="1" t="s">
        <v>1002</v>
      </c>
      <c r="R1" s="1" t="s">
        <v>1003</v>
      </c>
      <c r="S1" s="1" t="s">
        <v>1004</v>
      </c>
      <c r="T1" s="1" t="s">
        <v>1005</v>
      </c>
      <c r="U1" s="1" t="s">
        <v>1006</v>
      </c>
      <c r="V1" s="1" t="s">
        <v>1007</v>
      </c>
      <c r="W1" s="1" t="s">
        <v>1008</v>
      </c>
      <c r="X1" s="1" t="s">
        <v>1009</v>
      </c>
      <c r="Y1" s="1" t="s">
        <v>1010</v>
      </c>
      <c r="Z1" s="1" t="s">
        <v>1011</v>
      </c>
      <c r="AA1" s="1" t="s">
        <v>1012</v>
      </c>
      <c r="AB1" s="1" t="s">
        <v>1013</v>
      </c>
      <c r="AC1" s="1" t="s">
        <v>1014</v>
      </c>
      <c r="AD1" s="1" t="s">
        <v>1015</v>
      </c>
      <c r="AE1" s="1" t="s">
        <v>1016</v>
      </c>
      <c r="AF1" s="1" t="s">
        <v>1017</v>
      </c>
      <c r="AG1" s="1" t="s">
        <v>1018</v>
      </c>
      <c r="AH1" s="1" t="s">
        <v>1019</v>
      </c>
      <c r="AI1" s="1" t="s">
        <v>1020</v>
      </c>
      <c r="AJ1" s="1" t="s">
        <v>1021</v>
      </c>
      <c r="AK1" s="1" t="s">
        <v>1022</v>
      </c>
      <c r="AL1" s="1" t="s">
        <v>1023</v>
      </c>
      <c r="AM1" s="1" t="s">
        <v>1024</v>
      </c>
      <c r="AN1" s="1" t="s">
        <v>1025</v>
      </c>
      <c r="AO1" s="1" t="s">
        <v>1026</v>
      </c>
      <c r="AP1" s="1" t="s">
        <v>1027</v>
      </c>
      <c r="AQ1" s="1" t="s">
        <v>1028</v>
      </c>
      <c r="AR1" s="1" t="s">
        <v>1029</v>
      </c>
      <c r="AS1" s="2"/>
    </row>
    <row r="2" ht="16.5" hidden="1" spans="1:45">
      <c r="A2" s="3" t="s">
        <v>936</v>
      </c>
      <c r="B2" s="3"/>
      <c r="C2" s="3"/>
      <c r="D2" s="3"/>
      <c r="E2" s="3"/>
      <c r="F2" s="4">
        <v>23706</v>
      </c>
      <c r="G2" s="4">
        <v>10386</v>
      </c>
      <c r="H2" s="4">
        <v>1173</v>
      </c>
      <c r="I2" s="4">
        <v>4195</v>
      </c>
      <c r="J2" s="4">
        <v>19212</v>
      </c>
      <c r="K2" s="4">
        <v>58672</v>
      </c>
      <c r="L2" s="4">
        <v>51868</v>
      </c>
      <c r="M2" s="5">
        <v>110540</v>
      </c>
      <c r="N2" s="4">
        <v>1248667.176515</v>
      </c>
      <c r="O2" s="4">
        <v>2306346.305861</v>
      </c>
      <c r="P2" s="4">
        <v>1733</v>
      </c>
      <c r="Q2" s="4">
        <v>3928</v>
      </c>
      <c r="R2" s="4">
        <v>8647</v>
      </c>
      <c r="S2" s="4">
        <v>8328</v>
      </c>
      <c r="T2" s="4">
        <v>8254</v>
      </c>
      <c r="U2" s="4">
        <v>1040</v>
      </c>
      <c r="V2" s="4">
        <v>5746</v>
      </c>
      <c r="W2" s="4">
        <v>21567</v>
      </c>
      <c r="X2" s="4">
        <v>21.0786375995506</v>
      </c>
      <c r="Y2" s="4">
        <v>183785.313957</v>
      </c>
      <c r="Z2" s="4"/>
      <c r="AA2" s="4"/>
      <c r="AB2" s="4"/>
      <c r="AC2" s="4"/>
      <c r="AD2" s="4"/>
      <c r="AE2" s="4"/>
      <c r="AF2" s="4"/>
      <c r="AG2" s="4">
        <v>28168</v>
      </c>
      <c r="AH2" s="4"/>
      <c r="AI2" s="4">
        <v>587829.637056</v>
      </c>
      <c r="AJ2" s="3"/>
      <c r="AK2" s="4"/>
      <c r="AL2" s="4"/>
      <c r="AM2" s="6"/>
      <c r="AN2" s="6"/>
      <c r="AO2" s="3"/>
      <c r="AP2" s="3"/>
      <c r="AQ2" s="4">
        <v>1</v>
      </c>
      <c r="AR2" s="4">
        <v>0</v>
      </c>
      <c r="AS2" s="2"/>
    </row>
    <row r="3" ht="16.5" hidden="1" spans="1:45">
      <c r="A3" s="3" t="s">
        <v>127</v>
      </c>
      <c r="B3" s="3" t="s">
        <v>1030</v>
      </c>
      <c r="C3" s="3" t="s">
        <v>935</v>
      </c>
      <c r="D3" s="3" t="s">
        <v>1031</v>
      </c>
      <c r="E3" s="3" t="s">
        <v>1032</v>
      </c>
      <c r="F3" s="4">
        <v>18</v>
      </c>
      <c r="G3" s="4">
        <v>684</v>
      </c>
      <c r="H3" s="4">
        <v>0</v>
      </c>
      <c r="I3" s="4">
        <v>522</v>
      </c>
      <c r="J3" s="4">
        <v>1272</v>
      </c>
      <c r="K3" s="4">
        <v>2496</v>
      </c>
      <c r="L3" s="4">
        <v>110</v>
      </c>
      <c r="M3" s="5">
        <v>2606</v>
      </c>
      <c r="N3" s="4">
        <v>37194.81769</v>
      </c>
      <c r="O3" s="4">
        <v>38834.01238</v>
      </c>
      <c r="P3" s="4">
        <v>0</v>
      </c>
      <c r="Q3" s="4">
        <v>6</v>
      </c>
      <c r="R3" s="4">
        <v>6</v>
      </c>
      <c r="S3" s="4">
        <v>1</v>
      </c>
      <c r="T3" s="4">
        <v>6</v>
      </c>
      <c r="U3" s="4">
        <v>0</v>
      </c>
      <c r="V3" s="4">
        <v>2490</v>
      </c>
      <c r="W3" s="4">
        <v>2490</v>
      </c>
      <c r="X3" s="4">
        <v>14.901769908</v>
      </c>
      <c r="Y3" s="4">
        <v>89.410619</v>
      </c>
      <c r="Z3" s="4">
        <v>434.333335506826</v>
      </c>
      <c r="AA3" s="4">
        <v>416.000002080289</v>
      </c>
      <c r="AB3" s="4">
        <v>204.000001017776</v>
      </c>
      <c r="AC3" s="4">
        <v>3.000000011184</v>
      </c>
      <c r="AD3" s="4">
        <v>0</v>
      </c>
      <c r="AE3" s="4">
        <v>87.000000436189</v>
      </c>
      <c r="AF3" s="4">
        <v>4.5</v>
      </c>
      <c r="AG3" s="4">
        <v>2460</v>
      </c>
      <c r="AH3" s="4">
        <v>6</v>
      </c>
      <c r="AI3" s="4">
        <v>36658.353974</v>
      </c>
      <c r="AJ3" s="3" t="s">
        <v>1033</v>
      </c>
      <c r="AK3" s="4">
        <v>6</v>
      </c>
      <c r="AL3" s="4">
        <v>0</v>
      </c>
      <c r="AM3" s="6">
        <v>46102</v>
      </c>
      <c r="AN3" s="6"/>
      <c r="AO3" s="3" t="s">
        <v>1034</v>
      </c>
      <c r="AP3" s="3" t="s">
        <v>937</v>
      </c>
      <c r="AQ3" s="4"/>
      <c r="AR3" s="4"/>
      <c r="AS3" s="2"/>
    </row>
    <row r="4" ht="16.5" hidden="1" spans="1:45">
      <c r="A4" s="3" t="s">
        <v>979</v>
      </c>
      <c r="B4" s="3" t="s">
        <v>1030</v>
      </c>
      <c r="C4" s="3" t="s">
        <v>935</v>
      </c>
      <c r="D4" s="3" t="s">
        <v>1035</v>
      </c>
      <c r="E4" s="3" t="s">
        <v>1032</v>
      </c>
      <c r="F4" s="4">
        <v>347</v>
      </c>
      <c r="G4" s="4">
        <v>384</v>
      </c>
      <c r="H4" s="4">
        <v>104</v>
      </c>
      <c r="I4" s="4">
        <v>386</v>
      </c>
      <c r="J4" s="4">
        <v>116</v>
      </c>
      <c r="K4" s="4">
        <v>1337</v>
      </c>
      <c r="L4" s="4">
        <v>381</v>
      </c>
      <c r="M4" s="5">
        <v>1718</v>
      </c>
      <c r="N4" s="4">
        <v>23970.314341</v>
      </c>
      <c r="O4" s="4">
        <v>30801.047148</v>
      </c>
      <c r="P4" s="4">
        <v>56</v>
      </c>
      <c r="Q4" s="4">
        <v>116</v>
      </c>
      <c r="R4" s="4">
        <v>200</v>
      </c>
      <c r="S4" s="4">
        <v>217</v>
      </c>
      <c r="T4" s="4">
        <v>17</v>
      </c>
      <c r="U4" s="4">
        <v>0</v>
      </c>
      <c r="V4" s="4">
        <v>0</v>
      </c>
      <c r="W4" s="4">
        <v>876</v>
      </c>
      <c r="X4" s="4">
        <v>17.9284325659</v>
      </c>
      <c r="Y4" s="4">
        <v>3585.686513</v>
      </c>
      <c r="Z4" s="4">
        <v>8.59000000037</v>
      </c>
      <c r="AA4" s="4">
        <v>6.685000000444</v>
      </c>
      <c r="AB4" s="4">
        <v>6.105000000316</v>
      </c>
      <c r="AC4" s="4">
        <v>1.734999999984</v>
      </c>
      <c r="AD4" s="4">
        <v>0.520000000066</v>
      </c>
      <c r="AE4" s="4">
        <v>1.929999999974</v>
      </c>
      <c r="AF4" s="4">
        <v>4.5</v>
      </c>
      <c r="AG4" s="4">
        <v>137</v>
      </c>
      <c r="AH4" s="4">
        <v>6</v>
      </c>
      <c r="AI4" s="4">
        <v>2456.195262</v>
      </c>
      <c r="AJ4" s="3" t="s">
        <v>1036</v>
      </c>
      <c r="AK4" s="4">
        <v>200</v>
      </c>
      <c r="AL4" s="4">
        <v>0</v>
      </c>
      <c r="AM4" s="6">
        <v>45878</v>
      </c>
      <c r="AN4" s="6">
        <v>46236</v>
      </c>
      <c r="AO4" s="3" t="s">
        <v>1034</v>
      </c>
      <c r="AP4" s="3" t="s">
        <v>937</v>
      </c>
      <c r="AQ4" s="4"/>
      <c r="AR4" s="4"/>
      <c r="AS4" s="2"/>
    </row>
    <row r="5" ht="16.5" hidden="1" spans="1:45">
      <c r="A5" s="3" t="s">
        <v>450</v>
      </c>
      <c r="B5" s="3" t="s">
        <v>1030</v>
      </c>
      <c r="C5" s="3" t="s">
        <v>935</v>
      </c>
      <c r="D5" s="3" t="s">
        <v>1037</v>
      </c>
      <c r="E5" s="3" t="s">
        <v>1032</v>
      </c>
      <c r="F5" s="4">
        <v>12</v>
      </c>
      <c r="G5" s="4">
        <v>190</v>
      </c>
      <c r="H5" s="4">
        <v>0</v>
      </c>
      <c r="I5" s="4">
        <v>0</v>
      </c>
      <c r="J5" s="4">
        <v>854</v>
      </c>
      <c r="K5" s="4">
        <v>1056</v>
      </c>
      <c r="L5" s="4">
        <v>0</v>
      </c>
      <c r="M5" s="5">
        <v>1056</v>
      </c>
      <c r="N5" s="4">
        <v>21867.610622</v>
      </c>
      <c r="O5" s="4">
        <v>21867.610622</v>
      </c>
      <c r="P5" s="4">
        <v>23</v>
      </c>
      <c r="Q5" s="4">
        <v>63</v>
      </c>
      <c r="R5" s="4">
        <v>94</v>
      </c>
      <c r="S5" s="4">
        <v>0</v>
      </c>
      <c r="T5" s="4">
        <v>1</v>
      </c>
      <c r="U5" s="4">
        <v>0</v>
      </c>
      <c r="V5" s="4">
        <v>0</v>
      </c>
      <c r="W5" s="4">
        <v>1000</v>
      </c>
      <c r="X5" s="4">
        <v>20.707964604</v>
      </c>
      <c r="Y5" s="4">
        <v>1946.548673</v>
      </c>
      <c r="Z5" s="4">
        <v>11.234042551989</v>
      </c>
      <c r="AA5" s="4">
        <v>11.234042551989</v>
      </c>
      <c r="AB5" s="4">
        <v>2.148936169961</v>
      </c>
      <c r="AC5" s="4">
        <v>0.127659574325</v>
      </c>
      <c r="AD5" s="4">
        <v>0</v>
      </c>
      <c r="AE5" s="4">
        <v>0</v>
      </c>
      <c r="AF5" s="4">
        <v>4.5</v>
      </c>
      <c r="AG5" s="4">
        <v>492</v>
      </c>
      <c r="AH5" s="4">
        <v>6</v>
      </c>
      <c r="AI5" s="4">
        <v>10188.318585</v>
      </c>
      <c r="AJ5" s="3" t="s">
        <v>1033</v>
      </c>
      <c r="AK5" s="4">
        <v>94</v>
      </c>
      <c r="AL5" s="4">
        <v>0</v>
      </c>
      <c r="AM5" s="6">
        <v>46094</v>
      </c>
      <c r="AN5" s="6"/>
      <c r="AO5" s="3" t="s">
        <v>1034</v>
      </c>
      <c r="AP5" s="3" t="s">
        <v>937</v>
      </c>
      <c r="AQ5" s="4"/>
      <c r="AR5" s="4"/>
      <c r="AS5" s="2"/>
    </row>
    <row r="6" ht="16.5" hidden="1" spans="1:45">
      <c r="A6" s="3" t="s">
        <v>964</v>
      </c>
      <c r="B6" s="3" t="s">
        <v>1030</v>
      </c>
      <c r="C6" s="3" t="s">
        <v>935</v>
      </c>
      <c r="D6" s="3" t="s">
        <v>1035</v>
      </c>
      <c r="E6" s="3" t="s">
        <v>1032</v>
      </c>
      <c r="F6" s="4">
        <v>36</v>
      </c>
      <c r="G6" s="4">
        <v>400</v>
      </c>
      <c r="H6" s="4">
        <v>0</v>
      </c>
      <c r="I6" s="4">
        <v>8</v>
      </c>
      <c r="J6" s="4">
        <v>600</v>
      </c>
      <c r="K6" s="4">
        <v>1044</v>
      </c>
      <c r="L6" s="4">
        <v>0</v>
      </c>
      <c r="M6" s="5">
        <v>1044</v>
      </c>
      <c r="N6" s="4">
        <v>20588.049158</v>
      </c>
      <c r="O6" s="4">
        <v>20588.049158</v>
      </c>
      <c r="P6" s="4">
        <v>3</v>
      </c>
      <c r="Q6" s="4">
        <v>4</v>
      </c>
      <c r="R6" s="4">
        <v>7</v>
      </c>
      <c r="S6" s="4">
        <v>15</v>
      </c>
      <c r="T6" s="4">
        <v>88</v>
      </c>
      <c r="U6" s="4">
        <v>0</v>
      </c>
      <c r="V6" s="4">
        <v>0</v>
      </c>
      <c r="W6" s="4">
        <v>1000</v>
      </c>
      <c r="X6" s="4">
        <v>19.7203536</v>
      </c>
      <c r="Y6" s="4">
        <v>138.042475</v>
      </c>
      <c r="Z6" s="4">
        <v>149.142857356042</v>
      </c>
      <c r="AA6" s="4">
        <v>149.142857356042</v>
      </c>
      <c r="AB6" s="4">
        <v>63.42857151757</v>
      </c>
      <c r="AC6" s="4">
        <v>5.142857153205</v>
      </c>
      <c r="AD6" s="4">
        <v>0</v>
      </c>
      <c r="AE6" s="4">
        <v>1.142857145961</v>
      </c>
      <c r="AF6" s="4">
        <v>4.5</v>
      </c>
      <c r="AG6" s="4">
        <v>1002</v>
      </c>
      <c r="AH6" s="4">
        <v>6</v>
      </c>
      <c r="AI6" s="4">
        <v>19759.794307</v>
      </c>
      <c r="AJ6" s="3" t="s">
        <v>1036</v>
      </c>
      <c r="AK6" s="4">
        <v>7</v>
      </c>
      <c r="AL6" s="4">
        <v>0</v>
      </c>
      <c r="AM6" s="6">
        <v>45980</v>
      </c>
      <c r="AN6" s="6"/>
      <c r="AO6" s="3" t="s">
        <v>1034</v>
      </c>
      <c r="AP6" s="3" t="s">
        <v>937</v>
      </c>
      <c r="AQ6" s="4"/>
      <c r="AR6" s="4"/>
      <c r="AS6" s="2"/>
    </row>
    <row r="7" ht="16.5" hidden="1" spans="1:45">
      <c r="A7" s="3" t="s">
        <v>685</v>
      </c>
      <c r="B7" s="3" t="s">
        <v>1030</v>
      </c>
      <c r="C7" s="3" t="s">
        <v>935</v>
      </c>
      <c r="D7" s="3" t="s">
        <v>1031</v>
      </c>
      <c r="E7" s="3" t="s">
        <v>1032</v>
      </c>
      <c r="F7" s="4">
        <v>49</v>
      </c>
      <c r="G7" s="4">
        <v>365</v>
      </c>
      <c r="H7" s="4">
        <v>0</v>
      </c>
      <c r="I7" s="4">
        <v>72</v>
      </c>
      <c r="J7" s="4">
        <v>550</v>
      </c>
      <c r="K7" s="4">
        <v>1036</v>
      </c>
      <c r="L7" s="4">
        <v>0</v>
      </c>
      <c r="M7" s="5">
        <v>1036</v>
      </c>
      <c r="N7" s="4">
        <v>18006.935314</v>
      </c>
      <c r="O7" s="4">
        <v>18006.935314</v>
      </c>
      <c r="P7" s="4">
        <v>0</v>
      </c>
      <c r="Q7" s="4">
        <v>0</v>
      </c>
      <c r="R7" s="4">
        <v>7</v>
      </c>
      <c r="S7" s="4">
        <v>115</v>
      </c>
      <c r="T7" s="4">
        <v>0</v>
      </c>
      <c r="U7" s="4">
        <v>0</v>
      </c>
      <c r="V7" s="4">
        <v>0</v>
      </c>
      <c r="W7" s="4">
        <v>800</v>
      </c>
      <c r="X7" s="4">
        <v>17.3812116931</v>
      </c>
      <c r="Y7" s="4">
        <v>121.668482</v>
      </c>
      <c r="Z7" s="4">
        <v>147.99999981918</v>
      </c>
      <c r="AA7" s="4">
        <v>147.99999981918</v>
      </c>
      <c r="AB7" s="4">
        <v>69.428571345206</v>
      </c>
      <c r="AC7" s="4">
        <v>6.99999999178</v>
      </c>
      <c r="AD7" s="4">
        <v>0</v>
      </c>
      <c r="AE7" s="4">
        <v>10.285714273972</v>
      </c>
      <c r="AF7" s="4">
        <v>4.5</v>
      </c>
      <c r="AG7" s="4">
        <v>994</v>
      </c>
      <c r="AH7" s="4">
        <v>6</v>
      </c>
      <c r="AI7" s="4">
        <v>17276.924423</v>
      </c>
      <c r="AJ7" s="3" t="s">
        <v>1036</v>
      </c>
      <c r="AK7" s="4">
        <v>7</v>
      </c>
      <c r="AL7" s="4">
        <v>0</v>
      </c>
      <c r="AM7" s="6">
        <v>46102</v>
      </c>
      <c r="AN7" s="6"/>
      <c r="AO7" s="3" t="s">
        <v>1034</v>
      </c>
      <c r="AP7" s="3" t="s">
        <v>937</v>
      </c>
      <c r="AQ7" s="4"/>
      <c r="AR7" s="4"/>
      <c r="AS7" s="2"/>
    </row>
    <row r="8" ht="16.5" hidden="1" spans="1:45">
      <c r="A8" s="3" t="s">
        <v>973</v>
      </c>
      <c r="B8" s="3" t="s">
        <v>1030</v>
      </c>
      <c r="C8" s="3" t="s">
        <v>935</v>
      </c>
      <c r="D8" s="3" t="s">
        <v>1035</v>
      </c>
      <c r="E8" s="3" t="s">
        <v>1032</v>
      </c>
      <c r="F8" s="4">
        <v>25</v>
      </c>
      <c r="G8" s="4">
        <v>336</v>
      </c>
      <c r="H8" s="4">
        <v>0</v>
      </c>
      <c r="I8" s="4">
        <v>536</v>
      </c>
      <c r="J8" s="4">
        <v>123</v>
      </c>
      <c r="K8" s="4">
        <v>1020</v>
      </c>
      <c r="L8" s="4">
        <v>313</v>
      </c>
      <c r="M8" s="5">
        <v>1333</v>
      </c>
      <c r="N8" s="4">
        <v>27256.98822</v>
      </c>
      <c r="O8" s="4">
        <v>35621.142448</v>
      </c>
      <c r="P8" s="4">
        <v>22</v>
      </c>
      <c r="Q8" s="4">
        <v>40</v>
      </c>
      <c r="R8" s="4">
        <v>96</v>
      </c>
      <c r="S8" s="4">
        <v>106</v>
      </c>
      <c r="T8" s="4">
        <v>242</v>
      </c>
      <c r="U8" s="4">
        <v>0</v>
      </c>
      <c r="V8" s="4">
        <v>0</v>
      </c>
      <c r="W8" s="4">
        <v>1747</v>
      </c>
      <c r="X8" s="4">
        <v>26.7225374707</v>
      </c>
      <c r="Y8" s="4">
        <v>2565.363597</v>
      </c>
      <c r="Z8" s="4">
        <v>13.885416667507</v>
      </c>
      <c r="AA8" s="4">
        <v>10.62500000073</v>
      </c>
      <c r="AB8" s="4">
        <v>9.343750000596</v>
      </c>
      <c r="AC8" s="4">
        <v>0.260416666776</v>
      </c>
      <c r="AD8" s="4">
        <v>0</v>
      </c>
      <c r="AE8" s="4">
        <v>5.583333333625</v>
      </c>
      <c r="AF8" s="4">
        <v>4.5</v>
      </c>
      <c r="AG8" s="4">
        <v>444</v>
      </c>
      <c r="AH8" s="4">
        <v>6</v>
      </c>
      <c r="AI8" s="4">
        <v>11864.806637</v>
      </c>
      <c r="AJ8" s="3" t="s">
        <v>1036</v>
      </c>
      <c r="AK8" s="4">
        <v>96</v>
      </c>
      <c r="AL8" s="4">
        <v>0</v>
      </c>
      <c r="AM8" s="6">
        <v>45878</v>
      </c>
      <c r="AN8" s="6"/>
      <c r="AO8" s="3" t="s">
        <v>1034</v>
      </c>
      <c r="AP8" s="3" t="s">
        <v>937</v>
      </c>
      <c r="AQ8" s="4"/>
      <c r="AR8" s="4"/>
      <c r="AS8" s="2"/>
    </row>
    <row r="9" ht="16.5" hidden="1" spans="1:45">
      <c r="A9" s="3" t="s">
        <v>958</v>
      </c>
      <c r="B9" s="3" t="s">
        <v>1030</v>
      </c>
      <c r="C9" s="3" t="s">
        <v>935</v>
      </c>
      <c r="D9" s="3" t="s">
        <v>1038</v>
      </c>
      <c r="E9" s="3" t="s">
        <v>1032</v>
      </c>
      <c r="F9" s="4">
        <v>610</v>
      </c>
      <c r="G9" s="4">
        <v>0</v>
      </c>
      <c r="H9" s="4">
        <v>240</v>
      </c>
      <c r="I9" s="4">
        <v>0</v>
      </c>
      <c r="J9" s="4">
        <v>4</v>
      </c>
      <c r="K9" s="4">
        <v>854</v>
      </c>
      <c r="L9" s="4">
        <v>0</v>
      </c>
      <c r="M9" s="5">
        <v>854</v>
      </c>
      <c r="N9" s="4">
        <v>22166.9674</v>
      </c>
      <c r="O9" s="4">
        <v>22166.9674</v>
      </c>
      <c r="P9" s="4">
        <v>14</v>
      </c>
      <c r="Q9" s="4">
        <v>24</v>
      </c>
      <c r="R9" s="4">
        <v>31</v>
      </c>
      <c r="S9" s="4">
        <v>3</v>
      </c>
      <c r="T9" s="4">
        <v>0</v>
      </c>
      <c r="U9" s="4">
        <v>0</v>
      </c>
      <c r="V9" s="4">
        <v>0</v>
      </c>
      <c r="W9" s="4">
        <v>0</v>
      </c>
      <c r="X9" s="4">
        <v>25.9566363</v>
      </c>
      <c r="Y9" s="4">
        <v>804.655725</v>
      </c>
      <c r="Z9" s="4">
        <v>27.548387106796</v>
      </c>
      <c r="AA9" s="4">
        <v>27.548387106796</v>
      </c>
      <c r="AB9" s="4">
        <v>27.419354848932</v>
      </c>
      <c r="AC9" s="4">
        <v>19.677419362175</v>
      </c>
      <c r="AD9" s="4">
        <v>7.741935486757</v>
      </c>
      <c r="AE9" s="4">
        <v>0</v>
      </c>
      <c r="AF9" s="4">
        <v>4.5</v>
      </c>
      <c r="AG9" s="4">
        <v>668</v>
      </c>
      <c r="AH9" s="4">
        <v>6</v>
      </c>
      <c r="AI9" s="4">
        <v>17339.033048</v>
      </c>
      <c r="AJ9" s="3" t="s">
        <v>1036</v>
      </c>
      <c r="AK9" s="4">
        <v>31</v>
      </c>
      <c r="AL9" s="4">
        <v>0</v>
      </c>
      <c r="AM9" s="6">
        <v>45998</v>
      </c>
      <c r="AN9" s="6">
        <v>46236</v>
      </c>
      <c r="AO9" s="3" t="s">
        <v>1034</v>
      </c>
      <c r="AP9" s="3" t="s">
        <v>937</v>
      </c>
      <c r="AQ9" s="4"/>
      <c r="AR9" s="4"/>
      <c r="AS9" s="2"/>
    </row>
    <row r="10" ht="16.5" hidden="1" spans="1:45">
      <c r="A10" s="3" t="s">
        <v>965</v>
      </c>
      <c r="B10" s="3" t="s">
        <v>1030</v>
      </c>
      <c r="C10" s="3" t="s">
        <v>935</v>
      </c>
      <c r="D10" s="3" t="s">
        <v>1038</v>
      </c>
      <c r="E10" s="3" t="s">
        <v>1032</v>
      </c>
      <c r="F10" s="4">
        <v>350</v>
      </c>
      <c r="G10" s="4">
        <v>0</v>
      </c>
      <c r="H10" s="4">
        <v>0</v>
      </c>
      <c r="I10" s="4">
        <v>6</v>
      </c>
      <c r="J10" s="4">
        <v>496</v>
      </c>
      <c r="K10" s="4">
        <v>852</v>
      </c>
      <c r="L10" s="4">
        <v>0</v>
      </c>
      <c r="M10" s="5">
        <v>852</v>
      </c>
      <c r="N10" s="4">
        <v>17812.831862</v>
      </c>
      <c r="O10" s="4">
        <v>17812.831862</v>
      </c>
      <c r="P10" s="4">
        <v>9</v>
      </c>
      <c r="Q10" s="4">
        <v>23</v>
      </c>
      <c r="R10" s="4">
        <v>57</v>
      </c>
      <c r="S10" s="4">
        <v>46</v>
      </c>
      <c r="T10" s="4">
        <v>77</v>
      </c>
      <c r="U10" s="4">
        <v>0</v>
      </c>
      <c r="V10" s="4">
        <v>0</v>
      </c>
      <c r="W10" s="4">
        <v>0</v>
      </c>
      <c r="X10" s="4">
        <v>20.90707965</v>
      </c>
      <c r="Y10" s="4">
        <v>1191.70354</v>
      </c>
      <c r="Z10" s="4">
        <v>14.947368421847</v>
      </c>
      <c r="AA10" s="4">
        <v>14.947368421847</v>
      </c>
      <c r="AB10" s="4">
        <v>6.245614035853</v>
      </c>
      <c r="AC10" s="4">
        <v>6.14035087787</v>
      </c>
      <c r="AD10" s="4">
        <v>0</v>
      </c>
      <c r="AE10" s="4">
        <v>0.105263157983</v>
      </c>
      <c r="AF10" s="4">
        <v>4.5</v>
      </c>
      <c r="AG10" s="4">
        <v>510</v>
      </c>
      <c r="AH10" s="4">
        <v>6</v>
      </c>
      <c r="AI10" s="4">
        <v>10662.610622</v>
      </c>
      <c r="AJ10" s="3" t="s">
        <v>1036</v>
      </c>
      <c r="AK10" s="4">
        <v>57</v>
      </c>
      <c r="AL10" s="4">
        <v>0</v>
      </c>
      <c r="AM10" s="6">
        <v>45980</v>
      </c>
      <c r="AN10" s="6"/>
      <c r="AO10" s="3" t="s">
        <v>1034</v>
      </c>
      <c r="AP10" s="3" t="s">
        <v>937</v>
      </c>
      <c r="AQ10" s="4"/>
      <c r="AR10" s="4"/>
      <c r="AS10" s="2"/>
    </row>
    <row r="11" ht="16.5" hidden="1" spans="1:45">
      <c r="A11" s="3" t="s">
        <v>720</v>
      </c>
      <c r="B11" s="3" t="s">
        <v>1030</v>
      </c>
      <c r="C11" s="3" t="s">
        <v>935</v>
      </c>
      <c r="D11" s="3" t="s">
        <v>1031</v>
      </c>
      <c r="E11" s="3" t="s">
        <v>1032</v>
      </c>
      <c r="F11" s="4">
        <v>50</v>
      </c>
      <c r="G11" s="4">
        <v>214</v>
      </c>
      <c r="H11" s="4">
        <v>0</v>
      </c>
      <c r="I11" s="4">
        <v>130</v>
      </c>
      <c r="J11" s="4">
        <v>426</v>
      </c>
      <c r="K11" s="4">
        <v>820</v>
      </c>
      <c r="L11" s="4">
        <v>0</v>
      </c>
      <c r="M11" s="5">
        <v>820</v>
      </c>
      <c r="N11" s="4">
        <v>15484.124535</v>
      </c>
      <c r="O11" s="4">
        <v>15484.124535</v>
      </c>
      <c r="P11" s="4">
        <v>6</v>
      </c>
      <c r="Q11" s="4">
        <v>15</v>
      </c>
      <c r="R11" s="4">
        <v>42</v>
      </c>
      <c r="S11" s="4">
        <v>55</v>
      </c>
      <c r="T11" s="4">
        <v>7</v>
      </c>
      <c r="U11" s="4">
        <v>0</v>
      </c>
      <c r="V11" s="4">
        <v>0</v>
      </c>
      <c r="W11" s="4">
        <v>250</v>
      </c>
      <c r="X11" s="4">
        <v>18.8830787017</v>
      </c>
      <c r="Y11" s="4">
        <v>793.089305</v>
      </c>
      <c r="Z11" s="4">
        <v>19.523809534917</v>
      </c>
      <c r="AA11" s="4">
        <v>19.523809534917</v>
      </c>
      <c r="AB11" s="4">
        <v>9.380952385935</v>
      </c>
      <c r="AC11" s="4">
        <v>1.190476191076</v>
      </c>
      <c r="AD11" s="4">
        <v>0</v>
      </c>
      <c r="AE11" s="4">
        <v>3.095238096799</v>
      </c>
      <c r="AF11" s="4">
        <v>4.5</v>
      </c>
      <c r="AG11" s="4">
        <v>568</v>
      </c>
      <c r="AH11" s="4">
        <v>6</v>
      </c>
      <c r="AI11" s="4">
        <v>10725.588703</v>
      </c>
      <c r="AJ11" s="3" t="s">
        <v>1036</v>
      </c>
      <c r="AK11" s="4">
        <v>42</v>
      </c>
      <c r="AL11" s="4">
        <v>0</v>
      </c>
      <c r="AM11" s="6">
        <v>46098</v>
      </c>
      <c r="AN11" s="6"/>
      <c r="AO11" s="3" t="s">
        <v>1034</v>
      </c>
      <c r="AP11" s="3" t="s">
        <v>937</v>
      </c>
      <c r="AQ11" s="4"/>
      <c r="AR11" s="4"/>
      <c r="AS11" s="2"/>
    </row>
    <row r="12" ht="16.5" hidden="1" spans="1:45">
      <c r="A12" s="3" t="s">
        <v>976</v>
      </c>
      <c r="B12" s="3" t="s">
        <v>1030</v>
      </c>
      <c r="C12" s="3" t="s">
        <v>935</v>
      </c>
      <c r="D12" s="3" t="s">
        <v>1035</v>
      </c>
      <c r="E12" s="3" t="s">
        <v>1032</v>
      </c>
      <c r="F12" s="4">
        <v>374</v>
      </c>
      <c r="G12" s="4">
        <v>0</v>
      </c>
      <c r="H12" s="4">
        <v>0</v>
      </c>
      <c r="I12" s="4">
        <v>4</v>
      </c>
      <c r="J12" s="4">
        <v>308</v>
      </c>
      <c r="K12" s="4">
        <v>686</v>
      </c>
      <c r="L12" s="4">
        <v>0</v>
      </c>
      <c r="M12" s="5">
        <v>686</v>
      </c>
      <c r="N12" s="4">
        <v>14114.291753</v>
      </c>
      <c r="O12" s="4">
        <v>14114.291753</v>
      </c>
      <c r="P12" s="4">
        <v>14</v>
      </c>
      <c r="Q12" s="4">
        <v>29</v>
      </c>
      <c r="R12" s="4">
        <v>93</v>
      </c>
      <c r="S12" s="4">
        <v>61</v>
      </c>
      <c r="T12" s="4">
        <v>25</v>
      </c>
      <c r="U12" s="4">
        <v>0</v>
      </c>
      <c r="V12" s="4">
        <v>0</v>
      </c>
      <c r="W12" s="4">
        <v>304</v>
      </c>
      <c r="X12" s="4">
        <v>20.5747693191</v>
      </c>
      <c r="Y12" s="4">
        <v>1913.453547</v>
      </c>
      <c r="Z12" s="4">
        <v>7.376344084824</v>
      </c>
      <c r="AA12" s="4">
        <v>7.376344084824</v>
      </c>
      <c r="AB12" s="4">
        <v>4.064516128543</v>
      </c>
      <c r="AC12" s="4">
        <v>4.021505375484</v>
      </c>
      <c r="AD12" s="4">
        <v>0</v>
      </c>
      <c r="AE12" s="4">
        <v>0.043010752536</v>
      </c>
      <c r="AF12" s="4">
        <v>4.5</v>
      </c>
      <c r="AG12" s="4">
        <v>128</v>
      </c>
      <c r="AH12" s="4">
        <v>6</v>
      </c>
      <c r="AI12" s="4">
        <v>2633.570473</v>
      </c>
      <c r="AJ12" s="3" t="s">
        <v>1036</v>
      </c>
      <c r="AK12" s="4">
        <v>93</v>
      </c>
      <c r="AL12" s="4">
        <v>0</v>
      </c>
      <c r="AM12" s="6">
        <v>45878</v>
      </c>
      <c r="AN12" s="6"/>
      <c r="AO12" s="3" t="s">
        <v>1034</v>
      </c>
      <c r="AP12" s="3" t="s">
        <v>937</v>
      </c>
      <c r="AQ12" s="4"/>
      <c r="AR12" s="4"/>
      <c r="AS12" s="2"/>
    </row>
    <row r="13" ht="16.5" hidden="1" spans="1:45">
      <c r="A13" s="3" t="s">
        <v>740</v>
      </c>
      <c r="B13" s="3" t="s">
        <v>1030</v>
      </c>
      <c r="C13" s="3" t="s">
        <v>935</v>
      </c>
      <c r="D13" s="3" t="s">
        <v>1031</v>
      </c>
      <c r="E13" s="3" t="s">
        <v>1032</v>
      </c>
      <c r="F13" s="4">
        <v>44</v>
      </c>
      <c r="G13" s="4">
        <v>190</v>
      </c>
      <c r="H13" s="4">
        <v>0</v>
      </c>
      <c r="I13" s="4">
        <v>102</v>
      </c>
      <c r="J13" s="4">
        <v>309</v>
      </c>
      <c r="K13" s="4">
        <v>645</v>
      </c>
      <c r="L13" s="4">
        <v>0</v>
      </c>
      <c r="M13" s="5">
        <v>645</v>
      </c>
      <c r="N13" s="4">
        <v>12881.715562</v>
      </c>
      <c r="O13" s="4">
        <v>12881.715562</v>
      </c>
      <c r="P13" s="4">
        <v>4</v>
      </c>
      <c r="Q13" s="4">
        <v>9</v>
      </c>
      <c r="R13" s="4">
        <v>40</v>
      </c>
      <c r="S13" s="4">
        <v>52</v>
      </c>
      <c r="T13" s="4">
        <v>19</v>
      </c>
      <c r="U13" s="4">
        <v>0</v>
      </c>
      <c r="V13" s="4">
        <v>250</v>
      </c>
      <c r="W13" s="4">
        <v>250</v>
      </c>
      <c r="X13" s="4">
        <v>19.9716520346</v>
      </c>
      <c r="Y13" s="4">
        <v>798.866081</v>
      </c>
      <c r="Z13" s="4">
        <v>16.125000007354</v>
      </c>
      <c r="AA13" s="4">
        <v>16.125000007354</v>
      </c>
      <c r="AB13" s="4">
        <v>8.400000003254</v>
      </c>
      <c r="AC13" s="4">
        <v>1.100000001126</v>
      </c>
      <c r="AD13" s="4">
        <v>0</v>
      </c>
      <c r="AE13" s="4">
        <v>2.550000001815</v>
      </c>
      <c r="AF13" s="4">
        <v>4.5</v>
      </c>
      <c r="AG13" s="4">
        <v>405</v>
      </c>
      <c r="AH13" s="4">
        <v>6</v>
      </c>
      <c r="AI13" s="4">
        <v>8088.519074</v>
      </c>
      <c r="AJ13" s="3" t="s">
        <v>1036</v>
      </c>
      <c r="AK13" s="4">
        <v>40</v>
      </c>
      <c r="AL13" s="4">
        <v>0</v>
      </c>
      <c r="AM13" s="6">
        <v>46102</v>
      </c>
      <c r="AN13" s="6"/>
      <c r="AO13" s="3" t="s">
        <v>1034</v>
      </c>
      <c r="AP13" s="3" t="s">
        <v>937</v>
      </c>
      <c r="AQ13" s="4"/>
      <c r="AR13" s="4"/>
      <c r="AS13" s="2"/>
    </row>
    <row r="14" ht="16.5" hidden="1" spans="1:45">
      <c r="A14" s="3" t="s">
        <v>640</v>
      </c>
      <c r="B14" s="3" t="s">
        <v>1030</v>
      </c>
      <c r="C14" s="3" t="s">
        <v>935</v>
      </c>
      <c r="D14" s="3" t="s">
        <v>1031</v>
      </c>
      <c r="E14" s="3" t="s">
        <v>1032</v>
      </c>
      <c r="F14" s="4">
        <v>87</v>
      </c>
      <c r="G14" s="4">
        <v>192</v>
      </c>
      <c r="H14" s="4">
        <v>0</v>
      </c>
      <c r="I14" s="4">
        <v>48</v>
      </c>
      <c r="J14" s="4">
        <v>296</v>
      </c>
      <c r="K14" s="4">
        <v>623</v>
      </c>
      <c r="L14" s="4">
        <v>76</v>
      </c>
      <c r="M14" s="5">
        <v>699</v>
      </c>
      <c r="N14" s="4">
        <v>12526.697949</v>
      </c>
      <c r="O14" s="4">
        <v>14054.834456</v>
      </c>
      <c r="P14" s="4">
        <v>0</v>
      </c>
      <c r="Q14" s="4">
        <v>2</v>
      </c>
      <c r="R14" s="4">
        <v>8</v>
      </c>
      <c r="S14" s="4">
        <v>32</v>
      </c>
      <c r="T14" s="4">
        <v>38</v>
      </c>
      <c r="U14" s="4">
        <v>0</v>
      </c>
      <c r="V14" s="4">
        <v>0</v>
      </c>
      <c r="W14" s="4">
        <v>244</v>
      </c>
      <c r="X14" s="4">
        <v>20.1070593078</v>
      </c>
      <c r="Y14" s="4">
        <v>160.856474</v>
      </c>
      <c r="Z14" s="4">
        <v>87.375000250223</v>
      </c>
      <c r="AA14" s="4">
        <v>77.875000225356</v>
      </c>
      <c r="AB14" s="4">
        <v>40.875000119671</v>
      </c>
      <c r="AC14" s="4">
        <v>10.875000032637</v>
      </c>
      <c r="AD14" s="4">
        <v>0</v>
      </c>
      <c r="AE14" s="4">
        <v>6.00000001865</v>
      </c>
      <c r="AF14" s="4">
        <v>4.5</v>
      </c>
      <c r="AG14" s="4">
        <v>575</v>
      </c>
      <c r="AH14" s="4">
        <v>6</v>
      </c>
      <c r="AI14" s="4">
        <v>11561.559102</v>
      </c>
      <c r="AJ14" s="3" t="s">
        <v>1036</v>
      </c>
      <c r="AK14" s="4">
        <v>8</v>
      </c>
      <c r="AL14" s="4">
        <v>0</v>
      </c>
      <c r="AM14" s="6">
        <v>46098</v>
      </c>
      <c r="AN14" s="6"/>
      <c r="AO14" s="3" t="s">
        <v>1034</v>
      </c>
      <c r="AP14" s="3" t="s">
        <v>937</v>
      </c>
      <c r="AQ14" s="4"/>
      <c r="AR14" s="4"/>
      <c r="AS14" s="2"/>
    </row>
    <row r="15" ht="16.5" hidden="1" spans="1:45">
      <c r="A15" s="3" t="s">
        <v>500</v>
      </c>
      <c r="B15" s="3" t="s">
        <v>1030</v>
      </c>
      <c r="C15" s="3" t="s">
        <v>935</v>
      </c>
      <c r="D15" s="3" t="s">
        <v>1031</v>
      </c>
      <c r="E15" s="3" t="s">
        <v>1032</v>
      </c>
      <c r="F15" s="4">
        <v>158</v>
      </c>
      <c r="G15" s="4">
        <v>36</v>
      </c>
      <c r="H15" s="4">
        <v>0</v>
      </c>
      <c r="I15" s="4">
        <v>108</v>
      </c>
      <c r="J15" s="4">
        <v>319</v>
      </c>
      <c r="K15" s="4">
        <v>621</v>
      </c>
      <c r="L15" s="4">
        <v>6</v>
      </c>
      <c r="M15" s="5">
        <v>627</v>
      </c>
      <c r="N15" s="4">
        <v>13407.082589</v>
      </c>
      <c r="O15" s="4">
        <v>13536.619619</v>
      </c>
      <c r="P15" s="4">
        <v>20</v>
      </c>
      <c r="Q15" s="4">
        <v>55</v>
      </c>
      <c r="R15" s="4">
        <v>81</v>
      </c>
      <c r="S15" s="4">
        <v>14</v>
      </c>
      <c r="T15" s="4">
        <v>27</v>
      </c>
      <c r="U15" s="4">
        <v>0</v>
      </c>
      <c r="V15" s="4">
        <v>0</v>
      </c>
      <c r="W15" s="4">
        <v>194</v>
      </c>
      <c r="X15" s="4">
        <v>21.589504974</v>
      </c>
      <c r="Y15" s="4">
        <v>1748.749903</v>
      </c>
      <c r="Z15" s="4">
        <v>7.740740740444</v>
      </c>
      <c r="AA15" s="4">
        <v>7.666666666285</v>
      </c>
      <c r="AB15" s="4">
        <v>3.728395061417</v>
      </c>
      <c r="AC15" s="4">
        <v>1.950617283894</v>
      </c>
      <c r="AD15" s="4">
        <v>0</v>
      </c>
      <c r="AE15" s="4">
        <v>1.333333333142</v>
      </c>
      <c r="AF15" s="4">
        <v>4.5</v>
      </c>
      <c r="AG15" s="4">
        <v>135</v>
      </c>
      <c r="AH15" s="4">
        <v>6</v>
      </c>
      <c r="AI15" s="4">
        <v>2914.583171</v>
      </c>
      <c r="AJ15" s="3" t="s">
        <v>1036</v>
      </c>
      <c r="AK15" s="4">
        <v>81</v>
      </c>
      <c r="AL15" s="4">
        <v>0</v>
      </c>
      <c r="AM15" s="6">
        <v>46094</v>
      </c>
      <c r="AN15" s="6"/>
      <c r="AO15" s="3" t="s">
        <v>1034</v>
      </c>
      <c r="AP15" s="3" t="s">
        <v>937</v>
      </c>
      <c r="AQ15" s="4"/>
      <c r="AR15" s="4"/>
      <c r="AS15" s="2"/>
    </row>
    <row r="16" ht="16.5" hidden="1" spans="1:45">
      <c r="A16" s="3" t="s">
        <v>970</v>
      </c>
      <c r="B16" s="3" t="s">
        <v>1030</v>
      </c>
      <c r="C16" s="3" t="s">
        <v>935</v>
      </c>
      <c r="D16" s="3" t="s">
        <v>1037</v>
      </c>
      <c r="E16" s="3" t="s">
        <v>1032</v>
      </c>
      <c r="F16" s="4">
        <v>99</v>
      </c>
      <c r="G16" s="4">
        <v>8</v>
      </c>
      <c r="H16" s="4">
        <v>0</v>
      </c>
      <c r="I16" s="4">
        <v>6</v>
      </c>
      <c r="J16" s="4">
        <v>492</v>
      </c>
      <c r="K16" s="4">
        <v>605</v>
      </c>
      <c r="L16" s="4">
        <v>8</v>
      </c>
      <c r="M16" s="5">
        <v>613</v>
      </c>
      <c r="N16" s="4">
        <v>15997.699113</v>
      </c>
      <c r="O16" s="4">
        <v>16209.238936</v>
      </c>
      <c r="P16" s="4">
        <v>8</v>
      </c>
      <c r="Q16" s="4">
        <v>23</v>
      </c>
      <c r="R16" s="4">
        <v>23</v>
      </c>
      <c r="S16" s="4">
        <v>32</v>
      </c>
      <c r="T16" s="4">
        <v>30</v>
      </c>
      <c r="U16" s="4">
        <v>0</v>
      </c>
      <c r="V16" s="4">
        <v>0</v>
      </c>
      <c r="W16" s="4">
        <v>492</v>
      </c>
      <c r="X16" s="4">
        <v>26.442477873</v>
      </c>
      <c r="Y16" s="4">
        <v>608.176991</v>
      </c>
      <c r="Z16" s="4">
        <v>26.65217391626</v>
      </c>
      <c r="AA16" s="4">
        <v>26.304347829232</v>
      </c>
      <c r="AB16" s="4">
        <v>4.913043477831</v>
      </c>
      <c r="AC16" s="4">
        <v>4.304347825943</v>
      </c>
      <c r="AD16" s="4">
        <v>0</v>
      </c>
      <c r="AE16" s="4">
        <v>0.260869564859</v>
      </c>
      <c r="AF16" s="4">
        <v>4.5</v>
      </c>
      <c r="AG16" s="4">
        <v>467</v>
      </c>
      <c r="AH16" s="4">
        <v>6</v>
      </c>
      <c r="AI16" s="4">
        <v>12348.637167</v>
      </c>
      <c r="AJ16" s="3" t="s">
        <v>1036</v>
      </c>
      <c r="AK16" s="4">
        <v>23</v>
      </c>
      <c r="AL16" s="4">
        <v>0</v>
      </c>
      <c r="AM16" s="6">
        <v>45998</v>
      </c>
      <c r="AN16" s="6"/>
      <c r="AO16" s="3" t="s">
        <v>1034</v>
      </c>
      <c r="AP16" s="3" t="s">
        <v>937</v>
      </c>
      <c r="AQ16" s="4"/>
      <c r="AR16" s="4"/>
      <c r="AS16" s="2"/>
    </row>
    <row r="17" ht="16.5" spans="1:45">
      <c r="A17" s="3" t="s">
        <v>792</v>
      </c>
      <c r="B17" s="3" t="s">
        <v>1030</v>
      </c>
      <c r="C17" s="3" t="s">
        <v>935</v>
      </c>
      <c r="D17" s="3" t="s">
        <v>1031</v>
      </c>
      <c r="E17" s="3" t="s">
        <v>1032</v>
      </c>
      <c r="F17" s="4">
        <v>199</v>
      </c>
      <c r="G17" s="4">
        <v>0</v>
      </c>
      <c r="H17" s="4">
        <v>0</v>
      </c>
      <c r="I17" s="4">
        <v>0</v>
      </c>
      <c r="J17" s="4">
        <v>383</v>
      </c>
      <c r="K17" s="4">
        <v>582</v>
      </c>
      <c r="L17" s="4">
        <v>0</v>
      </c>
      <c r="M17" s="5">
        <v>582</v>
      </c>
      <c r="N17" s="4">
        <v>10448.187608</v>
      </c>
      <c r="O17" s="4">
        <v>10448.187608</v>
      </c>
      <c r="P17" s="4">
        <v>8</v>
      </c>
      <c r="Q17" s="4">
        <v>22</v>
      </c>
      <c r="R17" s="4">
        <v>42</v>
      </c>
      <c r="S17" s="4">
        <v>23</v>
      </c>
      <c r="T17" s="4">
        <v>22</v>
      </c>
      <c r="U17" s="4">
        <v>0</v>
      </c>
      <c r="V17" s="4">
        <v>0</v>
      </c>
      <c r="W17" s="4">
        <v>670</v>
      </c>
      <c r="X17" s="4">
        <v>17.952212385</v>
      </c>
      <c r="Y17" s="4">
        <v>753.99292</v>
      </c>
      <c r="Z17" s="4">
        <v>13.857142860174</v>
      </c>
      <c r="AA17" s="4">
        <v>13.857142860174</v>
      </c>
      <c r="AB17" s="4">
        <v>4.738095239674</v>
      </c>
      <c r="AC17" s="4">
        <v>4.738095239674</v>
      </c>
      <c r="AD17" s="4">
        <v>0</v>
      </c>
      <c r="AE17" s="4">
        <v>0</v>
      </c>
      <c r="AF17" s="4">
        <v>4.5</v>
      </c>
      <c r="AG17" s="4">
        <v>330</v>
      </c>
      <c r="AH17" s="4">
        <v>6</v>
      </c>
      <c r="AI17" s="4">
        <v>5924.230087</v>
      </c>
      <c r="AJ17" s="3" t="s">
        <v>1033</v>
      </c>
      <c r="AK17" s="4">
        <v>42</v>
      </c>
      <c r="AL17" s="4">
        <v>0</v>
      </c>
      <c r="AM17" s="6">
        <v>46138</v>
      </c>
      <c r="AN17" s="6"/>
      <c r="AO17" s="3" t="s">
        <v>1034</v>
      </c>
      <c r="AP17" s="3" t="s">
        <v>937</v>
      </c>
      <c r="AQ17" s="4"/>
      <c r="AR17" s="4"/>
      <c r="AS17" s="2"/>
    </row>
    <row r="18" ht="16.5" hidden="1" spans="1:45">
      <c r="A18" s="3" t="s">
        <v>977</v>
      </c>
      <c r="B18" s="3" t="s">
        <v>1030</v>
      </c>
      <c r="C18" s="3" t="s">
        <v>935</v>
      </c>
      <c r="D18" s="3" t="s">
        <v>1038</v>
      </c>
      <c r="E18" s="3" t="s">
        <v>1032</v>
      </c>
      <c r="F18" s="4">
        <v>132</v>
      </c>
      <c r="G18" s="4">
        <v>0</v>
      </c>
      <c r="H18" s="4">
        <v>0</v>
      </c>
      <c r="I18" s="4">
        <v>2</v>
      </c>
      <c r="J18" s="4">
        <v>420</v>
      </c>
      <c r="K18" s="4">
        <v>554</v>
      </c>
      <c r="L18" s="4">
        <v>40</v>
      </c>
      <c r="M18" s="5">
        <v>594</v>
      </c>
      <c r="N18" s="4">
        <v>11079.509735</v>
      </c>
      <c r="O18" s="4">
        <v>11879.474337</v>
      </c>
      <c r="P18" s="4">
        <v>8</v>
      </c>
      <c r="Q18" s="4">
        <v>15</v>
      </c>
      <c r="R18" s="4">
        <v>34</v>
      </c>
      <c r="S18" s="4">
        <v>12</v>
      </c>
      <c r="T18" s="4">
        <v>3</v>
      </c>
      <c r="U18" s="4">
        <v>0</v>
      </c>
      <c r="V18" s="4">
        <v>0</v>
      </c>
      <c r="W18" s="4">
        <v>0</v>
      </c>
      <c r="X18" s="4">
        <v>19.999115046</v>
      </c>
      <c r="Y18" s="4">
        <v>679.969912</v>
      </c>
      <c r="Z18" s="4">
        <v>17.470588223615</v>
      </c>
      <c r="AA18" s="4">
        <v>16.294117635899</v>
      </c>
      <c r="AB18" s="4">
        <v>3.941176467819</v>
      </c>
      <c r="AC18" s="4">
        <v>3.882352938581</v>
      </c>
      <c r="AD18" s="4">
        <v>0</v>
      </c>
      <c r="AE18" s="4">
        <v>0.058823529238</v>
      </c>
      <c r="AF18" s="4">
        <v>4.5</v>
      </c>
      <c r="AG18" s="4">
        <v>350</v>
      </c>
      <c r="AH18" s="4">
        <v>6</v>
      </c>
      <c r="AI18" s="4">
        <v>6999.690266</v>
      </c>
      <c r="AJ18" s="3" t="s">
        <v>1036</v>
      </c>
      <c r="AK18" s="4">
        <v>34</v>
      </c>
      <c r="AL18" s="4">
        <v>0</v>
      </c>
      <c r="AM18" s="6">
        <v>45878</v>
      </c>
      <c r="AN18" s="6"/>
      <c r="AO18" s="3" t="s">
        <v>1034</v>
      </c>
      <c r="AP18" s="3" t="s">
        <v>937</v>
      </c>
      <c r="AQ18" s="4">
        <v>1</v>
      </c>
      <c r="AR18" s="4">
        <v>0</v>
      </c>
      <c r="AS18" s="2"/>
    </row>
    <row r="19" ht="16.5" hidden="1" spans="1:45">
      <c r="A19" s="3" t="s">
        <v>972</v>
      </c>
      <c r="B19" s="3" t="s">
        <v>1030</v>
      </c>
      <c r="C19" s="3" t="s">
        <v>935</v>
      </c>
      <c r="D19" s="3" t="s">
        <v>1035</v>
      </c>
      <c r="E19" s="3" t="s">
        <v>1032</v>
      </c>
      <c r="F19" s="4">
        <v>213</v>
      </c>
      <c r="G19" s="4">
        <v>108</v>
      </c>
      <c r="H19" s="4">
        <v>0</v>
      </c>
      <c r="I19" s="4">
        <v>4</v>
      </c>
      <c r="J19" s="4">
        <v>212</v>
      </c>
      <c r="K19" s="4">
        <v>537</v>
      </c>
      <c r="L19" s="4">
        <v>0</v>
      </c>
      <c r="M19" s="5">
        <v>537</v>
      </c>
      <c r="N19" s="4">
        <v>11138.790116</v>
      </c>
      <c r="O19" s="4">
        <v>11138.790116</v>
      </c>
      <c r="P19" s="4">
        <v>8</v>
      </c>
      <c r="Q19" s="4">
        <v>14</v>
      </c>
      <c r="R19" s="4">
        <v>29</v>
      </c>
      <c r="S19" s="4">
        <v>64</v>
      </c>
      <c r="T19" s="4">
        <v>78</v>
      </c>
      <c r="U19" s="4">
        <v>0</v>
      </c>
      <c r="V19" s="4">
        <v>0</v>
      </c>
      <c r="W19" s="4">
        <v>120</v>
      </c>
      <c r="X19" s="4">
        <v>20.7426259141</v>
      </c>
      <c r="Y19" s="4">
        <v>601.536152</v>
      </c>
      <c r="Z19" s="4">
        <v>18.517241364405</v>
      </c>
      <c r="AA19" s="4">
        <v>18.517241364405</v>
      </c>
      <c r="AB19" s="4">
        <v>11.206896542437</v>
      </c>
      <c r="AC19" s="4">
        <v>7.344827580703</v>
      </c>
      <c r="AD19" s="4">
        <v>0</v>
      </c>
      <c r="AE19" s="4">
        <v>0.137931034941</v>
      </c>
      <c r="AF19" s="4">
        <v>4.5</v>
      </c>
      <c r="AG19" s="4">
        <v>363</v>
      </c>
      <c r="AH19" s="4">
        <v>6</v>
      </c>
      <c r="AI19" s="4">
        <v>7529.573207</v>
      </c>
      <c r="AJ19" s="3" t="s">
        <v>1036</v>
      </c>
      <c r="AK19" s="4">
        <v>29</v>
      </c>
      <c r="AL19" s="4">
        <v>0</v>
      </c>
      <c r="AM19" s="6">
        <v>45907</v>
      </c>
      <c r="AN19" s="6"/>
      <c r="AO19" s="3" t="s">
        <v>1034</v>
      </c>
      <c r="AP19" s="3" t="s">
        <v>937</v>
      </c>
      <c r="AQ19" s="4"/>
      <c r="AR19" s="4"/>
      <c r="AS19" s="2"/>
    </row>
    <row r="20" ht="16.5" hidden="1" spans="1:45">
      <c r="A20" s="3" t="s">
        <v>794</v>
      </c>
      <c r="B20" s="3" t="s">
        <v>1030</v>
      </c>
      <c r="C20" s="3" t="s">
        <v>935</v>
      </c>
      <c r="D20" s="3" t="s">
        <v>1031</v>
      </c>
      <c r="E20" s="3" t="s">
        <v>1032</v>
      </c>
      <c r="F20" s="4">
        <v>204</v>
      </c>
      <c r="G20" s="4">
        <v>144</v>
      </c>
      <c r="H20" s="4">
        <v>0</v>
      </c>
      <c r="I20" s="4">
        <v>18</v>
      </c>
      <c r="J20" s="4">
        <v>156</v>
      </c>
      <c r="K20" s="4">
        <v>522</v>
      </c>
      <c r="L20" s="4">
        <v>100</v>
      </c>
      <c r="M20" s="5">
        <v>622</v>
      </c>
      <c r="N20" s="4">
        <v>11050.693804</v>
      </c>
      <c r="O20" s="4">
        <v>13167.684954</v>
      </c>
      <c r="P20" s="4">
        <v>0</v>
      </c>
      <c r="Q20" s="4">
        <v>0</v>
      </c>
      <c r="R20" s="4">
        <v>2</v>
      </c>
      <c r="S20" s="4">
        <v>18</v>
      </c>
      <c r="T20" s="4">
        <v>124</v>
      </c>
      <c r="U20" s="4">
        <v>0</v>
      </c>
      <c r="V20" s="4">
        <v>0</v>
      </c>
      <c r="W20" s="4">
        <v>300</v>
      </c>
      <c r="X20" s="4">
        <v>21.169911501</v>
      </c>
      <c r="Y20" s="4">
        <v>42.339823</v>
      </c>
      <c r="Z20" s="4">
        <v>311.000000023618</v>
      </c>
      <c r="AA20" s="4">
        <v>261.000000023618</v>
      </c>
      <c r="AB20" s="4">
        <v>183.000000023618</v>
      </c>
      <c r="AC20" s="4">
        <v>102</v>
      </c>
      <c r="AD20" s="4">
        <v>0</v>
      </c>
      <c r="AE20" s="4">
        <v>9</v>
      </c>
      <c r="AF20" s="4">
        <v>4.5</v>
      </c>
      <c r="AG20" s="4">
        <v>510</v>
      </c>
      <c r="AH20" s="4">
        <v>6</v>
      </c>
      <c r="AI20" s="4">
        <v>10796.654866</v>
      </c>
      <c r="AJ20" s="3" t="s">
        <v>1033</v>
      </c>
      <c r="AK20" s="4">
        <v>2</v>
      </c>
      <c r="AL20" s="4">
        <v>0</v>
      </c>
      <c r="AM20" s="6">
        <v>46102</v>
      </c>
      <c r="AN20" s="6"/>
      <c r="AO20" s="3" t="s">
        <v>1034</v>
      </c>
      <c r="AP20" s="3" t="s">
        <v>937</v>
      </c>
      <c r="AQ20" s="4"/>
      <c r="AR20" s="4"/>
      <c r="AS20" s="2"/>
    </row>
    <row r="21" ht="16.5" hidden="1" spans="1:45">
      <c r="A21" s="3" t="s">
        <v>670</v>
      </c>
      <c r="B21" s="3" t="s">
        <v>1030</v>
      </c>
      <c r="C21" s="3" t="s">
        <v>935</v>
      </c>
      <c r="D21" s="3" t="s">
        <v>1031</v>
      </c>
      <c r="E21" s="3" t="s">
        <v>1032</v>
      </c>
      <c r="F21" s="4">
        <v>97</v>
      </c>
      <c r="G21" s="4">
        <v>120</v>
      </c>
      <c r="H21" s="4">
        <v>0</v>
      </c>
      <c r="I21" s="4">
        <v>90</v>
      </c>
      <c r="J21" s="4">
        <v>214</v>
      </c>
      <c r="K21" s="4">
        <v>521</v>
      </c>
      <c r="L21" s="4">
        <v>0</v>
      </c>
      <c r="M21" s="5">
        <v>521</v>
      </c>
      <c r="N21" s="4">
        <v>9657.785397</v>
      </c>
      <c r="O21" s="4">
        <v>9657.785397</v>
      </c>
      <c r="P21" s="4">
        <v>8</v>
      </c>
      <c r="Q21" s="4">
        <v>20</v>
      </c>
      <c r="R21" s="4">
        <v>48</v>
      </c>
      <c r="S21" s="4">
        <v>46</v>
      </c>
      <c r="T21" s="4">
        <v>15</v>
      </c>
      <c r="U21" s="4">
        <v>0</v>
      </c>
      <c r="V21" s="4">
        <v>260</v>
      </c>
      <c r="W21" s="4">
        <v>260</v>
      </c>
      <c r="X21" s="4">
        <v>18.5370161166</v>
      </c>
      <c r="Y21" s="4">
        <v>889.776774</v>
      </c>
      <c r="Z21" s="4">
        <v>10.85416666203</v>
      </c>
      <c r="AA21" s="4">
        <v>10.85416666203</v>
      </c>
      <c r="AB21" s="4">
        <v>6.395833330664</v>
      </c>
      <c r="AC21" s="4">
        <v>2.020833332068</v>
      </c>
      <c r="AD21" s="4">
        <v>0</v>
      </c>
      <c r="AE21" s="4">
        <v>1.874999998595</v>
      </c>
      <c r="AF21" s="4">
        <v>4.5</v>
      </c>
      <c r="AG21" s="4">
        <v>233</v>
      </c>
      <c r="AH21" s="4">
        <v>6</v>
      </c>
      <c r="AI21" s="4">
        <v>4319.124755</v>
      </c>
      <c r="AJ21" s="3" t="s">
        <v>1036</v>
      </c>
      <c r="AK21" s="4">
        <v>48</v>
      </c>
      <c r="AL21" s="4">
        <v>0</v>
      </c>
      <c r="AM21" s="6">
        <v>46094</v>
      </c>
      <c r="AN21" s="6"/>
      <c r="AO21" s="3" t="s">
        <v>1034</v>
      </c>
      <c r="AP21" s="3" t="s">
        <v>937</v>
      </c>
      <c r="AQ21" s="4"/>
      <c r="AR21" s="4"/>
      <c r="AS21" s="2"/>
    </row>
    <row r="22" ht="16.5" hidden="1" spans="1:45">
      <c r="A22" s="3" t="s">
        <v>971</v>
      </c>
      <c r="B22" s="3" t="s">
        <v>1030</v>
      </c>
      <c r="C22" s="3" t="s">
        <v>935</v>
      </c>
      <c r="D22" s="3" t="s">
        <v>1039</v>
      </c>
      <c r="E22" s="3" t="s">
        <v>1032</v>
      </c>
      <c r="F22" s="4">
        <v>247</v>
      </c>
      <c r="G22" s="4">
        <v>0</v>
      </c>
      <c r="H22" s="4">
        <v>0</v>
      </c>
      <c r="I22" s="4">
        <v>0</v>
      </c>
      <c r="J22" s="4">
        <v>244</v>
      </c>
      <c r="K22" s="4">
        <v>491</v>
      </c>
      <c r="L22" s="4">
        <v>0</v>
      </c>
      <c r="M22" s="5">
        <v>491</v>
      </c>
      <c r="N22" s="4">
        <v>10022.917289</v>
      </c>
      <c r="O22" s="4">
        <v>10022.917289</v>
      </c>
      <c r="P22" s="4">
        <v>9</v>
      </c>
      <c r="Q22" s="4">
        <v>13</v>
      </c>
      <c r="R22" s="4">
        <v>28</v>
      </c>
      <c r="S22" s="4">
        <v>10</v>
      </c>
      <c r="T22" s="4">
        <v>1</v>
      </c>
      <c r="U22" s="4">
        <v>0</v>
      </c>
      <c r="V22" s="4">
        <v>0</v>
      </c>
      <c r="W22" s="4">
        <v>0</v>
      </c>
      <c r="X22" s="4">
        <v>20.4132735</v>
      </c>
      <c r="Y22" s="4">
        <v>571.571658</v>
      </c>
      <c r="Z22" s="4">
        <v>17.535714286589</v>
      </c>
      <c r="AA22" s="4">
        <v>17.535714286589</v>
      </c>
      <c r="AB22" s="4">
        <v>8.821428572303</v>
      </c>
      <c r="AC22" s="4">
        <v>8.821428572303</v>
      </c>
      <c r="AD22" s="4">
        <v>0</v>
      </c>
      <c r="AE22" s="4">
        <v>0</v>
      </c>
      <c r="AF22" s="4">
        <v>4.5</v>
      </c>
      <c r="AG22" s="4">
        <v>323</v>
      </c>
      <c r="AH22" s="4">
        <v>6</v>
      </c>
      <c r="AI22" s="4">
        <v>6593.487341</v>
      </c>
      <c r="AJ22" s="3" t="s">
        <v>1036</v>
      </c>
      <c r="AK22" s="4">
        <v>28</v>
      </c>
      <c r="AL22" s="4">
        <v>0</v>
      </c>
      <c r="AM22" s="6">
        <v>45980</v>
      </c>
      <c r="AN22" s="6"/>
      <c r="AO22" s="3" t="s">
        <v>1034</v>
      </c>
      <c r="AP22" s="3" t="s">
        <v>937</v>
      </c>
      <c r="AQ22" s="4"/>
      <c r="AR22" s="4"/>
      <c r="AS22" s="2"/>
    </row>
    <row r="23" ht="16.5" hidden="1" spans="1:45">
      <c r="A23" s="3" t="s">
        <v>570</v>
      </c>
      <c r="B23" s="3" t="s">
        <v>1030</v>
      </c>
      <c r="C23" s="3" t="s">
        <v>935</v>
      </c>
      <c r="D23" s="3" t="s">
        <v>1031</v>
      </c>
      <c r="E23" s="3" t="s">
        <v>1032</v>
      </c>
      <c r="F23" s="4">
        <v>192</v>
      </c>
      <c r="G23" s="4">
        <v>1</v>
      </c>
      <c r="H23" s="4">
        <v>0</v>
      </c>
      <c r="I23" s="4">
        <v>0</v>
      </c>
      <c r="J23" s="4">
        <v>288</v>
      </c>
      <c r="K23" s="4">
        <v>481</v>
      </c>
      <c r="L23" s="4">
        <v>0</v>
      </c>
      <c r="M23" s="5">
        <v>481</v>
      </c>
      <c r="N23" s="4">
        <v>9590.290378</v>
      </c>
      <c r="O23" s="4">
        <v>9590.290378</v>
      </c>
      <c r="P23" s="4">
        <v>14</v>
      </c>
      <c r="Q23" s="4">
        <v>20</v>
      </c>
      <c r="R23" s="4">
        <v>31</v>
      </c>
      <c r="S23" s="4">
        <v>23</v>
      </c>
      <c r="T23" s="4">
        <v>21</v>
      </c>
      <c r="U23" s="4">
        <v>0</v>
      </c>
      <c r="V23" s="4">
        <v>0</v>
      </c>
      <c r="W23" s="4">
        <v>38</v>
      </c>
      <c r="X23" s="4">
        <v>19.9382336347</v>
      </c>
      <c r="Y23" s="4">
        <v>618.085243</v>
      </c>
      <c r="Z23" s="4">
        <v>15.516129023646</v>
      </c>
      <c r="AA23" s="4">
        <v>15.516129023646</v>
      </c>
      <c r="AB23" s="4">
        <v>6.225806447542</v>
      </c>
      <c r="AC23" s="4">
        <v>6.193548384069</v>
      </c>
      <c r="AD23" s="4">
        <v>0</v>
      </c>
      <c r="AE23" s="4">
        <v>0</v>
      </c>
      <c r="AF23" s="4">
        <v>4.5</v>
      </c>
      <c r="AG23" s="4">
        <v>295</v>
      </c>
      <c r="AH23" s="4">
        <v>6</v>
      </c>
      <c r="AI23" s="4">
        <v>5881.778922</v>
      </c>
      <c r="AJ23" s="3" t="s">
        <v>1036</v>
      </c>
      <c r="AK23" s="4">
        <v>31</v>
      </c>
      <c r="AL23" s="4">
        <v>0</v>
      </c>
      <c r="AM23" s="6">
        <v>46102</v>
      </c>
      <c r="AN23" s="6"/>
      <c r="AO23" s="3" t="s">
        <v>1034</v>
      </c>
      <c r="AP23" s="3" t="s">
        <v>937</v>
      </c>
      <c r="AQ23" s="4"/>
      <c r="AR23" s="4"/>
      <c r="AS23" s="2"/>
    </row>
    <row r="24" ht="16.5" hidden="1" spans="1:45">
      <c r="A24" s="3" t="s">
        <v>535</v>
      </c>
      <c r="B24" s="3" t="s">
        <v>1030</v>
      </c>
      <c r="C24" s="3" t="s">
        <v>935</v>
      </c>
      <c r="D24" s="3" t="s">
        <v>1031</v>
      </c>
      <c r="E24" s="3" t="s">
        <v>1032</v>
      </c>
      <c r="F24" s="4">
        <v>358</v>
      </c>
      <c r="G24" s="4">
        <v>0</v>
      </c>
      <c r="H24" s="4">
        <v>0</v>
      </c>
      <c r="I24" s="4">
        <v>0</v>
      </c>
      <c r="J24" s="4">
        <v>122</v>
      </c>
      <c r="K24" s="4">
        <v>480</v>
      </c>
      <c r="L24" s="4">
        <v>0</v>
      </c>
      <c r="M24" s="5">
        <v>480</v>
      </c>
      <c r="N24" s="4">
        <v>14300.929</v>
      </c>
      <c r="O24" s="4">
        <v>14300.929</v>
      </c>
      <c r="P24" s="4">
        <v>1</v>
      </c>
      <c r="Q24" s="4">
        <v>2</v>
      </c>
      <c r="R24" s="4">
        <v>2</v>
      </c>
      <c r="S24" s="4">
        <v>4</v>
      </c>
      <c r="T24" s="4">
        <v>3</v>
      </c>
      <c r="U24" s="4">
        <v>0</v>
      </c>
      <c r="V24" s="4">
        <v>0</v>
      </c>
      <c r="W24" s="4">
        <v>8</v>
      </c>
      <c r="X24" s="4">
        <v>29.7936020832</v>
      </c>
      <c r="Y24" s="4">
        <v>59.587204</v>
      </c>
      <c r="Z24" s="4">
        <v>240.000000671285</v>
      </c>
      <c r="AA24" s="4">
        <v>240.000000671285</v>
      </c>
      <c r="AB24" s="4">
        <v>179.000000503463</v>
      </c>
      <c r="AC24" s="4">
        <v>179.000000503463</v>
      </c>
      <c r="AD24" s="4">
        <v>0</v>
      </c>
      <c r="AE24" s="4">
        <v>0</v>
      </c>
      <c r="AF24" s="4">
        <v>4.5</v>
      </c>
      <c r="AG24" s="4">
        <v>468</v>
      </c>
      <c r="AH24" s="4">
        <v>6</v>
      </c>
      <c r="AI24" s="4">
        <v>13943.405775</v>
      </c>
      <c r="AJ24" s="3" t="s">
        <v>1036</v>
      </c>
      <c r="AK24" s="4">
        <v>2</v>
      </c>
      <c r="AL24" s="4">
        <v>0</v>
      </c>
      <c r="AM24" s="6">
        <v>46159</v>
      </c>
      <c r="AN24" s="6"/>
      <c r="AO24" s="3" t="s">
        <v>1034</v>
      </c>
      <c r="AP24" s="3" t="s">
        <v>937</v>
      </c>
      <c r="AQ24" s="4"/>
      <c r="AR24" s="4"/>
      <c r="AS24" s="2"/>
    </row>
    <row r="25" ht="16.5" hidden="1" spans="1:45">
      <c r="A25" s="3" t="s">
        <v>974</v>
      </c>
      <c r="B25" s="3" t="s">
        <v>1030</v>
      </c>
      <c r="C25" s="3" t="s">
        <v>935</v>
      </c>
      <c r="D25" s="3" t="s">
        <v>1037</v>
      </c>
      <c r="E25" s="3" t="s">
        <v>1032</v>
      </c>
      <c r="F25" s="4">
        <v>361</v>
      </c>
      <c r="G25" s="4">
        <v>0</v>
      </c>
      <c r="H25" s="4">
        <v>0</v>
      </c>
      <c r="I25" s="4">
        <v>2</v>
      </c>
      <c r="J25" s="4">
        <v>104</v>
      </c>
      <c r="K25" s="4">
        <v>467</v>
      </c>
      <c r="L25" s="4">
        <v>0</v>
      </c>
      <c r="M25" s="5">
        <v>467</v>
      </c>
      <c r="N25" s="4">
        <v>12616.43889</v>
      </c>
      <c r="O25" s="4">
        <v>12616.43889</v>
      </c>
      <c r="P25" s="4">
        <v>16</v>
      </c>
      <c r="Q25" s="4">
        <v>38</v>
      </c>
      <c r="R25" s="4">
        <v>65</v>
      </c>
      <c r="S25" s="4">
        <v>47</v>
      </c>
      <c r="T25" s="4">
        <v>42</v>
      </c>
      <c r="U25" s="4">
        <v>0</v>
      </c>
      <c r="V25" s="4">
        <v>0</v>
      </c>
      <c r="W25" s="4">
        <v>0</v>
      </c>
      <c r="X25" s="4">
        <v>27.0159291</v>
      </c>
      <c r="Y25" s="4">
        <v>1756.035392</v>
      </c>
      <c r="Z25" s="4">
        <v>7.18461538274</v>
      </c>
      <c r="AA25" s="4">
        <v>7.18461538274</v>
      </c>
      <c r="AB25" s="4">
        <v>5.584615383423</v>
      </c>
      <c r="AC25" s="4">
        <v>5.553846152207</v>
      </c>
      <c r="AD25" s="4">
        <v>0</v>
      </c>
      <c r="AE25" s="4">
        <v>0.030769230646</v>
      </c>
      <c r="AF25" s="4">
        <v>4.5</v>
      </c>
      <c r="AG25" s="4">
        <v>77</v>
      </c>
      <c r="AH25" s="4">
        <v>6</v>
      </c>
      <c r="AI25" s="4">
        <v>2080.226541</v>
      </c>
      <c r="AJ25" s="3" t="s">
        <v>1036</v>
      </c>
      <c r="AK25" s="4">
        <v>65</v>
      </c>
      <c r="AL25" s="4">
        <v>0</v>
      </c>
      <c r="AM25" s="6">
        <v>45980</v>
      </c>
      <c r="AN25" s="6"/>
      <c r="AO25" s="3" t="s">
        <v>1034</v>
      </c>
      <c r="AP25" s="3" t="s">
        <v>937</v>
      </c>
      <c r="AQ25" s="4"/>
      <c r="AR25" s="4"/>
      <c r="AS25" s="2"/>
    </row>
    <row r="26" ht="16.5" hidden="1" spans="1:45">
      <c r="A26" s="3" t="s">
        <v>580</v>
      </c>
      <c r="B26" s="3" t="s">
        <v>1030</v>
      </c>
      <c r="C26" s="3" t="s">
        <v>935</v>
      </c>
      <c r="D26" s="3" t="s">
        <v>1031</v>
      </c>
      <c r="E26" s="3" t="s">
        <v>1032</v>
      </c>
      <c r="F26" s="4">
        <v>235</v>
      </c>
      <c r="G26" s="4">
        <v>152</v>
      </c>
      <c r="H26" s="4">
        <v>0</v>
      </c>
      <c r="I26" s="4">
        <v>0</v>
      </c>
      <c r="J26" s="4">
        <v>74</v>
      </c>
      <c r="K26" s="4">
        <v>461</v>
      </c>
      <c r="L26" s="4">
        <v>106</v>
      </c>
      <c r="M26" s="5">
        <v>567</v>
      </c>
      <c r="N26" s="4">
        <v>11792.223475</v>
      </c>
      <c r="O26" s="4">
        <v>14503.667485</v>
      </c>
      <c r="P26" s="4">
        <v>9</v>
      </c>
      <c r="Q26" s="4">
        <v>14</v>
      </c>
      <c r="R26" s="4">
        <v>26</v>
      </c>
      <c r="S26" s="4">
        <v>19</v>
      </c>
      <c r="T26" s="4">
        <v>9</v>
      </c>
      <c r="U26" s="4">
        <v>0</v>
      </c>
      <c r="V26" s="4">
        <v>0</v>
      </c>
      <c r="W26" s="4">
        <v>0</v>
      </c>
      <c r="X26" s="4">
        <v>25.5796604667</v>
      </c>
      <c r="Y26" s="4">
        <v>665.071172</v>
      </c>
      <c r="Z26" s="4">
        <v>21.807692312665</v>
      </c>
      <c r="AA26" s="4">
        <v>17.730769234123</v>
      </c>
      <c r="AB26" s="4">
        <v>14.884615386697</v>
      </c>
      <c r="AC26" s="4">
        <v>9.038461540774</v>
      </c>
      <c r="AD26" s="4">
        <v>0</v>
      </c>
      <c r="AE26" s="4">
        <v>0</v>
      </c>
      <c r="AF26" s="4">
        <v>4.5</v>
      </c>
      <c r="AG26" s="4">
        <v>305</v>
      </c>
      <c r="AH26" s="4">
        <v>6</v>
      </c>
      <c r="AI26" s="4">
        <v>7801.796442</v>
      </c>
      <c r="AJ26" s="3" t="s">
        <v>1036</v>
      </c>
      <c r="AK26" s="4">
        <v>26</v>
      </c>
      <c r="AL26" s="4">
        <v>0</v>
      </c>
      <c r="AM26" s="6">
        <v>46159</v>
      </c>
      <c r="AN26" s="6"/>
      <c r="AO26" s="3" t="s">
        <v>1034</v>
      </c>
      <c r="AP26" s="3" t="s">
        <v>937</v>
      </c>
      <c r="AQ26" s="4"/>
      <c r="AR26" s="4"/>
      <c r="AS26" s="2"/>
    </row>
    <row r="27" ht="16.5" spans="1:45">
      <c r="A27" s="3" t="s">
        <v>800</v>
      </c>
      <c r="B27" s="3" t="s">
        <v>1030</v>
      </c>
      <c r="C27" s="3" t="s">
        <v>935</v>
      </c>
      <c r="D27" s="3" t="s">
        <v>1031</v>
      </c>
      <c r="E27" s="3" t="s">
        <v>1032</v>
      </c>
      <c r="F27" s="4">
        <v>140</v>
      </c>
      <c r="G27" s="4">
        <v>0</v>
      </c>
      <c r="H27" s="4">
        <v>0</v>
      </c>
      <c r="I27" s="4">
        <v>8</v>
      </c>
      <c r="J27" s="4">
        <v>303</v>
      </c>
      <c r="K27" s="4">
        <v>451</v>
      </c>
      <c r="L27" s="4">
        <v>100</v>
      </c>
      <c r="M27" s="5">
        <v>551</v>
      </c>
      <c r="N27" s="4">
        <v>12309.90531</v>
      </c>
      <c r="O27" s="4">
        <v>15039.374337</v>
      </c>
      <c r="P27" s="4">
        <v>20</v>
      </c>
      <c r="Q27" s="4">
        <v>35</v>
      </c>
      <c r="R27" s="4">
        <v>98</v>
      </c>
      <c r="S27" s="4">
        <v>51</v>
      </c>
      <c r="T27" s="4">
        <v>30</v>
      </c>
      <c r="U27" s="4">
        <v>0</v>
      </c>
      <c r="V27" s="4">
        <v>0</v>
      </c>
      <c r="W27" s="4">
        <v>0</v>
      </c>
      <c r="X27" s="4">
        <v>27.294690267</v>
      </c>
      <c r="Y27" s="4">
        <v>2674.879646</v>
      </c>
      <c r="Z27" s="4">
        <v>5.622448979897</v>
      </c>
      <c r="AA27" s="4">
        <v>4.602040816456</v>
      </c>
      <c r="AB27" s="4">
        <v>1.510204081533</v>
      </c>
      <c r="AC27" s="4">
        <v>1.428571428518</v>
      </c>
      <c r="AD27" s="4">
        <v>0</v>
      </c>
      <c r="AE27" s="4">
        <v>0.081632653015</v>
      </c>
      <c r="AF27" s="4">
        <v>4.5</v>
      </c>
      <c r="AG27" s="4">
        <v>0</v>
      </c>
      <c r="AH27" s="4">
        <v>6</v>
      </c>
      <c r="AI27" s="4">
        <v>0</v>
      </c>
      <c r="AJ27" s="3" t="s">
        <v>1033</v>
      </c>
      <c r="AK27" s="4">
        <v>98</v>
      </c>
      <c r="AL27" s="4">
        <v>0</v>
      </c>
      <c r="AM27" s="6">
        <v>46139</v>
      </c>
      <c r="AN27" s="6"/>
      <c r="AO27" s="3" t="s">
        <v>1034</v>
      </c>
      <c r="AP27" s="3" t="s">
        <v>937</v>
      </c>
      <c r="AQ27" s="4"/>
      <c r="AR27" s="4"/>
      <c r="AS27" s="2"/>
    </row>
    <row r="28" ht="16.5" hidden="1" spans="1:45">
      <c r="A28" s="3" t="s">
        <v>565</v>
      </c>
      <c r="B28" s="3" t="s">
        <v>1030</v>
      </c>
      <c r="C28" s="3" t="s">
        <v>935</v>
      </c>
      <c r="D28" s="3" t="s">
        <v>1031</v>
      </c>
      <c r="E28" s="3" t="s">
        <v>1032</v>
      </c>
      <c r="F28" s="4">
        <v>27</v>
      </c>
      <c r="G28" s="4">
        <v>228</v>
      </c>
      <c r="H28" s="4">
        <v>40</v>
      </c>
      <c r="I28" s="4">
        <v>30</v>
      </c>
      <c r="J28" s="4">
        <v>122</v>
      </c>
      <c r="K28" s="4">
        <v>447</v>
      </c>
      <c r="L28" s="4">
        <v>0</v>
      </c>
      <c r="M28" s="5">
        <v>447</v>
      </c>
      <c r="N28" s="4">
        <v>9918.293707</v>
      </c>
      <c r="O28" s="4">
        <v>9918.293707</v>
      </c>
      <c r="P28" s="4">
        <v>0</v>
      </c>
      <c r="Q28" s="4">
        <v>5</v>
      </c>
      <c r="R28" s="4">
        <v>6</v>
      </c>
      <c r="S28" s="4">
        <v>10</v>
      </c>
      <c r="T28" s="4">
        <v>1</v>
      </c>
      <c r="U28" s="4">
        <v>0</v>
      </c>
      <c r="V28" s="4">
        <v>0</v>
      </c>
      <c r="W28" s="4">
        <v>40</v>
      </c>
      <c r="X28" s="4">
        <v>22.1885765252</v>
      </c>
      <c r="Y28" s="4">
        <v>133.131459</v>
      </c>
      <c r="Z28" s="4">
        <v>74.50000008638</v>
      </c>
      <c r="AA28" s="4">
        <v>74.50000008638</v>
      </c>
      <c r="AB28" s="4">
        <v>54.166666730513</v>
      </c>
      <c r="AC28" s="4">
        <v>4.500000003755</v>
      </c>
      <c r="AD28" s="4">
        <v>6.666666674178</v>
      </c>
      <c r="AE28" s="4">
        <v>5.000000007511</v>
      </c>
      <c r="AF28" s="4">
        <v>4.5</v>
      </c>
      <c r="AG28" s="4">
        <v>411</v>
      </c>
      <c r="AH28" s="4">
        <v>6</v>
      </c>
      <c r="AI28" s="4">
        <v>9119.504952</v>
      </c>
      <c r="AJ28" s="3" t="s">
        <v>1036</v>
      </c>
      <c r="AK28" s="4">
        <v>6</v>
      </c>
      <c r="AL28" s="4">
        <v>0</v>
      </c>
      <c r="AM28" s="6">
        <v>46094</v>
      </c>
      <c r="AN28" s="6">
        <v>46233</v>
      </c>
      <c r="AO28" s="3" t="s">
        <v>1034</v>
      </c>
      <c r="AP28" s="3" t="s">
        <v>937</v>
      </c>
      <c r="AQ28" s="4"/>
      <c r="AR28" s="4"/>
      <c r="AS28" s="2"/>
    </row>
    <row r="29" ht="16.5" spans="1:45">
      <c r="A29" s="3" t="s">
        <v>834</v>
      </c>
      <c r="B29" s="3" t="s">
        <v>1030</v>
      </c>
      <c r="C29" s="3" t="s">
        <v>935</v>
      </c>
      <c r="D29" s="3" t="s">
        <v>1031</v>
      </c>
      <c r="E29" s="3" t="s">
        <v>1032</v>
      </c>
      <c r="F29" s="4">
        <v>253</v>
      </c>
      <c r="G29" s="4">
        <v>0</v>
      </c>
      <c r="H29" s="4">
        <v>0</v>
      </c>
      <c r="I29" s="4">
        <v>2</v>
      </c>
      <c r="J29" s="4">
        <v>190</v>
      </c>
      <c r="K29" s="4">
        <v>445</v>
      </c>
      <c r="L29" s="4">
        <v>0</v>
      </c>
      <c r="M29" s="5">
        <v>445</v>
      </c>
      <c r="N29" s="4">
        <v>9778.579645</v>
      </c>
      <c r="O29" s="4">
        <v>9778.579645</v>
      </c>
      <c r="P29" s="4">
        <v>8</v>
      </c>
      <c r="Q29" s="4">
        <v>16</v>
      </c>
      <c r="R29" s="4">
        <v>36</v>
      </c>
      <c r="S29" s="4">
        <v>14</v>
      </c>
      <c r="T29" s="4">
        <v>15</v>
      </c>
      <c r="U29" s="4">
        <v>0</v>
      </c>
      <c r="V29" s="4">
        <v>0</v>
      </c>
      <c r="W29" s="4">
        <v>0</v>
      </c>
      <c r="X29" s="4">
        <v>21.97433628</v>
      </c>
      <c r="Y29" s="4">
        <v>791.076106</v>
      </c>
      <c r="Z29" s="4">
        <v>12.361111112866</v>
      </c>
      <c r="AA29" s="4">
        <v>12.361111112866</v>
      </c>
      <c r="AB29" s="4">
        <v>7.083333334808</v>
      </c>
      <c r="AC29" s="4">
        <v>7.02777777869</v>
      </c>
      <c r="AD29" s="4">
        <v>0</v>
      </c>
      <c r="AE29" s="4">
        <v>0.055555556117</v>
      </c>
      <c r="AF29" s="4">
        <v>4.5</v>
      </c>
      <c r="AG29" s="4">
        <v>229</v>
      </c>
      <c r="AH29" s="4">
        <v>6</v>
      </c>
      <c r="AI29" s="4">
        <v>5032.123008</v>
      </c>
      <c r="AJ29" s="3" t="s">
        <v>1033</v>
      </c>
      <c r="AK29" s="4">
        <v>36</v>
      </c>
      <c r="AL29" s="4">
        <v>0</v>
      </c>
      <c r="AM29" s="6">
        <v>46124</v>
      </c>
      <c r="AN29" s="6"/>
      <c r="AO29" s="3" t="s">
        <v>1034</v>
      </c>
      <c r="AP29" s="3" t="s">
        <v>937</v>
      </c>
      <c r="AQ29" s="4"/>
      <c r="AR29" s="4"/>
      <c r="AS29" s="2"/>
    </row>
    <row r="30" ht="16.5" hidden="1" spans="1:45">
      <c r="A30" s="3" t="s">
        <v>167</v>
      </c>
      <c r="B30" s="3" t="s">
        <v>1030</v>
      </c>
      <c r="C30" s="3" t="s">
        <v>935</v>
      </c>
      <c r="D30" s="3" t="s">
        <v>1035</v>
      </c>
      <c r="E30" s="3" t="s">
        <v>1032</v>
      </c>
      <c r="F30" s="4">
        <v>139</v>
      </c>
      <c r="G30" s="4">
        <v>120</v>
      </c>
      <c r="H30" s="4">
        <v>0</v>
      </c>
      <c r="I30" s="4">
        <v>2</v>
      </c>
      <c r="J30" s="4">
        <v>181</v>
      </c>
      <c r="K30" s="4">
        <v>442</v>
      </c>
      <c r="L30" s="4">
        <v>0</v>
      </c>
      <c r="M30" s="5">
        <v>442</v>
      </c>
      <c r="N30" s="4">
        <v>7586.362832</v>
      </c>
      <c r="O30" s="4">
        <v>7586.362832</v>
      </c>
      <c r="P30" s="4">
        <v>5</v>
      </c>
      <c r="Q30" s="4">
        <v>5</v>
      </c>
      <c r="R30" s="4">
        <v>5</v>
      </c>
      <c r="S30" s="4">
        <v>0</v>
      </c>
      <c r="T30" s="4">
        <v>28</v>
      </c>
      <c r="U30" s="4">
        <v>0</v>
      </c>
      <c r="V30" s="4">
        <v>0</v>
      </c>
      <c r="W30" s="4">
        <v>180</v>
      </c>
      <c r="X30" s="4">
        <v>17.163716814</v>
      </c>
      <c r="Y30" s="4">
        <v>85.818584</v>
      </c>
      <c r="Z30" s="4">
        <v>88.400000074575</v>
      </c>
      <c r="AA30" s="4">
        <v>88.400000074575</v>
      </c>
      <c r="AB30" s="4">
        <v>52.20000004894</v>
      </c>
      <c r="AC30" s="4">
        <v>27.800000020974</v>
      </c>
      <c r="AD30" s="4">
        <v>0</v>
      </c>
      <c r="AE30" s="4">
        <v>0.40000000466</v>
      </c>
      <c r="AF30" s="4">
        <v>4.5</v>
      </c>
      <c r="AG30" s="4">
        <v>412</v>
      </c>
      <c r="AH30" s="4">
        <v>6</v>
      </c>
      <c r="AI30" s="4">
        <v>7071.451327</v>
      </c>
      <c r="AJ30" s="3" t="s">
        <v>1033</v>
      </c>
      <c r="AK30" s="4">
        <v>5</v>
      </c>
      <c r="AL30" s="4">
        <v>0</v>
      </c>
      <c r="AM30" s="6">
        <v>46094</v>
      </c>
      <c r="AN30" s="6"/>
      <c r="AO30" s="3" t="s">
        <v>1034</v>
      </c>
      <c r="AP30" s="3" t="s">
        <v>937</v>
      </c>
      <c r="AQ30" s="4"/>
      <c r="AR30" s="4"/>
      <c r="AS30" s="2"/>
    </row>
    <row r="31" ht="16.5" spans="1:45">
      <c r="A31" s="3" t="s">
        <v>635</v>
      </c>
      <c r="B31" s="3" t="s">
        <v>1030</v>
      </c>
      <c r="C31" s="3" t="s">
        <v>935</v>
      </c>
      <c r="D31" s="3" t="s">
        <v>1031</v>
      </c>
      <c r="E31" s="3" t="s">
        <v>1032</v>
      </c>
      <c r="F31" s="4">
        <v>147</v>
      </c>
      <c r="G31" s="4">
        <v>30</v>
      </c>
      <c r="H31" s="4">
        <v>0</v>
      </c>
      <c r="I31" s="4">
        <v>160</v>
      </c>
      <c r="J31" s="4">
        <v>100</v>
      </c>
      <c r="K31" s="4">
        <v>437</v>
      </c>
      <c r="L31" s="4">
        <v>120</v>
      </c>
      <c r="M31" s="5">
        <v>557</v>
      </c>
      <c r="N31" s="4">
        <v>13037.230672</v>
      </c>
      <c r="O31" s="4">
        <v>16617.248248</v>
      </c>
      <c r="P31" s="4">
        <v>8</v>
      </c>
      <c r="Q31" s="4">
        <v>13</v>
      </c>
      <c r="R31" s="4">
        <v>41</v>
      </c>
      <c r="S31" s="4">
        <v>97</v>
      </c>
      <c r="T31" s="4">
        <v>46</v>
      </c>
      <c r="U31" s="4">
        <v>0</v>
      </c>
      <c r="V31" s="4">
        <v>0</v>
      </c>
      <c r="W31" s="4">
        <v>75</v>
      </c>
      <c r="X31" s="4">
        <v>29.833479799</v>
      </c>
      <c r="Y31" s="4">
        <v>1223.172672</v>
      </c>
      <c r="Z31" s="4">
        <v>13.585365850946</v>
      </c>
      <c r="AA31" s="4">
        <v>10.658536583132</v>
      </c>
      <c r="AB31" s="4">
        <v>8.219512193287</v>
      </c>
      <c r="AC31" s="4">
        <v>3.585365852581</v>
      </c>
      <c r="AD31" s="4">
        <v>0</v>
      </c>
      <c r="AE31" s="4">
        <v>3.902439023752</v>
      </c>
      <c r="AF31" s="4">
        <v>4.5</v>
      </c>
      <c r="AG31" s="4">
        <v>191</v>
      </c>
      <c r="AH31" s="4">
        <v>6</v>
      </c>
      <c r="AI31" s="4">
        <v>5698.194642</v>
      </c>
      <c r="AJ31" s="3" t="s">
        <v>1036</v>
      </c>
      <c r="AK31" s="4">
        <v>41</v>
      </c>
      <c r="AL31" s="4">
        <v>0</v>
      </c>
      <c r="AM31" s="6">
        <v>46126</v>
      </c>
      <c r="AN31" s="6"/>
      <c r="AO31" s="3" t="s">
        <v>1034</v>
      </c>
      <c r="AP31" s="3" t="s">
        <v>937</v>
      </c>
      <c r="AQ31" s="4"/>
      <c r="AR31" s="4"/>
      <c r="AS31" s="2"/>
    </row>
    <row r="32" ht="16.5" hidden="1" spans="1:45">
      <c r="A32" s="3" t="s">
        <v>585</v>
      </c>
      <c r="B32" s="3" t="s">
        <v>1030</v>
      </c>
      <c r="C32" s="3" t="s">
        <v>935</v>
      </c>
      <c r="D32" s="3" t="s">
        <v>1031</v>
      </c>
      <c r="E32" s="3" t="s">
        <v>1032</v>
      </c>
      <c r="F32" s="4">
        <v>188</v>
      </c>
      <c r="G32" s="4">
        <v>0</v>
      </c>
      <c r="H32" s="4">
        <v>0</v>
      </c>
      <c r="I32" s="4">
        <v>0</v>
      </c>
      <c r="J32" s="4">
        <v>245</v>
      </c>
      <c r="K32" s="4">
        <v>433</v>
      </c>
      <c r="L32" s="4">
        <v>0</v>
      </c>
      <c r="M32" s="5">
        <v>433</v>
      </c>
      <c r="N32" s="4">
        <v>8461.795043</v>
      </c>
      <c r="O32" s="4">
        <v>8461.795043</v>
      </c>
      <c r="P32" s="4">
        <v>2</v>
      </c>
      <c r="Q32" s="4">
        <v>4</v>
      </c>
      <c r="R32" s="4">
        <v>10</v>
      </c>
      <c r="S32" s="4">
        <v>16</v>
      </c>
      <c r="T32" s="4">
        <v>2</v>
      </c>
      <c r="U32" s="4">
        <v>0</v>
      </c>
      <c r="V32" s="4">
        <v>0</v>
      </c>
      <c r="W32" s="4">
        <v>101</v>
      </c>
      <c r="X32" s="4">
        <v>19.542251832</v>
      </c>
      <c r="Y32" s="4">
        <v>195.422518</v>
      </c>
      <c r="Z32" s="4">
        <v>43.300000069592</v>
      </c>
      <c r="AA32" s="4">
        <v>43.300000069592</v>
      </c>
      <c r="AB32" s="4">
        <v>18.800000028655</v>
      </c>
      <c r="AC32" s="4">
        <v>18.800000028655</v>
      </c>
      <c r="AD32" s="4">
        <v>0</v>
      </c>
      <c r="AE32" s="4">
        <v>0</v>
      </c>
      <c r="AF32" s="4">
        <v>4.5</v>
      </c>
      <c r="AG32" s="4">
        <v>373</v>
      </c>
      <c r="AH32" s="4">
        <v>6</v>
      </c>
      <c r="AI32" s="4">
        <v>7289.259933</v>
      </c>
      <c r="AJ32" s="3" t="s">
        <v>1036</v>
      </c>
      <c r="AK32" s="4">
        <v>10</v>
      </c>
      <c r="AL32" s="4">
        <v>0</v>
      </c>
      <c r="AM32" s="6">
        <v>46159</v>
      </c>
      <c r="AN32" s="6"/>
      <c r="AO32" s="3" t="s">
        <v>1034</v>
      </c>
      <c r="AP32" s="3" t="s">
        <v>937</v>
      </c>
      <c r="AQ32" s="4"/>
      <c r="AR32" s="4"/>
      <c r="AS32" s="2"/>
    </row>
    <row r="33" ht="16.5" hidden="1" spans="1:45">
      <c r="A33" s="3" t="s">
        <v>625</v>
      </c>
      <c r="B33" s="3" t="s">
        <v>1030</v>
      </c>
      <c r="C33" s="3" t="s">
        <v>935</v>
      </c>
      <c r="D33" s="3" t="s">
        <v>1031</v>
      </c>
      <c r="E33" s="3" t="s">
        <v>1032</v>
      </c>
      <c r="F33" s="4">
        <v>221</v>
      </c>
      <c r="G33" s="4">
        <v>6</v>
      </c>
      <c r="H33" s="4">
        <v>0</v>
      </c>
      <c r="I33" s="4">
        <v>0</v>
      </c>
      <c r="J33" s="4">
        <v>205</v>
      </c>
      <c r="K33" s="4">
        <v>432</v>
      </c>
      <c r="L33" s="4">
        <v>215</v>
      </c>
      <c r="M33" s="5">
        <v>647</v>
      </c>
      <c r="N33" s="4">
        <v>10201.465781</v>
      </c>
      <c r="O33" s="4">
        <v>15278.584167</v>
      </c>
      <c r="P33" s="4">
        <v>4</v>
      </c>
      <c r="Q33" s="4">
        <v>10</v>
      </c>
      <c r="R33" s="4">
        <v>36</v>
      </c>
      <c r="S33" s="4">
        <v>16</v>
      </c>
      <c r="T33" s="4">
        <v>0</v>
      </c>
      <c r="U33" s="4">
        <v>0</v>
      </c>
      <c r="V33" s="4">
        <v>0</v>
      </c>
      <c r="W33" s="4">
        <v>0</v>
      </c>
      <c r="X33" s="4">
        <v>23.6145041225</v>
      </c>
      <c r="Y33" s="4">
        <v>850.122148</v>
      </c>
      <c r="Z33" s="4">
        <v>17.972222230587</v>
      </c>
      <c r="AA33" s="4">
        <v>12.000000005881</v>
      </c>
      <c r="AB33" s="4">
        <v>6.305555558823</v>
      </c>
      <c r="AC33" s="4">
        <v>6.138888891764</v>
      </c>
      <c r="AD33" s="4">
        <v>0</v>
      </c>
      <c r="AE33" s="4">
        <v>0</v>
      </c>
      <c r="AF33" s="4">
        <v>4.5</v>
      </c>
      <c r="AG33" s="4">
        <v>216</v>
      </c>
      <c r="AH33" s="4">
        <v>6</v>
      </c>
      <c r="AI33" s="4">
        <v>5100.73289</v>
      </c>
      <c r="AJ33" s="3" t="s">
        <v>1036</v>
      </c>
      <c r="AK33" s="4">
        <v>36</v>
      </c>
      <c r="AL33" s="4">
        <v>0</v>
      </c>
      <c r="AM33" s="6">
        <v>46176</v>
      </c>
      <c r="AN33" s="6"/>
      <c r="AO33" s="3" t="s">
        <v>1034</v>
      </c>
      <c r="AP33" s="3" t="s">
        <v>937</v>
      </c>
      <c r="AQ33" s="4"/>
      <c r="AR33" s="4"/>
      <c r="AS33" s="2"/>
    </row>
    <row r="34" ht="16.5" hidden="1" spans="1:45">
      <c r="A34" s="3" t="s">
        <v>963</v>
      </c>
      <c r="B34" s="3" t="s">
        <v>1030</v>
      </c>
      <c r="C34" s="3" t="s">
        <v>935</v>
      </c>
      <c r="D34" s="3" t="s">
        <v>1040</v>
      </c>
      <c r="E34" s="3" t="s">
        <v>1032</v>
      </c>
      <c r="F34" s="4">
        <v>305</v>
      </c>
      <c r="G34" s="4">
        <v>0</v>
      </c>
      <c r="H34" s="4">
        <v>0</v>
      </c>
      <c r="I34" s="4">
        <v>0</v>
      </c>
      <c r="J34" s="4">
        <v>120</v>
      </c>
      <c r="K34" s="4">
        <v>425</v>
      </c>
      <c r="L34" s="4">
        <v>0</v>
      </c>
      <c r="M34" s="5">
        <v>425</v>
      </c>
      <c r="N34" s="4">
        <v>9708.052725</v>
      </c>
      <c r="O34" s="4">
        <v>9708.052725</v>
      </c>
      <c r="P34" s="4">
        <v>7</v>
      </c>
      <c r="Q34" s="4">
        <v>19</v>
      </c>
      <c r="R34" s="4">
        <v>48</v>
      </c>
      <c r="S34" s="4">
        <v>54</v>
      </c>
      <c r="T34" s="4">
        <v>70</v>
      </c>
      <c r="U34" s="4">
        <v>0</v>
      </c>
      <c r="V34" s="4">
        <v>0</v>
      </c>
      <c r="W34" s="4">
        <v>0</v>
      </c>
      <c r="X34" s="4">
        <v>22.842477</v>
      </c>
      <c r="Y34" s="4">
        <v>1096.438896</v>
      </c>
      <c r="Z34" s="4">
        <v>8.854166666666</v>
      </c>
      <c r="AA34" s="4">
        <v>8.854166666666</v>
      </c>
      <c r="AB34" s="4">
        <v>6.354166666666</v>
      </c>
      <c r="AC34" s="4">
        <v>6.354166666666</v>
      </c>
      <c r="AD34" s="4">
        <v>0</v>
      </c>
      <c r="AE34" s="4">
        <v>0</v>
      </c>
      <c r="AF34" s="4">
        <v>4.5</v>
      </c>
      <c r="AG34" s="4">
        <v>137</v>
      </c>
      <c r="AH34" s="4">
        <v>6</v>
      </c>
      <c r="AI34" s="4">
        <v>3129.419349</v>
      </c>
      <c r="AJ34" s="3" t="s">
        <v>1036</v>
      </c>
      <c r="AK34" s="4">
        <v>48</v>
      </c>
      <c r="AL34" s="4">
        <v>0</v>
      </c>
      <c r="AM34" s="6">
        <v>45980</v>
      </c>
      <c r="AN34" s="6"/>
      <c r="AO34" s="3" t="s">
        <v>1034</v>
      </c>
      <c r="AP34" s="3" t="s">
        <v>937</v>
      </c>
      <c r="AQ34" s="4"/>
      <c r="AR34" s="4"/>
      <c r="AS34" s="2"/>
    </row>
    <row r="35" ht="16.5" hidden="1" spans="1:45">
      <c r="A35" s="3" t="s">
        <v>968</v>
      </c>
      <c r="B35" s="3" t="s">
        <v>1030</v>
      </c>
      <c r="C35" s="3" t="s">
        <v>935</v>
      </c>
      <c r="D35" s="3" t="s">
        <v>1037</v>
      </c>
      <c r="E35" s="3" t="s">
        <v>1032</v>
      </c>
      <c r="F35" s="4">
        <v>415</v>
      </c>
      <c r="G35" s="4">
        <v>0</v>
      </c>
      <c r="H35" s="4">
        <v>0</v>
      </c>
      <c r="I35" s="4">
        <v>0</v>
      </c>
      <c r="J35" s="4">
        <v>7</v>
      </c>
      <c r="K35" s="4">
        <v>422</v>
      </c>
      <c r="L35" s="4">
        <v>0</v>
      </c>
      <c r="M35" s="5">
        <v>422</v>
      </c>
      <c r="N35" s="4">
        <v>11404.740618</v>
      </c>
      <c r="O35" s="4">
        <v>11404.740618</v>
      </c>
      <c r="P35" s="4">
        <v>14</v>
      </c>
      <c r="Q35" s="4">
        <v>39</v>
      </c>
      <c r="R35" s="4">
        <v>81</v>
      </c>
      <c r="S35" s="4">
        <v>39</v>
      </c>
      <c r="T35" s="4">
        <v>35</v>
      </c>
      <c r="U35" s="4">
        <v>0</v>
      </c>
      <c r="V35" s="4">
        <v>0</v>
      </c>
      <c r="W35" s="4">
        <v>0</v>
      </c>
      <c r="X35" s="4">
        <v>27.025451701</v>
      </c>
      <c r="Y35" s="4">
        <v>2189.061588</v>
      </c>
      <c r="Z35" s="4">
        <v>5.209876542769</v>
      </c>
      <c r="AA35" s="4">
        <v>5.209876542769</v>
      </c>
      <c r="AB35" s="4">
        <v>5.123456789649</v>
      </c>
      <c r="AC35" s="4">
        <v>5.123456789649</v>
      </c>
      <c r="AD35" s="4">
        <v>0</v>
      </c>
      <c r="AE35" s="4">
        <v>0</v>
      </c>
      <c r="AF35" s="4">
        <v>4.5</v>
      </c>
      <c r="AG35" s="4">
        <v>0</v>
      </c>
      <c r="AH35" s="4">
        <v>6</v>
      </c>
      <c r="AI35" s="4">
        <v>0</v>
      </c>
      <c r="AJ35" s="3" t="s">
        <v>1036</v>
      </c>
      <c r="AK35" s="4">
        <v>81</v>
      </c>
      <c r="AL35" s="4">
        <v>0</v>
      </c>
      <c r="AM35" s="6">
        <v>45878</v>
      </c>
      <c r="AN35" s="6"/>
      <c r="AO35" s="3" t="s">
        <v>1034</v>
      </c>
      <c r="AP35" s="3" t="s">
        <v>937</v>
      </c>
      <c r="AQ35" s="4"/>
      <c r="AR35" s="4"/>
      <c r="AS35" s="2"/>
    </row>
    <row r="36" ht="16.5" hidden="1" spans="1:45">
      <c r="A36" s="3" t="s">
        <v>650</v>
      </c>
      <c r="B36" s="3" t="s">
        <v>1030</v>
      </c>
      <c r="C36" s="3" t="s">
        <v>935</v>
      </c>
      <c r="D36" s="3" t="s">
        <v>1031</v>
      </c>
      <c r="E36" s="3" t="s">
        <v>1032</v>
      </c>
      <c r="F36" s="4">
        <v>9</v>
      </c>
      <c r="G36" s="4">
        <v>230</v>
      </c>
      <c r="H36" s="4">
        <v>0</v>
      </c>
      <c r="I36" s="4">
        <v>28</v>
      </c>
      <c r="J36" s="4">
        <v>149</v>
      </c>
      <c r="K36" s="4">
        <v>416</v>
      </c>
      <c r="L36" s="4">
        <v>0</v>
      </c>
      <c r="M36" s="5">
        <v>416</v>
      </c>
      <c r="N36" s="4">
        <v>10082.022149</v>
      </c>
      <c r="O36" s="4">
        <v>10082.022149</v>
      </c>
      <c r="P36" s="4">
        <v>0</v>
      </c>
      <c r="Q36" s="4">
        <v>4</v>
      </c>
      <c r="R36" s="4">
        <v>6</v>
      </c>
      <c r="S36" s="4">
        <v>6</v>
      </c>
      <c r="T36" s="4">
        <v>35</v>
      </c>
      <c r="U36" s="4">
        <v>0</v>
      </c>
      <c r="V36" s="4">
        <v>0</v>
      </c>
      <c r="W36" s="4">
        <v>6</v>
      </c>
      <c r="X36" s="4">
        <v>24.2356301657</v>
      </c>
      <c r="Y36" s="4">
        <v>145.413781</v>
      </c>
      <c r="Z36" s="4">
        <v>69.333333331041</v>
      </c>
      <c r="AA36" s="4">
        <v>69.333333331041</v>
      </c>
      <c r="AB36" s="4">
        <v>44.499999996561</v>
      </c>
      <c r="AC36" s="4">
        <v>1.499999996561</v>
      </c>
      <c r="AD36" s="4">
        <v>0</v>
      </c>
      <c r="AE36" s="4">
        <v>4.666666668958</v>
      </c>
      <c r="AF36" s="4">
        <v>4.5</v>
      </c>
      <c r="AG36" s="4">
        <v>380</v>
      </c>
      <c r="AH36" s="4">
        <v>6</v>
      </c>
      <c r="AI36" s="4">
        <v>9209.539463</v>
      </c>
      <c r="AJ36" s="3" t="s">
        <v>1036</v>
      </c>
      <c r="AK36" s="4">
        <v>6</v>
      </c>
      <c r="AL36" s="4">
        <v>0</v>
      </c>
      <c r="AM36" s="6">
        <v>46099</v>
      </c>
      <c r="AN36" s="6"/>
      <c r="AO36" s="3" t="s">
        <v>1034</v>
      </c>
      <c r="AP36" s="3" t="s">
        <v>937</v>
      </c>
      <c r="AQ36" s="4"/>
      <c r="AR36" s="4"/>
      <c r="AS36" s="2"/>
    </row>
    <row r="37" ht="16.5" hidden="1" spans="1:45">
      <c r="A37" s="3" t="s">
        <v>660</v>
      </c>
      <c r="B37" s="3" t="s">
        <v>1030</v>
      </c>
      <c r="C37" s="3" t="s">
        <v>935</v>
      </c>
      <c r="D37" s="3" t="s">
        <v>1031</v>
      </c>
      <c r="E37" s="3" t="s">
        <v>1032</v>
      </c>
      <c r="F37" s="4">
        <v>80</v>
      </c>
      <c r="G37" s="4">
        <v>140</v>
      </c>
      <c r="H37" s="4">
        <v>0</v>
      </c>
      <c r="I37" s="4">
        <v>70</v>
      </c>
      <c r="J37" s="4">
        <v>122</v>
      </c>
      <c r="K37" s="4">
        <v>412</v>
      </c>
      <c r="L37" s="4">
        <v>0</v>
      </c>
      <c r="M37" s="5">
        <v>412</v>
      </c>
      <c r="N37" s="4">
        <v>8342.731541</v>
      </c>
      <c r="O37" s="4">
        <v>8342.731541</v>
      </c>
      <c r="P37" s="4">
        <v>7</v>
      </c>
      <c r="Q37" s="4">
        <v>14</v>
      </c>
      <c r="R37" s="4">
        <v>24</v>
      </c>
      <c r="S37" s="4">
        <v>25</v>
      </c>
      <c r="T37" s="4">
        <v>41</v>
      </c>
      <c r="U37" s="4">
        <v>0</v>
      </c>
      <c r="V37" s="4">
        <v>0</v>
      </c>
      <c r="W37" s="4">
        <v>19</v>
      </c>
      <c r="X37" s="4">
        <v>20.2493483997</v>
      </c>
      <c r="Y37" s="4">
        <v>485.984362</v>
      </c>
      <c r="Z37" s="4">
        <v>17.166666652948</v>
      </c>
      <c r="AA37" s="4">
        <v>17.166666652948</v>
      </c>
      <c r="AB37" s="4">
        <v>12.083333323387</v>
      </c>
      <c r="AC37" s="4">
        <v>3.333333330589</v>
      </c>
      <c r="AD37" s="4">
        <v>0</v>
      </c>
      <c r="AE37" s="4">
        <v>2.916666664266</v>
      </c>
      <c r="AF37" s="4">
        <v>4.5</v>
      </c>
      <c r="AG37" s="4">
        <v>268</v>
      </c>
      <c r="AH37" s="4">
        <v>6</v>
      </c>
      <c r="AI37" s="4">
        <v>5426.825371</v>
      </c>
      <c r="AJ37" s="3" t="s">
        <v>1036</v>
      </c>
      <c r="AK37" s="4">
        <v>24</v>
      </c>
      <c r="AL37" s="4">
        <v>0</v>
      </c>
      <c r="AM37" s="6">
        <v>46094</v>
      </c>
      <c r="AN37" s="6"/>
      <c r="AO37" s="3" t="s">
        <v>1034</v>
      </c>
      <c r="AP37" s="3" t="s">
        <v>937</v>
      </c>
      <c r="AQ37" s="4"/>
      <c r="AR37" s="4"/>
      <c r="AS37" s="2"/>
    </row>
    <row r="38" ht="16.5" hidden="1" spans="1:45">
      <c r="A38" s="3" t="s">
        <v>980</v>
      </c>
      <c r="B38" s="3" t="s">
        <v>1030</v>
      </c>
      <c r="C38" s="3" t="s">
        <v>935</v>
      </c>
      <c r="D38" s="3" t="s">
        <v>1039</v>
      </c>
      <c r="E38" s="3" t="s">
        <v>1032</v>
      </c>
      <c r="F38" s="4">
        <v>99</v>
      </c>
      <c r="G38" s="4">
        <v>0</v>
      </c>
      <c r="H38" s="4">
        <v>0</v>
      </c>
      <c r="I38" s="4">
        <v>0</v>
      </c>
      <c r="J38" s="4">
        <v>310</v>
      </c>
      <c r="K38" s="4">
        <v>409</v>
      </c>
      <c r="L38" s="4">
        <v>0</v>
      </c>
      <c r="M38" s="5">
        <v>409</v>
      </c>
      <c r="N38" s="4">
        <v>8180.014412</v>
      </c>
      <c r="O38" s="4">
        <v>8180.014412</v>
      </c>
      <c r="P38" s="4">
        <v>3</v>
      </c>
      <c r="Q38" s="4">
        <v>10</v>
      </c>
      <c r="R38" s="4">
        <v>20</v>
      </c>
      <c r="S38" s="4">
        <v>13</v>
      </c>
      <c r="T38" s="4">
        <v>0</v>
      </c>
      <c r="U38" s="4">
        <v>0</v>
      </c>
      <c r="V38" s="4">
        <v>0</v>
      </c>
      <c r="W38" s="4">
        <v>0</v>
      </c>
      <c r="X38" s="4">
        <v>20.0000352363</v>
      </c>
      <c r="Y38" s="4">
        <v>400.000705</v>
      </c>
      <c r="Z38" s="4">
        <v>20.449999986875</v>
      </c>
      <c r="AA38" s="4">
        <v>20.449999986875</v>
      </c>
      <c r="AB38" s="4">
        <v>4.949999998125</v>
      </c>
      <c r="AC38" s="4">
        <v>4.949999995625</v>
      </c>
      <c r="AD38" s="4">
        <v>0</v>
      </c>
      <c r="AE38" s="4">
        <v>0</v>
      </c>
      <c r="AF38" s="4">
        <v>4.5</v>
      </c>
      <c r="AG38" s="4">
        <v>289</v>
      </c>
      <c r="AH38" s="4">
        <v>6</v>
      </c>
      <c r="AI38" s="4">
        <v>5780.010183</v>
      </c>
      <c r="AJ38" s="3" t="s">
        <v>1036</v>
      </c>
      <c r="AK38" s="4">
        <v>20</v>
      </c>
      <c r="AL38" s="4">
        <v>0</v>
      </c>
      <c r="AM38" s="6">
        <v>45878</v>
      </c>
      <c r="AN38" s="6"/>
      <c r="AO38" s="3" t="s">
        <v>1034</v>
      </c>
      <c r="AP38" s="3" t="s">
        <v>937</v>
      </c>
      <c r="AQ38" s="4"/>
      <c r="AR38" s="4"/>
      <c r="AS38" s="2"/>
    </row>
    <row r="39" ht="16.5" hidden="1" spans="1:45">
      <c r="A39" s="3" t="s">
        <v>505</v>
      </c>
      <c r="B39" s="3" t="s">
        <v>1030</v>
      </c>
      <c r="C39" s="3" t="s">
        <v>935</v>
      </c>
      <c r="D39" s="3" t="s">
        <v>1031</v>
      </c>
      <c r="E39" s="3" t="s">
        <v>1032</v>
      </c>
      <c r="F39" s="4">
        <v>277</v>
      </c>
      <c r="G39" s="4">
        <v>0</v>
      </c>
      <c r="H39" s="4">
        <v>0</v>
      </c>
      <c r="I39" s="4">
        <v>0</v>
      </c>
      <c r="J39" s="4">
        <v>131</v>
      </c>
      <c r="K39" s="4">
        <v>408</v>
      </c>
      <c r="L39" s="4">
        <v>0</v>
      </c>
      <c r="M39" s="5">
        <v>408</v>
      </c>
      <c r="N39" s="4">
        <v>8934.370409</v>
      </c>
      <c r="O39" s="4">
        <v>8934.370409</v>
      </c>
      <c r="P39" s="4">
        <v>2</v>
      </c>
      <c r="Q39" s="4">
        <v>4</v>
      </c>
      <c r="R39" s="4">
        <v>21</v>
      </c>
      <c r="S39" s="4">
        <v>33</v>
      </c>
      <c r="T39" s="4">
        <v>16</v>
      </c>
      <c r="U39" s="4">
        <v>0</v>
      </c>
      <c r="V39" s="4">
        <v>0</v>
      </c>
      <c r="W39" s="4">
        <v>27</v>
      </c>
      <c r="X39" s="4">
        <v>21.8979666892</v>
      </c>
      <c r="Y39" s="4">
        <v>459.8573</v>
      </c>
      <c r="Z39" s="4">
        <v>19.428571448142</v>
      </c>
      <c r="AA39" s="4">
        <v>19.428571448142</v>
      </c>
      <c r="AB39" s="4">
        <v>13.190476204248</v>
      </c>
      <c r="AC39" s="4">
        <v>13.190476204248</v>
      </c>
      <c r="AD39" s="4">
        <v>0</v>
      </c>
      <c r="AE39" s="4">
        <v>0</v>
      </c>
      <c r="AF39" s="4">
        <v>4.5</v>
      </c>
      <c r="AG39" s="4">
        <v>282</v>
      </c>
      <c r="AH39" s="4">
        <v>6</v>
      </c>
      <c r="AI39" s="4">
        <v>6175.226606</v>
      </c>
      <c r="AJ39" s="3" t="s">
        <v>1036</v>
      </c>
      <c r="AK39" s="4">
        <v>21</v>
      </c>
      <c r="AL39" s="4">
        <v>0</v>
      </c>
      <c r="AM39" s="6">
        <v>46099</v>
      </c>
      <c r="AN39" s="6"/>
      <c r="AO39" s="3" t="s">
        <v>1034</v>
      </c>
      <c r="AP39" s="3" t="s">
        <v>937</v>
      </c>
      <c r="AQ39" s="4"/>
      <c r="AR39" s="4"/>
      <c r="AS39" s="2"/>
    </row>
    <row r="40" ht="16.5" spans="1:45">
      <c r="A40" s="3" t="s">
        <v>600</v>
      </c>
      <c r="B40" s="3" t="s">
        <v>1030</v>
      </c>
      <c r="C40" s="3" t="s">
        <v>935</v>
      </c>
      <c r="D40" s="3" t="s">
        <v>1031</v>
      </c>
      <c r="E40" s="3" t="s">
        <v>1032</v>
      </c>
      <c r="F40" s="4">
        <v>252</v>
      </c>
      <c r="G40" s="4">
        <v>0</v>
      </c>
      <c r="H40" s="4">
        <v>0</v>
      </c>
      <c r="I40" s="4">
        <v>0</v>
      </c>
      <c r="J40" s="4">
        <v>153</v>
      </c>
      <c r="K40" s="4">
        <v>405</v>
      </c>
      <c r="L40" s="4">
        <v>0</v>
      </c>
      <c r="M40" s="5">
        <v>405</v>
      </c>
      <c r="N40" s="4">
        <v>9725.869691</v>
      </c>
      <c r="O40" s="4">
        <v>9725.869691</v>
      </c>
      <c r="P40" s="4">
        <v>4</v>
      </c>
      <c r="Q40" s="4">
        <v>7</v>
      </c>
      <c r="R40" s="4">
        <v>11</v>
      </c>
      <c r="S40" s="4">
        <v>8</v>
      </c>
      <c r="T40" s="4">
        <v>13</v>
      </c>
      <c r="U40" s="4">
        <v>0</v>
      </c>
      <c r="V40" s="4">
        <v>0</v>
      </c>
      <c r="W40" s="4">
        <v>0</v>
      </c>
      <c r="X40" s="4">
        <v>24.0144930648</v>
      </c>
      <c r="Y40" s="4">
        <v>264.159424</v>
      </c>
      <c r="Z40" s="4">
        <v>36.818181777228</v>
      </c>
      <c r="AA40" s="4">
        <v>36.818181777228</v>
      </c>
      <c r="AB40" s="4">
        <v>22.909090882935</v>
      </c>
      <c r="AC40" s="4">
        <v>22.909090882935</v>
      </c>
      <c r="AD40" s="4">
        <v>0</v>
      </c>
      <c r="AE40" s="4">
        <v>0</v>
      </c>
      <c r="AF40" s="4">
        <v>4.5</v>
      </c>
      <c r="AG40" s="4">
        <v>339</v>
      </c>
      <c r="AH40" s="4">
        <v>6</v>
      </c>
      <c r="AI40" s="4">
        <v>8140.913149</v>
      </c>
      <c r="AJ40" s="3" t="s">
        <v>1036</v>
      </c>
      <c r="AK40" s="4">
        <v>11</v>
      </c>
      <c r="AL40" s="4">
        <v>0</v>
      </c>
      <c r="AM40" s="6">
        <v>46126</v>
      </c>
      <c r="AN40" s="6"/>
      <c r="AO40" s="3" t="s">
        <v>1034</v>
      </c>
      <c r="AP40" s="3" t="s">
        <v>937</v>
      </c>
      <c r="AQ40" s="4"/>
      <c r="AR40" s="4"/>
      <c r="AS40" s="2"/>
    </row>
    <row r="41" ht="16.5" hidden="1" spans="1:45">
      <c r="A41" s="3" t="s">
        <v>870</v>
      </c>
      <c r="B41" s="3" t="s">
        <v>1030</v>
      </c>
      <c r="C41" s="3" t="s">
        <v>935</v>
      </c>
      <c r="D41" s="3" t="s">
        <v>1031</v>
      </c>
      <c r="E41" s="3" t="s">
        <v>1032</v>
      </c>
      <c r="F41" s="4">
        <v>113</v>
      </c>
      <c r="G41" s="4">
        <v>65</v>
      </c>
      <c r="H41" s="4">
        <v>0</v>
      </c>
      <c r="I41" s="4">
        <v>110</v>
      </c>
      <c r="J41" s="4">
        <v>115</v>
      </c>
      <c r="K41" s="4">
        <v>403</v>
      </c>
      <c r="L41" s="4">
        <v>0</v>
      </c>
      <c r="M41" s="5">
        <v>403</v>
      </c>
      <c r="N41" s="4">
        <v>6275.030975</v>
      </c>
      <c r="O41" s="4">
        <v>6275.030975</v>
      </c>
      <c r="P41" s="4">
        <v>9</v>
      </c>
      <c r="Q41" s="4">
        <v>11</v>
      </c>
      <c r="R41" s="4">
        <v>23</v>
      </c>
      <c r="S41" s="4">
        <v>49</v>
      </c>
      <c r="T41" s="4">
        <v>23</v>
      </c>
      <c r="U41" s="4">
        <v>0</v>
      </c>
      <c r="V41" s="4">
        <v>0</v>
      </c>
      <c r="W41" s="4">
        <v>0</v>
      </c>
      <c r="X41" s="4">
        <v>15.570796464</v>
      </c>
      <c r="Y41" s="4">
        <v>358.128319</v>
      </c>
      <c r="Z41" s="4">
        <v>17.521739114409</v>
      </c>
      <c r="AA41" s="4">
        <v>17.521739114409</v>
      </c>
      <c r="AB41" s="4">
        <v>12.521739119994</v>
      </c>
      <c r="AC41" s="4">
        <v>4.913043472554</v>
      </c>
      <c r="AD41" s="4">
        <v>0</v>
      </c>
      <c r="AE41" s="4">
        <v>4.78260869116</v>
      </c>
      <c r="AF41" s="4">
        <v>4.5</v>
      </c>
      <c r="AG41" s="4">
        <v>265</v>
      </c>
      <c r="AH41" s="4">
        <v>6</v>
      </c>
      <c r="AI41" s="4">
        <v>4126.261063</v>
      </c>
      <c r="AJ41" s="3" t="s">
        <v>1033</v>
      </c>
      <c r="AK41" s="4">
        <v>23</v>
      </c>
      <c r="AL41" s="4">
        <v>0</v>
      </c>
      <c r="AM41" s="6">
        <v>46094</v>
      </c>
      <c r="AN41" s="6"/>
      <c r="AO41" s="3" t="s">
        <v>1034</v>
      </c>
      <c r="AP41" s="3" t="s">
        <v>937</v>
      </c>
      <c r="AQ41" s="4"/>
      <c r="AR41" s="4"/>
      <c r="AS41" s="2"/>
    </row>
    <row r="42" ht="16.5" hidden="1" spans="1:45">
      <c r="A42" s="3" t="s">
        <v>655</v>
      </c>
      <c r="B42" s="3" t="s">
        <v>1030</v>
      </c>
      <c r="C42" s="3" t="s">
        <v>935</v>
      </c>
      <c r="D42" s="3" t="s">
        <v>1031</v>
      </c>
      <c r="E42" s="3" t="s">
        <v>1032</v>
      </c>
      <c r="F42" s="4">
        <v>135</v>
      </c>
      <c r="G42" s="4">
        <v>110</v>
      </c>
      <c r="H42" s="4">
        <v>0</v>
      </c>
      <c r="I42" s="4">
        <v>0</v>
      </c>
      <c r="J42" s="4">
        <v>151</v>
      </c>
      <c r="K42" s="4">
        <v>396</v>
      </c>
      <c r="L42" s="4">
        <v>219</v>
      </c>
      <c r="M42" s="5">
        <v>615</v>
      </c>
      <c r="N42" s="4">
        <v>9371.687574</v>
      </c>
      <c r="O42" s="4">
        <v>14554.514792</v>
      </c>
      <c r="P42" s="4">
        <v>10</v>
      </c>
      <c r="Q42" s="4">
        <v>14</v>
      </c>
      <c r="R42" s="4">
        <v>45</v>
      </c>
      <c r="S42" s="4">
        <v>35</v>
      </c>
      <c r="T42" s="4">
        <v>5</v>
      </c>
      <c r="U42" s="4">
        <v>0</v>
      </c>
      <c r="V42" s="4">
        <v>0</v>
      </c>
      <c r="W42" s="4">
        <v>150</v>
      </c>
      <c r="X42" s="4">
        <v>23.665877711</v>
      </c>
      <c r="Y42" s="4">
        <v>1064.964497</v>
      </c>
      <c r="Z42" s="4">
        <v>13.666666666353</v>
      </c>
      <c r="AA42" s="4">
        <v>8.800000000375</v>
      </c>
      <c r="AB42" s="4">
        <v>5.444444445174</v>
      </c>
      <c r="AC42" s="4">
        <v>3</v>
      </c>
      <c r="AD42" s="4">
        <v>0</v>
      </c>
      <c r="AE42" s="4">
        <v>0</v>
      </c>
      <c r="AF42" s="4">
        <v>4.5</v>
      </c>
      <c r="AG42" s="4">
        <v>126</v>
      </c>
      <c r="AH42" s="4">
        <v>6</v>
      </c>
      <c r="AI42" s="4">
        <v>2981.900592</v>
      </c>
      <c r="AJ42" s="3" t="s">
        <v>1036</v>
      </c>
      <c r="AK42" s="4">
        <v>45</v>
      </c>
      <c r="AL42" s="4">
        <v>0</v>
      </c>
      <c r="AM42" s="6">
        <v>46163</v>
      </c>
      <c r="AN42" s="6"/>
      <c r="AO42" s="3" t="s">
        <v>1034</v>
      </c>
      <c r="AP42" s="3" t="s">
        <v>937</v>
      </c>
      <c r="AQ42" s="4"/>
      <c r="AR42" s="4"/>
      <c r="AS42" s="2"/>
    </row>
    <row r="43" ht="16.5" hidden="1" spans="1:45">
      <c r="A43" s="3" t="s">
        <v>462</v>
      </c>
      <c r="B43" s="3" t="s">
        <v>1030</v>
      </c>
      <c r="C43" s="3" t="s">
        <v>935</v>
      </c>
      <c r="D43" s="3" t="s">
        <v>1031</v>
      </c>
      <c r="E43" s="3" t="s">
        <v>1032</v>
      </c>
      <c r="F43" s="4">
        <v>57</v>
      </c>
      <c r="G43" s="4">
        <v>100</v>
      </c>
      <c r="H43" s="4">
        <v>20</v>
      </c>
      <c r="I43" s="4">
        <v>2</v>
      </c>
      <c r="J43" s="4">
        <v>202</v>
      </c>
      <c r="K43" s="4">
        <v>381</v>
      </c>
      <c r="L43" s="4">
        <v>143</v>
      </c>
      <c r="M43" s="5">
        <v>524</v>
      </c>
      <c r="N43" s="4">
        <v>6994.553098</v>
      </c>
      <c r="O43" s="4">
        <v>9619.80531</v>
      </c>
      <c r="P43" s="4">
        <v>11</v>
      </c>
      <c r="Q43" s="4">
        <v>24</v>
      </c>
      <c r="R43" s="4">
        <v>34</v>
      </c>
      <c r="S43" s="4">
        <v>16</v>
      </c>
      <c r="T43" s="4">
        <v>83</v>
      </c>
      <c r="U43" s="4">
        <v>102</v>
      </c>
      <c r="V43" s="4">
        <v>102</v>
      </c>
      <c r="W43" s="4">
        <v>202</v>
      </c>
      <c r="X43" s="4">
        <v>18.358407081</v>
      </c>
      <c r="Y43" s="4">
        <v>624.185841</v>
      </c>
      <c r="Z43" s="4">
        <v>15.411764699097</v>
      </c>
      <c r="AA43" s="4">
        <v>11.205882348747</v>
      </c>
      <c r="AB43" s="4">
        <v>5.26470588108</v>
      </c>
      <c r="AC43" s="4">
        <v>1.676470588188</v>
      </c>
      <c r="AD43" s="4">
        <v>0.588235294494</v>
      </c>
      <c r="AE43" s="4">
        <v>0.058823529129</v>
      </c>
      <c r="AF43" s="4">
        <v>4.5</v>
      </c>
      <c r="AG43" s="4">
        <v>177</v>
      </c>
      <c r="AH43" s="4">
        <v>6</v>
      </c>
      <c r="AI43" s="4">
        <v>3249.438053</v>
      </c>
      <c r="AJ43" s="3" t="s">
        <v>1033</v>
      </c>
      <c r="AK43" s="4">
        <v>34</v>
      </c>
      <c r="AL43" s="4">
        <v>0</v>
      </c>
      <c r="AM43" s="6">
        <v>46094</v>
      </c>
      <c r="AN43" s="6">
        <v>46237</v>
      </c>
      <c r="AO43" s="3" t="s">
        <v>1034</v>
      </c>
      <c r="AP43" s="3" t="s">
        <v>937</v>
      </c>
      <c r="AQ43" s="4"/>
      <c r="AR43" s="4"/>
      <c r="AS43" s="2"/>
    </row>
    <row r="44" ht="16.5" hidden="1" spans="1:45">
      <c r="A44" s="3" t="s">
        <v>495</v>
      </c>
      <c r="B44" s="3" t="s">
        <v>1030</v>
      </c>
      <c r="C44" s="3" t="s">
        <v>935</v>
      </c>
      <c r="D44" s="3" t="s">
        <v>1031</v>
      </c>
      <c r="E44" s="3" t="s">
        <v>1032</v>
      </c>
      <c r="F44" s="4">
        <v>329</v>
      </c>
      <c r="G44" s="4">
        <v>2</v>
      </c>
      <c r="H44" s="4">
        <v>0</v>
      </c>
      <c r="I44" s="4">
        <v>0</v>
      </c>
      <c r="J44" s="4">
        <v>48</v>
      </c>
      <c r="K44" s="4">
        <v>379</v>
      </c>
      <c r="L44" s="4">
        <v>400</v>
      </c>
      <c r="M44" s="5">
        <v>779</v>
      </c>
      <c r="N44" s="4">
        <v>7785.515892</v>
      </c>
      <c r="O44" s="4">
        <v>16002.419208</v>
      </c>
      <c r="P44" s="4">
        <v>14</v>
      </c>
      <c r="Q44" s="4">
        <v>31</v>
      </c>
      <c r="R44" s="4">
        <v>67</v>
      </c>
      <c r="S44" s="4">
        <v>69</v>
      </c>
      <c r="T44" s="4">
        <v>6</v>
      </c>
      <c r="U44" s="4">
        <v>0</v>
      </c>
      <c r="V44" s="4">
        <v>0</v>
      </c>
      <c r="W44" s="4">
        <v>181</v>
      </c>
      <c r="X44" s="4">
        <v>20.5422582906</v>
      </c>
      <c r="Y44" s="4">
        <v>1376.331305</v>
      </c>
      <c r="Z44" s="4">
        <v>11.626865675339</v>
      </c>
      <c r="AA44" s="4">
        <v>5.656716419743</v>
      </c>
      <c r="AB44" s="4">
        <v>4.940298509013</v>
      </c>
      <c r="AC44" s="4">
        <v>4.910447763156</v>
      </c>
      <c r="AD44" s="4">
        <v>0</v>
      </c>
      <c r="AE44" s="4">
        <v>0</v>
      </c>
      <c r="AF44" s="4">
        <v>4.5</v>
      </c>
      <c r="AG44" s="4">
        <v>0</v>
      </c>
      <c r="AH44" s="4">
        <v>6</v>
      </c>
      <c r="AI44" s="4">
        <v>0</v>
      </c>
      <c r="AJ44" s="3" t="s">
        <v>1036</v>
      </c>
      <c r="AK44" s="4">
        <v>67</v>
      </c>
      <c r="AL44" s="4">
        <v>0</v>
      </c>
      <c r="AM44" s="6">
        <v>46159</v>
      </c>
      <c r="AN44" s="6"/>
      <c r="AO44" s="3" t="s">
        <v>1034</v>
      </c>
      <c r="AP44" s="3" t="s">
        <v>937</v>
      </c>
      <c r="AQ44" s="4"/>
      <c r="AR44" s="4"/>
      <c r="AS44" s="2"/>
    </row>
    <row r="45" ht="16.5" hidden="1" spans="1:45">
      <c r="A45" s="3" t="s">
        <v>560</v>
      </c>
      <c r="B45" s="3" t="s">
        <v>1030</v>
      </c>
      <c r="C45" s="3" t="s">
        <v>935</v>
      </c>
      <c r="D45" s="3" t="s">
        <v>1031</v>
      </c>
      <c r="E45" s="3" t="s">
        <v>1032</v>
      </c>
      <c r="F45" s="4">
        <v>179</v>
      </c>
      <c r="G45" s="4">
        <v>41</v>
      </c>
      <c r="H45" s="4">
        <v>0</v>
      </c>
      <c r="I45" s="4">
        <v>0</v>
      </c>
      <c r="J45" s="4">
        <v>149</v>
      </c>
      <c r="K45" s="4">
        <v>369</v>
      </c>
      <c r="L45" s="4">
        <v>50</v>
      </c>
      <c r="M45" s="5">
        <v>419</v>
      </c>
      <c r="N45" s="4">
        <v>8884.07308</v>
      </c>
      <c r="O45" s="4">
        <v>10087.877021</v>
      </c>
      <c r="P45" s="4">
        <v>8</v>
      </c>
      <c r="Q45" s="4">
        <v>21</v>
      </c>
      <c r="R45" s="4">
        <v>37</v>
      </c>
      <c r="S45" s="4">
        <v>24</v>
      </c>
      <c r="T45" s="4">
        <v>5</v>
      </c>
      <c r="U45" s="4">
        <v>0</v>
      </c>
      <c r="V45" s="4">
        <v>0</v>
      </c>
      <c r="W45" s="4">
        <v>39</v>
      </c>
      <c r="X45" s="4">
        <v>24.0760788082</v>
      </c>
      <c r="Y45" s="4">
        <v>890.814916</v>
      </c>
      <c r="Z45" s="4">
        <v>11.324324323505</v>
      </c>
      <c r="AA45" s="4">
        <v>9.972972971638</v>
      </c>
      <c r="AB45" s="4">
        <v>5.945945945521</v>
      </c>
      <c r="AC45" s="4">
        <v>4.837837837686</v>
      </c>
      <c r="AD45" s="4">
        <v>0</v>
      </c>
      <c r="AE45" s="4">
        <v>0</v>
      </c>
      <c r="AF45" s="4">
        <v>4.5</v>
      </c>
      <c r="AG45" s="4">
        <v>147</v>
      </c>
      <c r="AH45" s="4">
        <v>6</v>
      </c>
      <c r="AI45" s="4">
        <v>3539.183585</v>
      </c>
      <c r="AJ45" s="3" t="s">
        <v>1036</v>
      </c>
      <c r="AK45" s="4">
        <v>37</v>
      </c>
      <c r="AL45" s="4">
        <v>0</v>
      </c>
      <c r="AM45" s="6">
        <v>46162</v>
      </c>
      <c r="AN45" s="6"/>
      <c r="AO45" s="3" t="s">
        <v>1034</v>
      </c>
      <c r="AP45" s="3" t="s">
        <v>937</v>
      </c>
      <c r="AQ45" s="4"/>
      <c r="AR45" s="4"/>
      <c r="AS45" s="2"/>
    </row>
    <row r="46" ht="16.5" hidden="1" spans="1:45">
      <c r="A46" s="3" t="s">
        <v>842</v>
      </c>
      <c r="B46" s="3" t="s">
        <v>1030</v>
      </c>
      <c r="C46" s="3" t="s">
        <v>935</v>
      </c>
      <c r="D46" s="3" t="s">
        <v>1031</v>
      </c>
      <c r="E46" s="3" t="s">
        <v>1032</v>
      </c>
      <c r="F46" s="4">
        <v>274</v>
      </c>
      <c r="G46" s="4">
        <v>0</v>
      </c>
      <c r="H46" s="4">
        <v>70</v>
      </c>
      <c r="I46" s="4">
        <v>0</v>
      </c>
      <c r="J46" s="4">
        <v>17</v>
      </c>
      <c r="K46" s="4">
        <v>361</v>
      </c>
      <c r="L46" s="4">
        <v>0</v>
      </c>
      <c r="M46" s="5">
        <v>361</v>
      </c>
      <c r="N46" s="4">
        <v>7475.575222</v>
      </c>
      <c r="O46" s="4">
        <v>7475.575222</v>
      </c>
      <c r="P46" s="4">
        <v>5</v>
      </c>
      <c r="Q46" s="4">
        <v>9</v>
      </c>
      <c r="R46" s="4">
        <v>15</v>
      </c>
      <c r="S46" s="4">
        <v>29</v>
      </c>
      <c r="T46" s="4">
        <v>79</v>
      </c>
      <c r="U46" s="4">
        <v>0</v>
      </c>
      <c r="V46" s="4">
        <v>0</v>
      </c>
      <c r="W46" s="4">
        <v>300</v>
      </c>
      <c r="X46" s="4">
        <v>20.707964604</v>
      </c>
      <c r="Y46" s="4">
        <v>310.619469</v>
      </c>
      <c r="Z46" s="4">
        <v>24.066666671173</v>
      </c>
      <c r="AA46" s="4">
        <v>24.066666671173</v>
      </c>
      <c r="AB46" s="4">
        <v>22.933333338484</v>
      </c>
      <c r="AC46" s="4">
        <v>18.266666668598</v>
      </c>
      <c r="AD46" s="4">
        <v>4.666666666666</v>
      </c>
      <c r="AE46" s="4">
        <v>0</v>
      </c>
      <c r="AF46" s="4">
        <v>4.5</v>
      </c>
      <c r="AG46" s="4">
        <v>271</v>
      </c>
      <c r="AH46" s="4">
        <v>6</v>
      </c>
      <c r="AI46" s="4">
        <v>5611.858408</v>
      </c>
      <c r="AJ46" s="3" t="s">
        <v>1033</v>
      </c>
      <c r="AK46" s="4">
        <v>15</v>
      </c>
      <c r="AL46" s="4">
        <v>0</v>
      </c>
      <c r="AM46" s="6">
        <v>46102</v>
      </c>
      <c r="AN46" s="6">
        <v>46236</v>
      </c>
      <c r="AO46" s="3" t="s">
        <v>1034</v>
      </c>
      <c r="AP46" s="3" t="s">
        <v>937</v>
      </c>
      <c r="AQ46" s="4"/>
      <c r="AR46" s="4"/>
      <c r="AS46" s="2"/>
    </row>
    <row r="47" ht="16.5" hidden="1" spans="1:45">
      <c r="A47" s="3" t="s">
        <v>959</v>
      </c>
      <c r="B47" s="3" t="s">
        <v>1030</v>
      </c>
      <c r="C47" s="3" t="s">
        <v>935</v>
      </c>
      <c r="D47" s="3" t="s">
        <v>1038</v>
      </c>
      <c r="E47" s="3" t="s">
        <v>1032</v>
      </c>
      <c r="F47" s="4">
        <v>0</v>
      </c>
      <c r="G47" s="4">
        <v>77</v>
      </c>
      <c r="H47" s="4">
        <v>0</v>
      </c>
      <c r="I47" s="4">
        <v>0</v>
      </c>
      <c r="J47" s="4">
        <v>282</v>
      </c>
      <c r="K47" s="4">
        <v>359</v>
      </c>
      <c r="L47" s="4">
        <v>0</v>
      </c>
      <c r="M47" s="5">
        <v>359</v>
      </c>
      <c r="N47" s="4">
        <v>10513.184756</v>
      </c>
      <c r="O47" s="4">
        <v>10513.184756</v>
      </c>
      <c r="P47" s="4">
        <v>0</v>
      </c>
      <c r="Q47" s="4">
        <v>0</v>
      </c>
      <c r="R47" s="4">
        <v>0</v>
      </c>
      <c r="S47" s="4">
        <v>0</v>
      </c>
      <c r="T47" s="4">
        <v>0</v>
      </c>
      <c r="U47" s="4">
        <v>0</v>
      </c>
      <c r="V47" s="4">
        <v>0</v>
      </c>
      <c r="W47" s="4">
        <v>359</v>
      </c>
      <c r="X47" s="4">
        <v>29.2846372027</v>
      </c>
      <c r="Y47" s="4">
        <v>0</v>
      </c>
      <c r="Z47" s="4"/>
      <c r="AA47" s="4"/>
      <c r="AB47" s="4"/>
      <c r="AC47" s="4"/>
      <c r="AD47" s="4"/>
      <c r="AE47" s="4"/>
      <c r="AF47" s="4">
        <v>4.5</v>
      </c>
      <c r="AG47" s="4">
        <v>359</v>
      </c>
      <c r="AH47" s="4">
        <v>6</v>
      </c>
      <c r="AI47" s="4">
        <v>10513.184756</v>
      </c>
      <c r="AJ47" s="3" t="s">
        <v>1036</v>
      </c>
      <c r="AK47" s="4">
        <v>0</v>
      </c>
      <c r="AL47" s="4">
        <v>0</v>
      </c>
      <c r="AM47" s="6">
        <v>45907</v>
      </c>
      <c r="AN47" s="6"/>
      <c r="AO47" s="3" t="s">
        <v>1034</v>
      </c>
      <c r="AP47" s="3" t="s">
        <v>937</v>
      </c>
      <c r="AQ47" s="4"/>
      <c r="AR47" s="4"/>
      <c r="AS47" s="2"/>
    </row>
    <row r="48" ht="16.5" spans="1:45">
      <c r="A48" s="3" t="s">
        <v>852</v>
      </c>
      <c r="B48" s="3" t="s">
        <v>1030</v>
      </c>
      <c r="C48" s="3" t="s">
        <v>935</v>
      </c>
      <c r="D48" s="3" t="s">
        <v>1031</v>
      </c>
      <c r="E48" s="3" t="s">
        <v>1032</v>
      </c>
      <c r="F48" s="4">
        <v>333</v>
      </c>
      <c r="G48" s="4">
        <v>0</v>
      </c>
      <c r="H48" s="4">
        <v>0</v>
      </c>
      <c r="I48" s="4">
        <v>4</v>
      </c>
      <c r="J48" s="4">
        <v>17</v>
      </c>
      <c r="K48" s="4">
        <v>354</v>
      </c>
      <c r="L48" s="4">
        <v>0</v>
      </c>
      <c r="M48" s="5">
        <v>354</v>
      </c>
      <c r="N48" s="4">
        <v>6701.877876</v>
      </c>
      <c r="O48" s="4">
        <v>6701.877876</v>
      </c>
      <c r="P48" s="4">
        <v>7</v>
      </c>
      <c r="Q48" s="4">
        <v>12</v>
      </c>
      <c r="R48" s="4">
        <v>16</v>
      </c>
      <c r="S48" s="4">
        <v>3</v>
      </c>
      <c r="T48" s="4">
        <v>15</v>
      </c>
      <c r="U48" s="4">
        <v>0</v>
      </c>
      <c r="V48" s="4">
        <v>0</v>
      </c>
      <c r="W48" s="4">
        <v>0</v>
      </c>
      <c r="X48" s="4">
        <v>18.931858407</v>
      </c>
      <c r="Y48" s="4">
        <v>302.909735</v>
      </c>
      <c r="Z48" s="4">
        <v>22.124999964098</v>
      </c>
      <c r="AA48" s="4">
        <v>22.124999964098</v>
      </c>
      <c r="AB48" s="4">
        <v>21.062499965542</v>
      </c>
      <c r="AC48" s="4">
        <v>20.812499968018</v>
      </c>
      <c r="AD48" s="4">
        <v>0</v>
      </c>
      <c r="AE48" s="4">
        <v>0.250000000825</v>
      </c>
      <c r="AF48" s="4">
        <v>4.5</v>
      </c>
      <c r="AG48" s="4">
        <v>258</v>
      </c>
      <c r="AH48" s="4">
        <v>6</v>
      </c>
      <c r="AI48" s="4">
        <v>4884.419469</v>
      </c>
      <c r="AJ48" s="3" t="s">
        <v>1033</v>
      </c>
      <c r="AK48" s="4">
        <v>16</v>
      </c>
      <c r="AL48" s="4">
        <v>0</v>
      </c>
      <c r="AM48" s="6">
        <v>46139</v>
      </c>
      <c r="AN48" s="6"/>
      <c r="AO48" s="3" t="s">
        <v>1034</v>
      </c>
      <c r="AP48" s="3" t="s">
        <v>937</v>
      </c>
      <c r="AQ48" s="4"/>
      <c r="AR48" s="4"/>
      <c r="AS48" s="2"/>
    </row>
    <row r="49" ht="16.5" hidden="1" spans="1:45">
      <c r="A49" s="3" t="s">
        <v>110</v>
      </c>
      <c r="B49" s="3" t="s">
        <v>1030</v>
      </c>
      <c r="C49" s="3" t="s">
        <v>935</v>
      </c>
      <c r="D49" s="3" t="s">
        <v>1031</v>
      </c>
      <c r="E49" s="3" t="s">
        <v>1032</v>
      </c>
      <c r="F49" s="4">
        <v>33</v>
      </c>
      <c r="G49" s="4">
        <v>240</v>
      </c>
      <c r="H49" s="4">
        <v>0</v>
      </c>
      <c r="I49" s="4">
        <v>40</v>
      </c>
      <c r="J49" s="4">
        <v>40</v>
      </c>
      <c r="K49" s="4">
        <v>353</v>
      </c>
      <c r="L49" s="4">
        <v>561</v>
      </c>
      <c r="M49" s="5">
        <v>914</v>
      </c>
      <c r="N49" s="4">
        <v>5299.685841</v>
      </c>
      <c r="O49" s="4">
        <v>13722.132744</v>
      </c>
      <c r="P49" s="4">
        <v>6</v>
      </c>
      <c r="Q49" s="4">
        <v>27</v>
      </c>
      <c r="R49" s="4">
        <v>66</v>
      </c>
      <c r="S49" s="4">
        <v>142</v>
      </c>
      <c r="T49" s="4">
        <v>167</v>
      </c>
      <c r="U49" s="4">
        <v>0</v>
      </c>
      <c r="V49" s="4">
        <v>139</v>
      </c>
      <c r="W49" s="4">
        <v>365</v>
      </c>
      <c r="X49" s="4">
        <v>15.013274337</v>
      </c>
      <c r="Y49" s="4">
        <v>990.876106</v>
      </c>
      <c r="Z49" s="4">
        <v>13.848484851848</v>
      </c>
      <c r="AA49" s="4">
        <v>5.34848484983</v>
      </c>
      <c r="AB49" s="4">
        <v>4.742424244106</v>
      </c>
      <c r="AC49" s="4">
        <v>0.5</v>
      </c>
      <c r="AD49" s="4">
        <v>0</v>
      </c>
      <c r="AE49" s="4">
        <v>0.606060605724</v>
      </c>
      <c r="AF49" s="4">
        <v>4.5</v>
      </c>
      <c r="AG49" s="4">
        <v>0</v>
      </c>
      <c r="AH49" s="4">
        <v>6</v>
      </c>
      <c r="AI49" s="4">
        <v>0</v>
      </c>
      <c r="AJ49" s="3" t="s">
        <v>1033</v>
      </c>
      <c r="AK49" s="4">
        <v>66</v>
      </c>
      <c r="AL49" s="4">
        <v>0</v>
      </c>
      <c r="AM49" s="6">
        <v>46103</v>
      </c>
      <c r="AN49" s="6"/>
      <c r="AO49" s="3" t="s">
        <v>1034</v>
      </c>
      <c r="AP49" s="3" t="s">
        <v>937</v>
      </c>
      <c r="AQ49" s="4"/>
      <c r="AR49" s="4"/>
      <c r="AS49" s="2"/>
    </row>
    <row r="50" ht="16.5" hidden="1" spans="1:45">
      <c r="A50" s="3" t="s">
        <v>725</v>
      </c>
      <c r="B50" s="3" t="s">
        <v>1030</v>
      </c>
      <c r="C50" s="3" t="s">
        <v>935</v>
      </c>
      <c r="D50" s="3" t="s">
        <v>1031</v>
      </c>
      <c r="E50" s="3" t="s">
        <v>1032</v>
      </c>
      <c r="F50" s="4">
        <v>149</v>
      </c>
      <c r="G50" s="4">
        <v>6</v>
      </c>
      <c r="H50" s="4">
        <v>0</v>
      </c>
      <c r="I50" s="4">
        <v>0</v>
      </c>
      <c r="J50" s="4">
        <v>188</v>
      </c>
      <c r="K50" s="4">
        <v>343</v>
      </c>
      <c r="L50" s="4">
        <v>36</v>
      </c>
      <c r="M50" s="5">
        <v>379</v>
      </c>
      <c r="N50" s="4">
        <v>11385.461405</v>
      </c>
      <c r="O50" s="4">
        <v>12580.436946</v>
      </c>
      <c r="P50" s="4">
        <v>6</v>
      </c>
      <c r="Q50" s="4">
        <v>20</v>
      </c>
      <c r="R50" s="4">
        <v>34</v>
      </c>
      <c r="S50" s="4">
        <v>21</v>
      </c>
      <c r="T50" s="4">
        <v>7</v>
      </c>
      <c r="U50" s="4">
        <v>0</v>
      </c>
      <c r="V50" s="4">
        <v>0</v>
      </c>
      <c r="W50" s="4">
        <v>10</v>
      </c>
      <c r="X50" s="4">
        <v>33.1937650295</v>
      </c>
      <c r="Y50" s="4">
        <v>1128.588011</v>
      </c>
      <c r="Z50" s="4">
        <v>11.147058823399</v>
      </c>
      <c r="AA50" s="4">
        <v>10.088235294039</v>
      </c>
      <c r="AB50" s="4">
        <v>4.558823528916</v>
      </c>
      <c r="AC50" s="4">
        <v>4.382352940837</v>
      </c>
      <c r="AD50" s="4">
        <v>0</v>
      </c>
      <c r="AE50" s="4">
        <v>0</v>
      </c>
      <c r="AF50" s="4">
        <v>4.5</v>
      </c>
      <c r="AG50" s="4">
        <v>139</v>
      </c>
      <c r="AH50" s="4">
        <v>6</v>
      </c>
      <c r="AI50" s="4">
        <v>4613.933339</v>
      </c>
      <c r="AJ50" s="3" t="s">
        <v>1036</v>
      </c>
      <c r="AK50" s="4">
        <v>34</v>
      </c>
      <c r="AL50" s="4">
        <v>0</v>
      </c>
      <c r="AM50" s="6">
        <v>46162</v>
      </c>
      <c r="AN50" s="6"/>
      <c r="AO50" s="3" t="s">
        <v>1034</v>
      </c>
      <c r="AP50" s="3" t="s">
        <v>937</v>
      </c>
      <c r="AQ50" s="4"/>
      <c r="AR50" s="4"/>
      <c r="AS50" s="2"/>
    </row>
    <row r="51" ht="16.5" hidden="1" spans="1:45">
      <c r="A51" s="3" t="s">
        <v>540</v>
      </c>
      <c r="B51" s="3" t="s">
        <v>1030</v>
      </c>
      <c r="C51" s="3" t="s">
        <v>935</v>
      </c>
      <c r="D51" s="3" t="s">
        <v>1031</v>
      </c>
      <c r="E51" s="3" t="s">
        <v>1032</v>
      </c>
      <c r="F51" s="4">
        <v>200</v>
      </c>
      <c r="G51" s="4">
        <v>40</v>
      </c>
      <c r="H51" s="4">
        <v>0</v>
      </c>
      <c r="I51" s="4">
        <v>0</v>
      </c>
      <c r="J51" s="4">
        <v>99</v>
      </c>
      <c r="K51" s="4">
        <v>339</v>
      </c>
      <c r="L51" s="4">
        <v>120</v>
      </c>
      <c r="M51" s="5">
        <v>459</v>
      </c>
      <c r="N51" s="4">
        <v>8005.499999</v>
      </c>
      <c r="O51" s="4">
        <v>10839.305308</v>
      </c>
      <c r="P51" s="4">
        <v>2</v>
      </c>
      <c r="Q51" s="4">
        <v>12</v>
      </c>
      <c r="R51" s="4">
        <v>26</v>
      </c>
      <c r="S51" s="4">
        <v>15</v>
      </c>
      <c r="T51" s="4">
        <v>0</v>
      </c>
      <c r="U51" s="4">
        <v>0</v>
      </c>
      <c r="V51" s="4">
        <v>0</v>
      </c>
      <c r="W51" s="4">
        <v>7</v>
      </c>
      <c r="X51" s="4">
        <v>23.615044245</v>
      </c>
      <c r="Y51" s="4">
        <v>613.99115</v>
      </c>
      <c r="Z51" s="4">
        <v>17.653846163743</v>
      </c>
      <c r="AA51" s="4">
        <v>13.038461546229</v>
      </c>
      <c r="AB51" s="4">
        <v>9.230769236657</v>
      </c>
      <c r="AC51" s="4">
        <v>7.692307696943</v>
      </c>
      <c r="AD51" s="4">
        <v>0</v>
      </c>
      <c r="AE51" s="4">
        <v>0</v>
      </c>
      <c r="AF51" s="4">
        <v>4.5</v>
      </c>
      <c r="AG51" s="4">
        <v>183</v>
      </c>
      <c r="AH51" s="4">
        <v>6</v>
      </c>
      <c r="AI51" s="4">
        <v>4321.553097</v>
      </c>
      <c r="AJ51" s="3" t="s">
        <v>1036</v>
      </c>
      <c r="AK51" s="4">
        <v>26</v>
      </c>
      <c r="AL51" s="4">
        <v>0</v>
      </c>
      <c r="AM51" s="6">
        <v>46173</v>
      </c>
      <c r="AN51" s="6"/>
      <c r="AO51" s="3" t="s">
        <v>1034</v>
      </c>
      <c r="AP51" s="3" t="s">
        <v>937</v>
      </c>
      <c r="AQ51" s="4"/>
      <c r="AR51" s="4"/>
      <c r="AS51" s="2"/>
    </row>
    <row r="52" ht="16.5" hidden="1" spans="1:45">
      <c r="A52" s="3" t="s">
        <v>645</v>
      </c>
      <c r="B52" s="3" t="s">
        <v>1030</v>
      </c>
      <c r="C52" s="3" t="s">
        <v>935</v>
      </c>
      <c r="D52" s="3" t="s">
        <v>1031</v>
      </c>
      <c r="E52" s="3" t="s">
        <v>1032</v>
      </c>
      <c r="F52" s="4">
        <v>132</v>
      </c>
      <c r="G52" s="4">
        <v>0</v>
      </c>
      <c r="H52" s="4">
        <v>0</v>
      </c>
      <c r="I52" s="4">
        <v>98</v>
      </c>
      <c r="J52" s="4">
        <v>107</v>
      </c>
      <c r="K52" s="4">
        <v>337</v>
      </c>
      <c r="L52" s="4">
        <v>0</v>
      </c>
      <c r="M52" s="5">
        <v>337</v>
      </c>
      <c r="N52" s="4">
        <v>6872.195637</v>
      </c>
      <c r="O52" s="4">
        <v>6872.195637</v>
      </c>
      <c r="P52" s="4">
        <v>1</v>
      </c>
      <c r="Q52" s="4">
        <v>2</v>
      </c>
      <c r="R52" s="4">
        <v>9</v>
      </c>
      <c r="S52" s="4">
        <v>22</v>
      </c>
      <c r="T52" s="4">
        <v>29</v>
      </c>
      <c r="U52" s="4">
        <v>0</v>
      </c>
      <c r="V52" s="4">
        <v>0</v>
      </c>
      <c r="W52" s="4">
        <v>17</v>
      </c>
      <c r="X52" s="4">
        <v>20.3922719207</v>
      </c>
      <c r="Y52" s="4">
        <v>183.530447</v>
      </c>
      <c r="Z52" s="4">
        <v>37.444444501352</v>
      </c>
      <c r="AA52" s="4">
        <v>37.444444501352</v>
      </c>
      <c r="AB52" s="4">
        <v>25.555555591274</v>
      </c>
      <c r="AC52" s="4">
        <v>14.666666692093</v>
      </c>
      <c r="AD52" s="4">
        <v>0</v>
      </c>
      <c r="AE52" s="4">
        <v>10.888888904629</v>
      </c>
      <c r="AF52" s="4">
        <v>4.5</v>
      </c>
      <c r="AG52" s="4">
        <v>283</v>
      </c>
      <c r="AH52" s="4">
        <v>6</v>
      </c>
      <c r="AI52" s="4">
        <v>5771.012954</v>
      </c>
      <c r="AJ52" s="3" t="s">
        <v>1036</v>
      </c>
      <c r="AK52" s="4">
        <v>9</v>
      </c>
      <c r="AL52" s="4">
        <v>0</v>
      </c>
      <c r="AM52" s="6">
        <v>46094</v>
      </c>
      <c r="AN52" s="6"/>
      <c r="AO52" s="3" t="s">
        <v>1034</v>
      </c>
      <c r="AP52" s="3" t="s">
        <v>937</v>
      </c>
      <c r="AQ52" s="4"/>
      <c r="AR52" s="4"/>
      <c r="AS52" s="2"/>
    </row>
    <row r="53" ht="16.5" hidden="1" spans="1:45">
      <c r="A53" s="3" t="s">
        <v>975</v>
      </c>
      <c r="B53" s="3" t="s">
        <v>1030</v>
      </c>
      <c r="C53" s="3" t="s">
        <v>935</v>
      </c>
      <c r="D53" s="3" t="s">
        <v>1035</v>
      </c>
      <c r="E53" s="3" t="s">
        <v>1032</v>
      </c>
      <c r="F53" s="4">
        <v>67</v>
      </c>
      <c r="G53" s="4">
        <v>0</v>
      </c>
      <c r="H53" s="4">
        <v>0</v>
      </c>
      <c r="I53" s="4">
        <v>2</v>
      </c>
      <c r="J53" s="4">
        <v>268</v>
      </c>
      <c r="K53" s="4">
        <v>337</v>
      </c>
      <c r="L53" s="4">
        <v>272</v>
      </c>
      <c r="M53" s="5">
        <v>609</v>
      </c>
      <c r="N53" s="4">
        <v>9182.647034</v>
      </c>
      <c r="O53" s="4">
        <v>16594.160368</v>
      </c>
      <c r="P53" s="4">
        <v>18</v>
      </c>
      <c r="Q53" s="4">
        <v>27</v>
      </c>
      <c r="R53" s="4">
        <v>66</v>
      </c>
      <c r="S53" s="4">
        <v>99</v>
      </c>
      <c r="T53" s="4">
        <v>17</v>
      </c>
      <c r="U53" s="4">
        <v>0</v>
      </c>
      <c r="V53" s="4">
        <v>308</v>
      </c>
      <c r="W53" s="4">
        <v>308</v>
      </c>
      <c r="X53" s="4">
        <v>27.2482107848</v>
      </c>
      <c r="Y53" s="4">
        <v>1798.381912</v>
      </c>
      <c r="Z53" s="4">
        <v>9.227272726261</v>
      </c>
      <c r="AA53" s="4">
        <v>5.106060605218</v>
      </c>
      <c r="AB53" s="4">
        <v>1.045454545252</v>
      </c>
      <c r="AC53" s="4">
        <v>1.015151515269</v>
      </c>
      <c r="AD53" s="4">
        <v>0</v>
      </c>
      <c r="AE53" s="4">
        <v>0.030303030538</v>
      </c>
      <c r="AF53" s="4">
        <v>4.5</v>
      </c>
      <c r="AG53" s="4">
        <v>0</v>
      </c>
      <c r="AH53" s="4">
        <v>6</v>
      </c>
      <c r="AI53" s="4">
        <v>0</v>
      </c>
      <c r="AJ53" s="3" t="s">
        <v>1036</v>
      </c>
      <c r="AK53" s="4">
        <v>66</v>
      </c>
      <c r="AL53" s="4">
        <v>0</v>
      </c>
      <c r="AM53" s="6">
        <v>45898</v>
      </c>
      <c r="AN53" s="6"/>
      <c r="AO53" s="3" t="s">
        <v>1034</v>
      </c>
      <c r="AP53" s="3" t="s">
        <v>937</v>
      </c>
      <c r="AQ53" s="4"/>
      <c r="AR53" s="4"/>
      <c r="AS53" s="2"/>
    </row>
    <row r="54" ht="16.5" hidden="1" spans="1:45">
      <c r="A54" s="3" t="s">
        <v>131</v>
      </c>
      <c r="B54" s="3" t="s">
        <v>1030</v>
      </c>
      <c r="C54" s="3" t="s">
        <v>935</v>
      </c>
      <c r="D54" s="3" t="s">
        <v>1031</v>
      </c>
      <c r="E54" s="3" t="s">
        <v>1032</v>
      </c>
      <c r="F54" s="4">
        <v>23</v>
      </c>
      <c r="G54" s="4">
        <v>301</v>
      </c>
      <c r="H54" s="4">
        <v>0</v>
      </c>
      <c r="I54" s="4">
        <v>2</v>
      </c>
      <c r="J54" s="4">
        <v>8</v>
      </c>
      <c r="K54" s="4">
        <v>334</v>
      </c>
      <c r="L54" s="4">
        <v>527</v>
      </c>
      <c r="M54" s="5">
        <v>861</v>
      </c>
      <c r="N54" s="4">
        <v>6698.325664</v>
      </c>
      <c r="O54" s="4">
        <v>17267.240707</v>
      </c>
      <c r="P54" s="4">
        <v>0</v>
      </c>
      <c r="Q54" s="4">
        <v>0</v>
      </c>
      <c r="R54" s="4">
        <v>0</v>
      </c>
      <c r="S54" s="4">
        <v>116</v>
      </c>
      <c r="T54" s="4">
        <v>108</v>
      </c>
      <c r="U54" s="4">
        <v>0</v>
      </c>
      <c r="V54" s="4">
        <v>333</v>
      </c>
      <c r="W54" s="4">
        <v>333</v>
      </c>
      <c r="X54" s="4">
        <v>20.054867256</v>
      </c>
      <c r="Y54" s="4">
        <v>0</v>
      </c>
      <c r="Z54" s="4"/>
      <c r="AA54" s="4"/>
      <c r="AB54" s="4"/>
      <c r="AC54" s="4"/>
      <c r="AD54" s="4"/>
      <c r="AE54" s="4"/>
      <c r="AF54" s="4">
        <v>4.5</v>
      </c>
      <c r="AG54" s="4">
        <v>334</v>
      </c>
      <c r="AH54" s="4">
        <v>6</v>
      </c>
      <c r="AI54" s="4">
        <v>6698.325664</v>
      </c>
      <c r="AJ54" s="3" t="s">
        <v>1033</v>
      </c>
      <c r="AK54" s="4">
        <v>0</v>
      </c>
      <c r="AL54" s="4">
        <v>0</v>
      </c>
      <c r="AM54" s="6">
        <v>46103</v>
      </c>
      <c r="AN54" s="6"/>
      <c r="AO54" s="3" t="s">
        <v>1034</v>
      </c>
      <c r="AP54" s="3" t="s">
        <v>937</v>
      </c>
      <c r="AQ54" s="4"/>
      <c r="AR54" s="4"/>
      <c r="AS54" s="2"/>
    </row>
    <row r="55" ht="16.5" hidden="1" spans="1:45">
      <c r="A55" s="3" t="s">
        <v>179</v>
      </c>
      <c r="B55" s="3" t="s">
        <v>1030</v>
      </c>
      <c r="C55" s="3" t="s">
        <v>935</v>
      </c>
      <c r="D55" s="3" t="s">
        <v>1031</v>
      </c>
      <c r="E55" s="3" t="s">
        <v>1032</v>
      </c>
      <c r="F55" s="4">
        <v>1</v>
      </c>
      <c r="G55" s="4">
        <v>290</v>
      </c>
      <c r="H55" s="4">
        <v>0</v>
      </c>
      <c r="I55" s="4">
        <v>12</v>
      </c>
      <c r="J55" s="4">
        <v>30</v>
      </c>
      <c r="K55" s="4">
        <v>333</v>
      </c>
      <c r="L55" s="4">
        <v>537</v>
      </c>
      <c r="M55" s="5">
        <v>870</v>
      </c>
      <c r="N55" s="4">
        <v>6174.350442</v>
      </c>
      <c r="O55" s="4">
        <v>16131.18584</v>
      </c>
      <c r="P55" s="4">
        <v>2</v>
      </c>
      <c r="Q55" s="4">
        <v>2</v>
      </c>
      <c r="R55" s="4">
        <v>5</v>
      </c>
      <c r="S55" s="4">
        <v>2</v>
      </c>
      <c r="T55" s="4">
        <v>101</v>
      </c>
      <c r="U55" s="4">
        <v>0</v>
      </c>
      <c r="V55" s="4">
        <v>0</v>
      </c>
      <c r="W55" s="4">
        <v>583</v>
      </c>
      <c r="X55" s="4">
        <v>18.541592919</v>
      </c>
      <c r="Y55" s="4">
        <v>92.707965</v>
      </c>
      <c r="Z55" s="4">
        <v>173.99999924494</v>
      </c>
      <c r="AA55" s="4">
        <v>66.599999708762</v>
      </c>
      <c r="AB55" s="4">
        <v>60.599999730336</v>
      </c>
      <c r="AC55" s="4">
        <v>0.2</v>
      </c>
      <c r="AD55" s="4">
        <v>0</v>
      </c>
      <c r="AE55" s="4">
        <v>2.399999989213</v>
      </c>
      <c r="AF55" s="4">
        <v>4.5</v>
      </c>
      <c r="AG55" s="4">
        <v>303</v>
      </c>
      <c r="AH55" s="4">
        <v>6</v>
      </c>
      <c r="AI55" s="4">
        <v>5618.102654</v>
      </c>
      <c r="AJ55" s="3" t="s">
        <v>1033</v>
      </c>
      <c r="AK55" s="4">
        <v>5</v>
      </c>
      <c r="AL55" s="4">
        <v>0</v>
      </c>
      <c r="AM55" s="6">
        <v>46101</v>
      </c>
      <c r="AN55" s="6"/>
      <c r="AO55" s="3" t="s">
        <v>1034</v>
      </c>
      <c r="AP55" s="3" t="s">
        <v>937</v>
      </c>
      <c r="AQ55" s="4"/>
      <c r="AR55" s="4"/>
      <c r="AS55" s="2"/>
    </row>
    <row r="56" ht="16.5" hidden="1" spans="1:45">
      <c r="A56" s="3" t="s">
        <v>530</v>
      </c>
      <c r="B56" s="3" t="s">
        <v>1030</v>
      </c>
      <c r="C56" s="3" t="s">
        <v>935</v>
      </c>
      <c r="D56" s="3" t="s">
        <v>1031</v>
      </c>
      <c r="E56" s="3" t="s">
        <v>1032</v>
      </c>
      <c r="F56" s="4">
        <v>117</v>
      </c>
      <c r="G56" s="4">
        <v>101</v>
      </c>
      <c r="H56" s="4">
        <v>0</v>
      </c>
      <c r="I56" s="4">
        <v>48</v>
      </c>
      <c r="J56" s="4">
        <v>67</v>
      </c>
      <c r="K56" s="4">
        <v>333</v>
      </c>
      <c r="L56" s="4">
        <v>100</v>
      </c>
      <c r="M56" s="5">
        <v>433</v>
      </c>
      <c r="N56" s="4">
        <v>8292.058157</v>
      </c>
      <c r="O56" s="4">
        <v>10782.165712</v>
      </c>
      <c r="P56" s="4">
        <v>18</v>
      </c>
      <c r="Q56" s="4">
        <v>33</v>
      </c>
      <c r="R56" s="4">
        <v>73</v>
      </c>
      <c r="S56" s="4">
        <v>34</v>
      </c>
      <c r="T56" s="4">
        <v>4</v>
      </c>
      <c r="U56" s="4">
        <v>0</v>
      </c>
      <c r="V56" s="4">
        <v>0</v>
      </c>
      <c r="W56" s="4">
        <v>61</v>
      </c>
      <c r="X56" s="4">
        <v>24.9010755462</v>
      </c>
      <c r="Y56" s="4">
        <v>1817.778515</v>
      </c>
      <c r="Z56" s="4">
        <v>5.931506849171</v>
      </c>
      <c r="AA56" s="4">
        <v>4.56164383536</v>
      </c>
      <c r="AB56" s="4">
        <v>3.643835616023</v>
      </c>
      <c r="AC56" s="4">
        <v>1.602739725967</v>
      </c>
      <c r="AD56" s="4">
        <v>0</v>
      </c>
      <c r="AE56" s="4">
        <v>0.657534246409</v>
      </c>
      <c r="AF56" s="4">
        <v>4.5</v>
      </c>
      <c r="AG56" s="4">
        <v>0</v>
      </c>
      <c r="AH56" s="4">
        <v>6</v>
      </c>
      <c r="AI56" s="4">
        <v>0</v>
      </c>
      <c r="AJ56" s="3" t="s">
        <v>1036</v>
      </c>
      <c r="AK56" s="4">
        <v>73</v>
      </c>
      <c r="AL56" s="4">
        <v>0</v>
      </c>
      <c r="AM56" s="6">
        <v>46159</v>
      </c>
      <c r="AN56" s="6"/>
      <c r="AO56" s="3" t="s">
        <v>1034</v>
      </c>
      <c r="AP56" s="3" t="s">
        <v>937</v>
      </c>
      <c r="AQ56" s="4"/>
      <c r="AR56" s="4"/>
      <c r="AS56" s="2"/>
    </row>
    <row r="57" ht="16.5" hidden="1" spans="1:45">
      <c r="A57" s="3" t="s">
        <v>525</v>
      </c>
      <c r="B57" s="3" t="s">
        <v>1030</v>
      </c>
      <c r="C57" s="3" t="s">
        <v>935</v>
      </c>
      <c r="D57" s="3" t="s">
        <v>1031</v>
      </c>
      <c r="E57" s="3" t="s">
        <v>1032</v>
      </c>
      <c r="F57" s="4">
        <v>169</v>
      </c>
      <c r="G57" s="4">
        <v>30</v>
      </c>
      <c r="H57" s="4">
        <v>0</v>
      </c>
      <c r="I57" s="4">
        <v>110</v>
      </c>
      <c r="J57" s="4">
        <v>21</v>
      </c>
      <c r="K57" s="4">
        <v>330</v>
      </c>
      <c r="L57" s="4">
        <v>68</v>
      </c>
      <c r="M57" s="5">
        <v>398</v>
      </c>
      <c r="N57" s="4">
        <v>9512.903627</v>
      </c>
      <c r="O57" s="4">
        <v>11473.138314</v>
      </c>
      <c r="P57" s="4">
        <v>2</v>
      </c>
      <c r="Q57" s="4">
        <v>4</v>
      </c>
      <c r="R57" s="4">
        <v>18</v>
      </c>
      <c r="S57" s="4">
        <v>41</v>
      </c>
      <c r="T57" s="4">
        <v>46</v>
      </c>
      <c r="U57" s="4">
        <v>0</v>
      </c>
      <c r="V57" s="4">
        <v>0</v>
      </c>
      <c r="W57" s="4">
        <v>0</v>
      </c>
      <c r="X57" s="4">
        <v>28.8269806885</v>
      </c>
      <c r="Y57" s="4">
        <v>518.885652</v>
      </c>
      <c r="Z57" s="4">
        <v>22.111111127813</v>
      </c>
      <c r="AA57" s="4">
        <v>18.333333346823</v>
      </c>
      <c r="AB57" s="4">
        <v>17.166666680157</v>
      </c>
      <c r="AC57" s="4">
        <v>9.388888895312</v>
      </c>
      <c r="AD57" s="4">
        <v>0</v>
      </c>
      <c r="AE57" s="4">
        <v>6.11111111625</v>
      </c>
      <c r="AF57" s="4">
        <v>4.5</v>
      </c>
      <c r="AG57" s="4">
        <v>222</v>
      </c>
      <c r="AH57" s="4">
        <v>6</v>
      </c>
      <c r="AI57" s="4">
        <v>6399.589713</v>
      </c>
      <c r="AJ57" s="3" t="s">
        <v>1036</v>
      </c>
      <c r="AK57" s="4">
        <v>18</v>
      </c>
      <c r="AL57" s="4">
        <v>0</v>
      </c>
      <c r="AM57" s="6">
        <v>46110</v>
      </c>
      <c r="AN57" s="6"/>
      <c r="AO57" s="3" t="s">
        <v>1034</v>
      </c>
      <c r="AP57" s="3" t="s">
        <v>937</v>
      </c>
      <c r="AQ57" s="4"/>
      <c r="AR57" s="4"/>
      <c r="AS57" s="2"/>
    </row>
    <row r="58" ht="16.5" hidden="1" spans="1:45">
      <c r="A58" s="3" t="s">
        <v>808</v>
      </c>
      <c r="B58" s="3" t="s">
        <v>1030</v>
      </c>
      <c r="C58" s="3" t="s">
        <v>935</v>
      </c>
      <c r="D58" s="3" t="s">
        <v>1031</v>
      </c>
      <c r="E58" s="3" t="s">
        <v>1032</v>
      </c>
      <c r="F58" s="4">
        <v>229</v>
      </c>
      <c r="G58" s="4">
        <v>32</v>
      </c>
      <c r="H58" s="4">
        <v>0</v>
      </c>
      <c r="I58" s="4">
        <v>2</v>
      </c>
      <c r="J58" s="4">
        <v>65</v>
      </c>
      <c r="K58" s="4">
        <v>328</v>
      </c>
      <c r="L58" s="4">
        <v>100</v>
      </c>
      <c r="M58" s="5">
        <v>428</v>
      </c>
      <c r="N58" s="4">
        <v>9597.918585</v>
      </c>
      <c r="O58" s="4">
        <v>12524.113276</v>
      </c>
      <c r="P58" s="4">
        <v>1</v>
      </c>
      <c r="Q58" s="4">
        <v>4</v>
      </c>
      <c r="R58" s="4">
        <v>12</v>
      </c>
      <c r="S58" s="4">
        <v>12</v>
      </c>
      <c r="T58" s="4">
        <v>1</v>
      </c>
      <c r="U58" s="4">
        <v>0</v>
      </c>
      <c r="V58" s="4">
        <v>0</v>
      </c>
      <c r="W58" s="4">
        <v>0</v>
      </c>
      <c r="X58" s="4">
        <v>29.261946906</v>
      </c>
      <c r="Y58" s="4">
        <v>351.143363</v>
      </c>
      <c r="Z58" s="4">
        <v>35.666666654326</v>
      </c>
      <c r="AA58" s="4">
        <v>27.333333322891</v>
      </c>
      <c r="AB58" s="4">
        <v>21.916666657885</v>
      </c>
      <c r="AC58" s="4">
        <v>19.083333325027</v>
      </c>
      <c r="AD58" s="4">
        <v>0</v>
      </c>
      <c r="AE58" s="4">
        <v>0.166666667141</v>
      </c>
      <c r="AF58" s="4">
        <v>4.5</v>
      </c>
      <c r="AG58" s="4">
        <v>256</v>
      </c>
      <c r="AH58" s="4">
        <v>6</v>
      </c>
      <c r="AI58" s="4">
        <v>7491.058408</v>
      </c>
      <c r="AJ58" s="3" t="s">
        <v>1033</v>
      </c>
      <c r="AK58" s="4">
        <v>12</v>
      </c>
      <c r="AL58" s="4">
        <v>0</v>
      </c>
      <c r="AM58" s="6">
        <v>46159</v>
      </c>
      <c r="AN58" s="6"/>
      <c r="AO58" s="3" t="s">
        <v>1034</v>
      </c>
      <c r="AP58" s="3" t="s">
        <v>937</v>
      </c>
      <c r="AQ58" s="4"/>
      <c r="AR58" s="4"/>
      <c r="AS58" s="2"/>
    </row>
    <row r="59" ht="16.5" hidden="1" spans="1:45">
      <c r="A59" s="3" t="s">
        <v>215</v>
      </c>
      <c r="B59" s="3" t="s">
        <v>1030</v>
      </c>
      <c r="C59" s="3" t="s">
        <v>935</v>
      </c>
      <c r="D59" s="3" t="s">
        <v>1031</v>
      </c>
      <c r="E59" s="3" t="s">
        <v>1032</v>
      </c>
      <c r="F59" s="4">
        <v>52</v>
      </c>
      <c r="G59" s="4">
        <v>163</v>
      </c>
      <c r="H59" s="4">
        <v>8</v>
      </c>
      <c r="I59" s="4">
        <v>0</v>
      </c>
      <c r="J59" s="4">
        <v>99</v>
      </c>
      <c r="K59" s="4">
        <v>322</v>
      </c>
      <c r="L59" s="4">
        <v>484</v>
      </c>
      <c r="M59" s="5">
        <v>806</v>
      </c>
      <c r="N59" s="4">
        <v>6262.757522</v>
      </c>
      <c r="O59" s="4">
        <v>15676.343364</v>
      </c>
      <c r="P59" s="4">
        <v>23</v>
      </c>
      <c r="Q59" s="4">
        <v>46</v>
      </c>
      <c r="R59" s="4">
        <v>59</v>
      </c>
      <c r="S59" s="4">
        <v>11</v>
      </c>
      <c r="T59" s="4">
        <v>108</v>
      </c>
      <c r="U59" s="4">
        <v>0</v>
      </c>
      <c r="V59" s="4">
        <v>0</v>
      </c>
      <c r="W59" s="4">
        <v>266</v>
      </c>
      <c r="X59" s="4">
        <v>19.449557523</v>
      </c>
      <c r="Y59" s="4">
        <v>1147.523894</v>
      </c>
      <c r="Z59" s="4">
        <v>13.661016947852</v>
      </c>
      <c r="AA59" s="4">
        <v>5.45762711761</v>
      </c>
      <c r="AB59" s="4">
        <v>3.77966101593</v>
      </c>
      <c r="AC59" s="4">
        <v>0.881355931922</v>
      </c>
      <c r="AD59" s="4">
        <v>0.135593220161</v>
      </c>
      <c r="AE59" s="4">
        <v>0</v>
      </c>
      <c r="AF59" s="4">
        <v>4.5</v>
      </c>
      <c r="AG59" s="4">
        <v>0</v>
      </c>
      <c r="AH59" s="4">
        <v>6</v>
      </c>
      <c r="AI59" s="4">
        <v>0</v>
      </c>
      <c r="AJ59" s="3" t="s">
        <v>1033</v>
      </c>
      <c r="AK59" s="4">
        <v>59</v>
      </c>
      <c r="AL59" s="4">
        <v>0</v>
      </c>
      <c r="AM59" s="6">
        <v>46103</v>
      </c>
      <c r="AN59" s="6">
        <v>46237</v>
      </c>
      <c r="AO59" s="3" t="s">
        <v>1034</v>
      </c>
      <c r="AP59" s="3" t="s">
        <v>937</v>
      </c>
      <c r="AQ59" s="4"/>
      <c r="AR59" s="4"/>
      <c r="AS59" s="2"/>
    </row>
    <row r="60" ht="16.5" hidden="1" spans="1:45">
      <c r="A60" s="3" t="s">
        <v>695</v>
      </c>
      <c r="B60" s="3" t="s">
        <v>1030</v>
      </c>
      <c r="C60" s="3" t="s">
        <v>935</v>
      </c>
      <c r="D60" s="3" t="s">
        <v>1031</v>
      </c>
      <c r="E60" s="3" t="s">
        <v>1032</v>
      </c>
      <c r="F60" s="4">
        <v>73</v>
      </c>
      <c r="G60" s="4">
        <v>0</v>
      </c>
      <c r="H60" s="4">
        <v>0</v>
      </c>
      <c r="I60" s="4">
        <v>0</v>
      </c>
      <c r="J60" s="4">
        <v>239</v>
      </c>
      <c r="K60" s="4">
        <v>312</v>
      </c>
      <c r="L60" s="4">
        <v>0</v>
      </c>
      <c r="M60" s="5">
        <v>312</v>
      </c>
      <c r="N60" s="4">
        <v>5713.787051</v>
      </c>
      <c r="O60" s="4">
        <v>5713.787051</v>
      </c>
      <c r="P60" s="4">
        <v>2</v>
      </c>
      <c r="Q60" s="4">
        <v>4</v>
      </c>
      <c r="R60" s="4">
        <v>4</v>
      </c>
      <c r="S60" s="4">
        <v>8</v>
      </c>
      <c r="T60" s="4">
        <v>5</v>
      </c>
      <c r="U60" s="4">
        <v>0</v>
      </c>
      <c r="V60" s="4">
        <v>0</v>
      </c>
      <c r="W60" s="4">
        <v>100</v>
      </c>
      <c r="X60" s="4">
        <v>18.3134200338</v>
      </c>
      <c r="Y60" s="4">
        <v>73.25368</v>
      </c>
      <c r="Z60" s="4">
        <v>78.000000150163</v>
      </c>
      <c r="AA60" s="4">
        <v>78.000000150163</v>
      </c>
      <c r="AB60" s="4">
        <v>18.250000040953</v>
      </c>
      <c r="AC60" s="4">
        <v>18.250000027302</v>
      </c>
      <c r="AD60" s="4">
        <v>0</v>
      </c>
      <c r="AE60" s="4">
        <v>0</v>
      </c>
      <c r="AF60" s="4">
        <v>4.5</v>
      </c>
      <c r="AG60" s="4">
        <v>288</v>
      </c>
      <c r="AH60" s="4">
        <v>6</v>
      </c>
      <c r="AI60" s="4">
        <v>5274.26497</v>
      </c>
      <c r="AJ60" s="3" t="s">
        <v>1036</v>
      </c>
      <c r="AK60" s="4">
        <v>4</v>
      </c>
      <c r="AL60" s="4">
        <v>0</v>
      </c>
      <c r="AM60" s="6">
        <v>46098</v>
      </c>
      <c r="AN60" s="6"/>
      <c r="AO60" s="3" t="s">
        <v>1034</v>
      </c>
      <c r="AP60" s="3" t="s">
        <v>937</v>
      </c>
      <c r="AQ60" s="4"/>
      <c r="AR60" s="4"/>
      <c r="AS60" s="2"/>
    </row>
    <row r="61" ht="16.5" hidden="1" spans="1:45">
      <c r="A61" s="3" t="s">
        <v>615</v>
      </c>
      <c r="B61" s="3" t="s">
        <v>1030</v>
      </c>
      <c r="C61" s="3" t="s">
        <v>935</v>
      </c>
      <c r="D61" s="3" t="s">
        <v>1031</v>
      </c>
      <c r="E61" s="3" t="s">
        <v>1032</v>
      </c>
      <c r="F61" s="4">
        <v>136</v>
      </c>
      <c r="G61" s="4">
        <v>1</v>
      </c>
      <c r="H61" s="4">
        <v>0</v>
      </c>
      <c r="I61" s="4">
        <v>0</v>
      </c>
      <c r="J61" s="4">
        <v>174</v>
      </c>
      <c r="K61" s="4">
        <v>311</v>
      </c>
      <c r="L61" s="4">
        <v>309</v>
      </c>
      <c r="M61" s="5">
        <v>620</v>
      </c>
      <c r="N61" s="4">
        <v>5949.975604</v>
      </c>
      <c r="O61" s="4">
        <v>11861.687699</v>
      </c>
      <c r="P61" s="4">
        <v>1</v>
      </c>
      <c r="Q61" s="4">
        <v>1</v>
      </c>
      <c r="R61" s="4">
        <v>10</v>
      </c>
      <c r="S61" s="4">
        <v>11</v>
      </c>
      <c r="T61" s="4">
        <v>1</v>
      </c>
      <c r="U61" s="4">
        <v>0</v>
      </c>
      <c r="V61" s="4">
        <v>0</v>
      </c>
      <c r="W61" s="4">
        <v>211</v>
      </c>
      <c r="X61" s="4">
        <v>19.1317543539</v>
      </c>
      <c r="Y61" s="4">
        <v>191.317544</v>
      </c>
      <c r="Z61" s="4">
        <v>61.999999848419</v>
      </c>
      <c r="AA61" s="4">
        <v>31.099999924732</v>
      </c>
      <c r="AB61" s="4">
        <v>13.699999964456</v>
      </c>
      <c r="AC61" s="4">
        <v>13.599999966547</v>
      </c>
      <c r="AD61" s="4">
        <v>0</v>
      </c>
      <c r="AE61" s="4">
        <v>0</v>
      </c>
      <c r="AF61" s="4">
        <v>4.5</v>
      </c>
      <c r="AG61" s="4">
        <v>251</v>
      </c>
      <c r="AH61" s="4">
        <v>6</v>
      </c>
      <c r="AI61" s="4">
        <v>4802.070343</v>
      </c>
      <c r="AJ61" s="3" t="s">
        <v>1036</v>
      </c>
      <c r="AK61" s="4">
        <v>10</v>
      </c>
      <c r="AL61" s="4">
        <v>0</v>
      </c>
      <c r="AM61" s="6">
        <v>46159</v>
      </c>
      <c r="AN61" s="6"/>
      <c r="AO61" s="3" t="s">
        <v>1034</v>
      </c>
      <c r="AP61" s="3" t="s">
        <v>937</v>
      </c>
      <c r="AQ61" s="4"/>
      <c r="AR61" s="4"/>
      <c r="AS61" s="2"/>
    </row>
    <row r="62" ht="16.5" spans="1:45">
      <c r="A62" s="3" t="s">
        <v>510</v>
      </c>
      <c r="B62" s="3" t="s">
        <v>1030</v>
      </c>
      <c r="C62" s="3" t="s">
        <v>935</v>
      </c>
      <c r="D62" s="3" t="s">
        <v>1031</v>
      </c>
      <c r="E62" s="3" t="s">
        <v>1032</v>
      </c>
      <c r="F62" s="4">
        <v>160</v>
      </c>
      <c r="G62" s="4">
        <v>0</v>
      </c>
      <c r="H62" s="4">
        <v>0</v>
      </c>
      <c r="I62" s="4">
        <v>0</v>
      </c>
      <c r="J62" s="4">
        <v>151</v>
      </c>
      <c r="K62" s="4">
        <v>311</v>
      </c>
      <c r="L62" s="4">
        <v>0</v>
      </c>
      <c r="M62" s="5">
        <v>311</v>
      </c>
      <c r="N62" s="4">
        <v>6220.7163</v>
      </c>
      <c r="O62" s="4">
        <v>6220.7163</v>
      </c>
      <c r="P62" s="4">
        <v>3</v>
      </c>
      <c r="Q62" s="4">
        <v>7</v>
      </c>
      <c r="R62" s="4">
        <v>17</v>
      </c>
      <c r="S62" s="4">
        <v>36</v>
      </c>
      <c r="T62" s="4">
        <v>18</v>
      </c>
      <c r="U62" s="4">
        <v>0</v>
      </c>
      <c r="V62" s="4">
        <v>0</v>
      </c>
      <c r="W62" s="4">
        <v>18</v>
      </c>
      <c r="X62" s="4">
        <v>20.0023032144</v>
      </c>
      <c r="Y62" s="4">
        <v>340.039155</v>
      </c>
      <c r="Z62" s="4">
        <v>18.294117628894</v>
      </c>
      <c r="AA62" s="4">
        <v>18.294117628894</v>
      </c>
      <c r="AB62" s="4">
        <v>9.411764698097</v>
      </c>
      <c r="AC62" s="4">
        <v>9.411764695156</v>
      </c>
      <c r="AD62" s="4">
        <v>0</v>
      </c>
      <c r="AE62" s="4">
        <v>0</v>
      </c>
      <c r="AF62" s="4">
        <v>4.5</v>
      </c>
      <c r="AG62" s="4">
        <v>209</v>
      </c>
      <c r="AH62" s="4">
        <v>6</v>
      </c>
      <c r="AI62" s="4">
        <v>4180.481372</v>
      </c>
      <c r="AJ62" s="3" t="s">
        <v>1036</v>
      </c>
      <c r="AK62" s="4">
        <v>17</v>
      </c>
      <c r="AL62" s="4">
        <v>0</v>
      </c>
      <c r="AM62" s="6">
        <v>46124</v>
      </c>
      <c r="AN62" s="6"/>
      <c r="AO62" s="3" t="s">
        <v>1034</v>
      </c>
      <c r="AP62" s="3" t="s">
        <v>937</v>
      </c>
      <c r="AQ62" s="4"/>
      <c r="AR62" s="4"/>
      <c r="AS62" s="2"/>
    </row>
    <row r="63" ht="16.5" spans="1:45">
      <c r="A63" s="3" t="s">
        <v>826</v>
      </c>
      <c r="B63" s="3" t="s">
        <v>1030</v>
      </c>
      <c r="C63" s="3" t="s">
        <v>935</v>
      </c>
      <c r="D63" s="3" t="s">
        <v>1031</v>
      </c>
      <c r="E63" s="3" t="s">
        <v>1032</v>
      </c>
      <c r="F63" s="4">
        <v>209</v>
      </c>
      <c r="G63" s="4">
        <v>1</v>
      </c>
      <c r="H63" s="4">
        <v>0</v>
      </c>
      <c r="I63" s="4">
        <v>0</v>
      </c>
      <c r="J63" s="4">
        <v>97</v>
      </c>
      <c r="K63" s="4">
        <v>307</v>
      </c>
      <c r="L63" s="4">
        <v>0</v>
      </c>
      <c r="M63" s="5">
        <v>307</v>
      </c>
      <c r="N63" s="4">
        <v>7619.033629</v>
      </c>
      <c r="O63" s="4">
        <v>7619.033629</v>
      </c>
      <c r="P63" s="4">
        <v>20</v>
      </c>
      <c r="Q63" s="4">
        <v>47</v>
      </c>
      <c r="R63" s="4">
        <v>68</v>
      </c>
      <c r="S63" s="4">
        <v>29</v>
      </c>
      <c r="T63" s="4">
        <v>41</v>
      </c>
      <c r="U63" s="4">
        <v>0</v>
      </c>
      <c r="V63" s="4">
        <v>0</v>
      </c>
      <c r="W63" s="4">
        <v>1</v>
      </c>
      <c r="X63" s="4">
        <v>24.817699116</v>
      </c>
      <c r="Y63" s="4">
        <v>1687.60354</v>
      </c>
      <c r="Z63" s="4">
        <v>4.514705882283</v>
      </c>
      <c r="AA63" s="4">
        <v>4.514705882283</v>
      </c>
      <c r="AB63" s="4">
        <v>3.088235294291</v>
      </c>
      <c r="AC63" s="4">
        <v>3.073529411416</v>
      </c>
      <c r="AD63" s="4">
        <v>0</v>
      </c>
      <c r="AE63" s="4">
        <v>0</v>
      </c>
      <c r="AF63" s="4">
        <v>4.5</v>
      </c>
      <c r="AG63" s="4">
        <v>0</v>
      </c>
      <c r="AH63" s="4">
        <v>6</v>
      </c>
      <c r="AI63" s="4">
        <v>0</v>
      </c>
      <c r="AJ63" s="3" t="s">
        <v>1033</v>
      </c>
      <c r="AK63" s="4">
        <v>68</v>
      </c>
      <c r="AL63" s="4">
        <v>0</v>
      </c>
      <c r="AM63" s="6">
        <v>46127</v>
      </c>
      <c r="AN63" s="6"/>
      <c r="AO63" s="3" t="s">
        <v>1034</v>
      </c>
      <c r="AP63" s="3" t="s">
        <v>937</v>
      </c>
      <c r="AQ63" s="4"/>
      <c r="AR63" s="4"/>
      <c r="AS63" s="2"/>
    </row>
    <row r="64" ht="16.5" hidden="1" spans="1:45">
      <c r="A64" s="3" t="s">
        <v>630</v>
      </c>
      <c r="B64" s="3" t="s">
        <v>1030</v>
      </c>
      <c r="C64" s="3" t="s">
        <v>935</v>
      </c>
      <c r="D64" s="3" t="s">
        <v>1031</v>
      </c>
      <c r="E64" s="3" t="s">
        <v>1032</v>
      </c>
      <c r="F64" s="4">
        <v>157</v>
      </c>
      <c r="G64" s="4">
        <v>40</v>
      </c>
      <c r="H64" s="4">
        <v>0</v>
      </c>
      <c r="I64" s="4">
        <v>88</v>
      </c>
      <c r="J64" s="4">
        <v>17</v>
      </c>
      <c r="K64" s="4">
        <v>302</v>
      </c>
      <c r="L64" s="4">
        <v>260</v>
      </c>
      <c r="M64" s="5">
        <v>562</v>
      </c>
      <c r="N64" s="4">
        <v>6857.296136</v>
      </c>
      <c r="O64" s="4">
        <v>12760.928571</v>
      </c>
      <c r="P64" s="4">
        <v>14</v>
      </c>
      <c r="Q64" s="4">
        <v>28</v>
      </c>
      <c r="R64" s="4">
        <v>86</v>
      </c>
      <c r="S64" s="4">
        <v>45</v>
      </c>
      <c r="T64" s="4">
        <v>7</v>
      </c>
      <c r="U64" s="4">
        <v>0</v>
      </c>
      <c r="V64" s="4">
        <v>0</v>
      </c>
      <c r="W64" s="4">
        <v>41</v>
      </c>
      <c r="X64" s="4">
        <v>22.7062785963</v>
      </c>
      <c r="Y64" s="4">
        <v>1952.739959</v>
      </c>
      <c r="Z64" s="4">
        <v>6.534883721811</v>
      </c>
      <c r="AA64" s="4">
        <v>3.511627907441</v>
      </c>
      <c r="AB64" s="4">
        <v>3.313953488878</v>
      </c>
      <c r="AC64" s="4">
        <v>1.825581395807</v>
      </c>
      <c r="AD64" s="4">
        <v>0</v>
      </c>
      <c r="AE64" s="4">
        <v>1.023255813858</v>
      </c>
      <c r="AF64" s="4">
        <v>4.5</v>
      </c>
      <c r="AG64" s="4">
        <v>0</v>
      </c>
      <c r="AH64" s="4">
        <v>6</v>
      </c>
      <c r="AI64" s="4">
        <v>0</v>
      </c>
      <c r="AJ64" s="3" t="s">
        <v>1036</v>
      </c>
      <c r="AK64" s="4">
        <v>86</v>
      </c>
      <c r="AL64" s="4">
        <v>0</v>
      </c>
      <c r="AM64" s="6">
        <v>46159</v>
      </c>
      <c r="AN64" s="6"/>
      <c r="AO64" s="3" t="s">
        <v>1034</v>
      </c>
      <c r="AP64" s="3" t="s">
        <v>937</v>
      </c>
      <c r="AQ64" s="4"/>
      <c r="AR64" s="4"/>
      <c r="AS64" s="2"/>
    </row>
    <row r="65" ht="16.5" hidden="1" spans="1:45">
      <c r="A65" s="3" t="s">
        <v>966</v>
      </c>
      <c r="B65" s="3" t="s">
        <v>1030</v>
      </c>
      <c r="C65" s="3" t="s">
        <v>935</v>
      </c>
      <c r="D65" s="3" t="s">
        <v>1035</v>
      </c>
      <c r="E65" s="3" t="s">
        <v>1032</v>
      </c>
      <c r="F65" s="4">
        <v>291</v>
      </c>
      <c r="G65" s="4">
        <v>0</v>
      </c>
      <c r="H65" s="4">
        <v>0</v>
      </c>
      <c r="I65" s="4">
        <v>4</v>
      </c>
      <c r="J65" s="4">
        <v>0</v>
      </c>
      <c r="K65" s="4">
        <v>295</v>
      </c>
      <c r="L65" s="4">
        <v>1373</v>
      </c>
      <c r="M65" s="5">
        <v>1668</v>
      </c>
      <c r="N65" s="4">
        <v>5617.792026</v>
      </c>
      <c r="O65" s="4">
        <v>31764.32915</v>
      </c>
      <c r="P65" s="4">
        <v>53</v>
      </c>
      <c r="Q65" s="4">
        <v>134</v>
      </c>
      <c r="R65" s="4">
        <v>258</v>
      </c>
      <c r="S65" s="4">
        <v>173</v>
      </c>
      <c r="T65" s="4">
        <v>174</v>
      </c>
      <c r="U65" s="4">
        <v>0</v>
      </c>
      <c r="V65" s="4">
        <v>0</v>
      </c>
      <c r="W65" s="4">
        <v>0</v>
      </c>
      <c r="X65" s="4">
        <v>19.0433628</v>
      </c>
      <c r="Y65" s="4">
        <v>4913.187602</v>
      </c>
      <c r="Z65" s="4">
        <v>6.465116279514</v>
      </c>
      <c r="AA65" s="4">
        <v>1.143410852806</v>
      </c>
      <c r="AB65" s="4">
        <v>1.143410852806</v>
      </c>
      <c r="AC65" s="4">
        <v>1.127906976876</v>
      </c>
      <c r="AD65" s="4">
        <v>0</v>
      </c>
      <c r="AE65" s="4">
        <v>0.015503875929</v>
      </c>
      <c r="AF65" s="4">
        <v>4.5</v>
      </c>
      <c r="AG65" s="4">
        <v>0</v>
      </c>
      <c r="AH65" s="4">
        <v>6</v>
      </c>
      <c r="AI65" s="4">
        <v>0</v>
      </c>
      <c r="AJ65" s="3" t="s">
        <v>1036</v>
      </c>
      <c r="AK65" s="4">
        <v>258</v>
      </c>
      <c r="AL65" s="4">
        <v>0</v>
      </c>
      <c r="AM65" s="6">
        <v>45980</v>
      </c>
      <c r="AN65" s="6"/>
      <c r="AO65" s="3" t="s">
        <v>1034</v>
      </c>
      <c r="AP65" s="3" t="s">
        <v>937</v>
      </c>
      <c r="AQ65" s="4"/>
      <c r="AR65" s="4"/>
      <c r="AS65" s="2"/>
    </row>
    <row r="66" ht="16.5" hidden="1" spans="1:45">
      <c r="A66" s="3" t="s">
        <v>680</v>
      </c>
      <c r="B66" s="3" t="s">
        <v>1030</v>
      </c>
      <c r="C66" s="3" t="s">
        <v>935</v>
      </c>
      <c r="D66" s="3" t="s">
        <v>1031</v>
      </c>
      <c r="E66" s="3" t="s">
        <v>1032</v>
      </c>
      <c r="F66" s="4">
        <v>174</v>
      </c>
      <c r="G66" s="4">
        <v>0</v>
      </c>
      <c r="H66" s="4">
        <v>0</v>
      </c>
      <c r="I66" s="4">
        <v>0</v>
      </c>
      <c r="J66" s="4">
        <v>120</v>
      </c>
      <c r="K66" s="4">
        <v>294</v>
      </c>
      <c r="L66" s="4">
        <v>160</v>
      </c>
      <c r="M66" s="5">
        <v>454</v>
      </c>
      <c r="N66" s="4">
        <v>4322.209608</v>
      </c>
      <c r="O66" s="4">
        <v>6674.432524</v>
      </c>
      <c r="P66" s="4">
        <v>27</v>
      </c>
      <c r="Q66" s="4">
        <v>49</v>
      </c>
      <c r="R66" s="4">
        <v>83</v>
      </c>
      <c r="S66" s="4">
        <v>39</v>
      </c>
      <c r="T66" s="4">
        <v>16</v>
      </c>
      <c r="U66" s="4">
        <v>0</v>
      </c>
      <c r="V66" s="4">
        <v>0</v>
      </c>
      <c r="W66" s="4">
        <v>31</v>
      </c>
      <c r="X66" s="4">
        <v>14.7013932247</v>
      </c>
      <c r="Y66" s="4">
        <v>1220.215638</v>
      </c>
      <c r="Z66" s="4">
        <v>5.469879516492</v>
      </c>
      <c r="AA66" s="4">
        <v>3.542168673632</v>
      </c>
      <c r="AB66" s="4">
        <v>2.096385541487</v>
      </c>
      <c r="AC66" s="4">
        <v>2.096385541487</v>
      </c>
      <c r="AD66" s="4">
        <v>0</v>
      </c>
      <c r="AE66" s="4">
        <v>0</v>
      </c>
      <c r="AF66" s="4">
        <v>4.5</v>
      </c>
      <c r="AG66" s="4">
        <v>0</v>
      </c>
      <c r="AH66" s="4">
        <v>6</v>
      </c>
      <c r="AI66" s="4">
        <v>0</v>
      </c>
      <c r="AJ66" s="3" t="s">
        <v>1036</v>
      </c>
      <c r="AK66" s="4">
        <v>83</v>
      </c>
      <c r="AL66" s="4">
        <v>0</v>
      </c>
      <c r="AM66" s="6">
        <v>46159</v>
      </c>
      <c r="AN66" s="6"/>
      <c r="AO66" s="3" t="s">
        <v>1034</v>
      </c>
      <c r="AP66" s="3" t="s">
        <v>937</v>
      </c>
      <c r="AQ66" s="4"/>
      <c r="AR66" s="4"/>
      <c r="AS66" s="2"/>
    </row>
    <row r="67" ht="16.5" hidden="1" spans="1:45">
      <c r="A67" s="3" t="s">
        <v>147</v>
      </c>
      <c r="B67" s="3" t="s">
        <v>1030</v>
      </c>
      <c r="C67" s="3" t="s">
        <v>935</v>
      </c>
      <c r="D67" s="3" t="s">
        <v>1031</v>
      </c>
      <c r="E67" s="3" t="s">
        <v>1032</v>
      </c>
      <c r="F67" s="4">
        <v>134</v>
      </c>
      <c r="G67" s="4">
        <v>0</v>
      </c>
      <c r="H67" s="4">
        <v>0</v>
      </c>
      <c r="I67" s="4">
        <v>0</v>
      </c>
      <c r="J67" s="4">
        <v>160</v>
      </c>
      <c r="K67" s="4">
        <v>294</v>
      </c>
      <c r="L67" s="4">
        <v>0</v>
      </c>
      <c r="M67" s="5">
        <v>294</v>
      </c>
      <c r="N67" s="4">
        <v>6165.41416</v>
      </c>
      <c r="O67" s="4">
        <v>6165.41416</v>
      </c>
      <c r="P67" s="4">
        <v>1</v>
      </c>
      <c r="Q67" s="4">
        <v>5</v>
      </c>
      <c r="R67" s="4">
        <v>6</v>
      </c>
      <c r="S67" s="4">
        <v>0</v>
      </c>
      <c r="T67" s="4">
        <v>0</v>
      </c>
      <c r="U67" s="4">
        <v>0</v>
      </c>
      <c r="V67" s="4">
        <v>150</v>
      </c>
      <c r="W67" s="4">
        <v>150</v>
      </c>
      <c r="X67" s="4">
        <v>20.970796464</v>
      </c>
      <c r="Y67" s="4">
        <v>125.824779</v>
      </c>
      <c r="Z67" s="4">
        <v>48.999999912576</v>
      </c>
      <c r="AA67" s="4">
        <v>48.999999912576</v>
      </c>
      <c r="AB67" s="4">
        <v>22.333333293595</v>
      </c>
      <c r="AC67" s="4">
        <v>22.333333293595</v>
      </c>
      <c r="AD67" s="4">
        <v>0</v>
      </c>
      <c r="AE67" s="4">
        <v>0</v>
      </c>
      <c r="AF67" s="4">
        <v>4.5</v>
      </c>
      <c r="AG67" s="4">
        <v>258</v>
      </c>
      <c r="AH67" s="4">
        <v>6</v>
      </c>
      <c r="AI67" s="4">
        <v>5410.465488</v>
      </c>
      <c r="AJ67" s="3" t="s">
        <v>1033</v>
      </c>
      <c r="AK67" s="4">
        <v>6</v>
      </c>
      <c r="AL67" s="4">
        <v>0</v>
      </c>
      <c r="AM67" s="6">
        <v>46166</v>
      </c>
      <c r="AN67" s="6"/>
      <c r="AO67" s="3" t="s">
        <v>1034</v>
      </c>
      <c r="AP67" s="3" t="s">
        <v>937</v>
      </c>
      <c r="AQ67" s="4"/>
      <c r="AR67" s="4"/>
      <c r="AS67" s="2"/>
    </row>
    <row r="68" ht="16.5" hidden="1" spans="1:45">
      <c r="A68" s="3" t="s">
        <v>710</v>
      </c>
      <c r="B68" s="3" t="s">
        <v>1030</v>
      </c>
      <c r="C68" s="3" t="s">
        <v>935</v>
      </c>
      <c r="D68" s="3" t="s">
        <v>1031</v>
      </c>
      <c r="E68" s="3" t="s">
        <v>1032</v>
      </c>
      <c r="F68" s="4">
        <v>60</v>
      </c>
      <c r="G68" s="4">
        <v>215</v>
      </c>
      <c r="H68" s="4">
        <v>0</v>
      </c>
      <c r="I68" s="4">
        <v>0</v>
      </c>
      <c r="J68" s="4">
        <v>19</v>
      </c>
      <c r="K68" s="4">
        <v>294</v>
      </c>
      <c r="L68" s="4">
        <v>565</v>
      </c>
      <c r="M68" s="5">
        <v>859</v>
      </c>
      <c r="N68" s="4">
        <v>5016.054425</v>
      </c>
      <c r="O68" s="4">
        <v>14655.750855</v>
      </c>
      <c r="P68" s="4">
        <v>4</v>
      </c>
      <c r="Q68" s="4">
        <v>13</v>
      </c>
      <c r="R68" s="4">
        <v>55</v>
      </c>
      <c r="S68" s="4">
        <v>144</v>
      </c>
      <c r="T68" s="4">
        <v>33</v>
      </c>
      <c r="U68" s="4">
        <v>0</v>
      </c>
      <c r="V68" s="4">
        <v>0</v>
      </c>
      <c r="W68" s="4">
        <v>55</v>
      </c>
      <c r="X68" s="4">
        <v>17.0614096103</v>
      </c>
      <c r="Y68" s="4">
        <v>938.377529</v>
      </c>
      <c r="Z68" s="4">
        <v>15.618181810702</v>
      </c>
      <c r="AA68" s="4">
        <v>5.345454542528</v>
      </c>
      <c r="AB68" s="4">
        <v>4.999999996802</v>
      </c>
      <c r="AC68" s="4">
        <v>1.090909090812</v>
      </c>
      <c r="AD68" s="4">
        <v>0</v>
      </c>
      <c r="AE68" s="4">
        <v>0</v>
      </c>
      <c r="AF68" s="4">
        <v>4.5</v>
      </c>
      <c r="AG68" s="4">
        <v>0</v>
      </c>
      <c r="AH68" s="4">
        <v>6</v>
      </c>
      <c r="AI68" s="4">
        <v>0</v>
      </c>
      <c r="AJ68" s="3" t="s">
        <v>1036</v>
      </c>
      <c r="AK68" s="4">
        <v>55</v>
      </c>
      <c r="AL68" s="4">
        <v>0</v>
      </c>
      <c r="AM68" s="6">
        <v>46110</v>
      </c>
      <c r="AN68" s="6"/>
      <c r="AO68" s="3" t="s">
        <v>1034</v>
      </c>
      <c r="AP68" s="3" t="s">
        <v>937</v>
      </c>
      <c r="AQ68" s="4"/>
      <c r="AR68" s="4"/>
      <c r="AS68" s="2"/>
    </row>
    <row r="69" ht="16.5" hidden="1" spans="1:45">
      <c r="A69" s="3" t="s">
        <v>810</v>
      </c>
      <c r="B69" s="3" t="s">
        <v>1030</v>
      </c>
      <c r="C69" s="3" t="s">
        <v>935</v>
      </c>
      <c r="D69" s="3" t="s">
        <v>1031</v>
      </c>
      <c r="E69" s="3" t="s">
        <v>1032</v>
      </c>
      <c r="F69" s="4">
        <v>281</v>
      </c>
      <c r="G69" s="4">
        <v>0</v>
      </c>
      <c r="H69" s="4">
        <v>0</v>
      </c>
      <c r="I69" s="4">
        <v>0</v>
      </c>
      <c r="J69" s="4">
        <v>11</v>
      </c>
      <c r="K69" s="4">
        <v>292</v>
      </c>
      <c r="L69" s="4">
        <v>200</v>
      </c>
      <c r="M69" s="5">
        <v>492</v>
      </c>
      <c r="N69" s="4">
        <v>6895.59292</v>
      </c>
      <c r="O69" s="4">
        <v>11618.601769</v>
      </c>
      <c r="P69" s="4">
        <v>1</v>
      </c>
      <c r="Q69" s="4">
        <v>1</v>
      </c>
      <c r="R69" s="4">
        <v>4</v>
      </c>
      <c r="S69" s="4">
        <v>4</v>
      </c>
      <c r="T69" s="4">
        <v>0</v>
      </c>
      <c r="U69" s="4">
        <v>0</v>
      </c>
      <c r="V69" s="4">
        <v>0</v>
      </c>
      <c r="W69" s="4">
        <v>0</v>
      </c>
      <c r="X69" s="4">
        <v>23.615044245</v>
      </c>
      <c r="Y69" s="4">
        <v>94.460177</v>
      </c>
      <c r="Z69" s="4">
        <v>122.999999978827</v>
      </c>
      <c r="AA69" s="4">
        <v>72.999999989413</v>
      </c>
      <c r="AB69" s="4">
        <v>70.249999986766</v>
      </c>
      <c r="AC69" s="4">
        <v>70.249999986766</v>
      </c>
      <c r="AD69" s="4">
        <v>0</v>
      </c>
      <c r="AE69" s="4">
        <v>0</v>
      </c>
      <c r="AF69" s="4">
        <v>4.5</v>
      </c>
      <c r="AG69" s="4">
        <v>268</v>
      </c>
      <c r="AH69" s="4">
        <v>6</v>
      </c>
      <c r="AI69" s="4">
        <v>6328.831858</v>
      </c>
      <c r="AJ69" s="3" t="s">
        <v>1033</v>
      </c>
      <c r="AK69" s="4">
        <v>4</v>
      </c>
      <c r="AL69" s="4">
        <v>0</v>
      </c>
      <c r="AM69" s="6">
        <v>46180</v>
      </c>
      <c r="AN69" s="6"/>
      <c r="AO69" s="3" t="s">
        <v>1034</v>
      </c>
      <c r="AP69" s="3" t="s">
        <v>937</v>
      </c>
      <c r="AQ69" s="4"/>
      <c r="AR69" s="4"/>
      <c r="AS69" s="2"/>
    </row>
    <row r="70" ht="16.5" hidden="1" spans="1:45">
      <c r="A70" s="3" t="s">
        <v>338</v>
      </c>
      <c r="B70" s="3" t="s">
        <v>1030</v>
      </c>
      <c r="C70" s="3" t="s">
        <v>935</v>
      </c>
      <c r="D70" s="3" t="s">
        <v>1031</v>
      </c>
      <c r="E70" s="3" t="s">
        <v>1032</v>
      </c>
      <c r="F70" s="4">
        <v>18</v>
      </c>
      <c r="G70" s="4">
        <v>184</v>
      </c>
      <c r="H70" s="4">
        <v>0</v>
      </c>
      <c r="I70" s="4">
        <v>0</v>
      </c>
      <c r="J70" s="4">
        <v>90</v>
      </c>
      <c r="K70" s="4">
        <v>292</v>
      </c>
      <c r="L70" s="4">
        <v>262</v>
      </c>
      <c r="M70" s="5">
        <v>554</v>
      </c>
      <c r="N70" s="4">
        <v>4509.461948</v>
      </c>
      <c r="O70" s="4">
        <v>8555.623011</v>
      </c>
      <c r="P70" s="4">
        <v>1</v>
      </c>
      <c r="Q70" s="4">
        <v>9</v>
      </c>
      <c r="R70" s="4">
        <v>10</v>
      </c>
      <c r="S70" s="4">
        <v>18</v>
      </c>
      <c r="T70" s="4">
        <v>102</v>
      </c>
      <c r="U70" s="4">
        <v>0</v>
      </c>
      <c r="V70" s="4">
        <v>88</v>
      </c>
      <c r="W70" s="4">
        <v>88</v>
      </c>
      <c r="X70" s="4">
        <v>15.443362836</v>
      </c>
      <c r="Y70" s="4">
        <v>154.433628</v>
      </c>
      <c r="Z70" s="4">
        <v>55.40000012821</v>
      </c>
      <c r="AA70" s="4">
        <v>29.200000067342</v>
      </c>
      <c r="AB70" s="4">
        <v>20.200000047917</v>
      </c>
      <c r="AC70" s="4">
        <v>1.800000003885</v>
      </c>
      <c r="AD70" s="4">
        <v>0</v>
      </c>
      <c r="AE70" s="4">
        <v>0</v>
      </c>
      <c r="AF70" s="4">
        <v>4.5</v>
      </c>
      <c r="AG70" s="4">
        <v>232</v>
      </c>
      <c r="AH70" s="4">
        <v>6</v>
      </c>
      <c r="AI70" s="4">
        <v>3582.860178</v>
      </c>
      <c r="AJ70" s="3" t="s">
        <v>1033</v>
      </c>
      <c r="AK70" s="4">
        <v>10</v>
      </c>
      <c r="AL70" s="4">
        <v>0</v>
      </c>
      <c r="AM70" s="6">
        <v>46103</v>
      </c>
      <c r="AN70" s="6"/>
      <c r="AO70" s="3" t="s">
        <v>1034</v>
      </c>
      <c r="AP70" s="3" t="s">
        <v>937</v>
      </c>
      <c r="AQ70" s="4"/>
      <c r="AR70" s="4"/>
      <c r="AS70" s="2"/>
    </row>
    <row r="71" ht="16.5" hidden="1" spans="1:45">
      <c r="A71" s="3" t="s">
        <v>442</v>
      </c>
      <c r="B71" s="3" t="s">
        <v>1030</v>
      </c>
      <c r="C71" s="3" t="s">
        <v>935</v>
      </c>
      <c r="D71" s="3" t="s">
        <v>1040</v>
      </c>
      <c r="E71" s="3" t="s">
        <v>1032</v>
      </c>
      <c r="F71" s="4">
        <v>104</v>
      </c>
      <c r="G71" s="4">
        <v>150</v>
      </c>
      <c r="H71" s="4">
        <v>0</v>
      </c>
      <c r="I71" s="4">
        <v>6</v>
      </c>
      <c r="J71" s="4">
        <v>31</v>
      </c>
      <c r="K71" s="4">
        <v>291</v>
      </c>
      <c r="L71" s="4">
        <v>135</v>
      </c>
      <c r="M71" s="5">
        <v>426</v>
      </c>
      <c r="N71" s="4">
        <v>6552.1354</v>
      </c>
      <c r="O71" s="4">
        <v>9591.785843</v>
      </c>
      <c r="P71" s="4">
        <v>5</v>
      </c>
      <c r="Q71" s="4">
        <v>16</v>
      </c>
      <c r="R71" s="4">
        <v>19</v>
      </c>
      <c r="S71" s="4">
        <v>1</v>
      </c>
      <c r="T71" s="4">
        <v>18</v>
      </c>
      <c r="U71" s="4">
        <v>0</v>
      </c>
      <c r="V71" s="4">
        <v>100</v>
      </c>
      <c r="W71" s="4">
        <v>100</v>
      </c>
      <c r="X71" s="4">
        <v>22.515929208</v>
      </c>
      <c r="Y71" s="4">
        <v>427.802655</v>
      </c>
      <c r="Z71" s="4">
        <v>22.421052629979</v>
      </c>
      <c r="AA71" s="4">
        <v>15.315789473069</v>
      </c>
      <c r="AB71" s="4">
        <v>13.68421052693</v>
      </c>
      <c r="AC71" s="4">
        <v>5.473684210772</v>
      </c>
      <c r="AD71" s="4">
        <v>0</v>
      </c>
      <c r="AE71" s="4">
        <v>0.315789473069</v>
      </c>
      <c r="AF71" s="4">
        <v>4.5</v>
      </c>
      <c r="AG71" s="4">
        <v>177</v>
      </c>
      <c r="AH71" s="4">
        <v>6</v>
      </c>
      <c r="AI71" s="4">
        <v>3985.31947</v>
      </c>
      <c r="AJ71" s="3" t="s">
        <v>1033</v>
      </c>
      <c r="AK71" s="4">
        <v>19</v>
      </c>
      <c r="AL71" s="4">
        <v>0</v>
      </c>
      <c r="AM71" s="6">
        <v>46094</v>
      </c>
      <c r="AN71" s="6"/>
      <c r="AO71" s="3" t="s">
        <v>1034</v>
      </c>
      <c r="AP71" s="3" t="s">
        <v>937</v>
      </c>
      <c r="AQ71" s="4"/>
      <c r="AR71" s="4"/>
      <c r="AS71" s="2"/>
    </row>
    <row r="72" ht="16.5" hidden="1" spans="1:45">
      <c r="A72" s="3" t="s">
        <v>836</v>
      </c>
      <c r="B72" s="3" t="s">
        <v>1030</v>
      </c>
      <c r="C72" s="3" t="s">
        <v>935</v>
      </c>
      <c r="D72" s="3" t="s">
        <v>1031</v>
      </c>
      <c r="E72" s="3" t="s">
        <v>1032</v>
      </c>
      <c r="F72" s="4">
        <v>113</v>
      </c>
      <c r="G72" s="4">
        <v>80</v>
      </c>
      <c r="H72" s="4">
        <v>60</v>
      </c>
      <c r="I72" s="4">
        <v>0</v>
      </c>
      <c r="J72" s="4">
        <v>33</v>
      </c>
      <c r="K72" s="4">
        <v>286</v>
      </c>
      <c r="L72" s="4">
        <v>172</v>
      </c>
      <c r="M72" s="5">
        <v>458</v>
      </c>
      <c r="N72" s="4">
        <v>4808.59646</v>
      </c>
      <c r="O72" s="4">
        <v>7700.479646</v>
      </c>
      <c r="P72" s="4">
        <v>8</v>
      </c>
      <c r="Q72" s="4">
        <v>9</v>
      </c>
      <c r="R72" s="4">
        <v>34</v>
      </c>
      <c r="S72" s="4">
        <v>54</v>
      </c>
      <c r="T72" s="4">
        <v>35</v>
      </c>
      <c r="U72" s="4">
        <v>0</v>
      </c>
      <c r="V72" s="4">
        <v>0</v>
      </c>
      <c r="W72" s="4">
        <v>120</v>
      </c>
      <c r="X72" s="4">
        <v>16.813274337</v>
      </c>
      <c r="Y72" s="4">
        <v>571.651327</v>
      </c>
      <c r="Z72" s="4">
        <v>13.470588245481</v>
      </c>
      <c r="AA72" s="4">
        <v>8.411764711953</v>
      </c>
      <c r="AB72" s="4">
        <v>7.441176476093</v>
      </c>
      <c r="AC72" s="4">
        <v>3.323529414285</v>
      </c>
      <c r="AD72" s="4">
        <v>1.764705883381</v>
      </c>
      <c r="AE72" s="4">
        <v>0</v>
      </c>
      <c r="AF72" s="4">
        <v>4.5</v>
      </c>
      <c r="AG72" s="4">
        <v>82</v>
      </c>
      <c r="AH72" s="4">
        <v>6</v>
      </c>
      <c r="AI72" s="4">
        <v>1378.688496</v>
      </c>
      <c r="AJ72" s="3" t="s">
        <v>1033</v>
      </c>
      <c r="AK72" s="4">
        <v>34</v>
      </c>
      <c r="AL72" s="4">
        <v>0</v>
      </c>
      <c r="AM72" s="6">
        <v>46101</v>
      </c>
      <c r="AN72" s="6">
        <v>46236</v>
      </c>
      <c r="AO72" s="3" t="s">
        <v>1034</v>
      </c>
      <c r="AP72" s="3" t="s">
        <v>937</v>
      </c>
      <c r="AQ72" s="4"/>
      <c r="AR72" s="4"/>
      <c r="AS72" s="2"/>
    </row>
    <row r="73" ht="16.5" hidden="1" spans="1:45">
      <c r="A73" s="3" t="s">
        <v>812</v>
      </c>
      <c r="B73" s="3" t="s">
        <v>1030</v>
      </c>
      <c r="C73" s="3" t="s">
        <v>935</v>
      </c>
      <c r="D73" s="3" t="s">
        <v>1031</v>
      </c>
      <c r="E73" s="3" t="s">
        <v>1032</v>
      </c>
      <c r="F73" s="4">
        <v>135</v>
      </c>
      <c r="G73" s="4">
        <v>121</v>
      </c>
      <c r="H73" s="4">
        <v>0</v>
      </c>
      <c r="I73" s="4">
        <v>2</v>
      </c>
      <c r="J73" s="4">
        <v>26</v>
      </c>
      <c r="K73" s="4">
        <v>284</v>
      </c>
      <c r="L73" s="4">
        <v>0</v>
      </c>
      <c r="M73" s="5">
        <v>284</v>
      </c>
      <c r="N73" s="4">
        <v>5340.456637</v>
      </c>
      <c r="O73" s="4">
        <v>5340.456637</v>
      </c>
      <c r="P73" s="4">
        <v>3</v>
      </c>
      <c r="Q73" s="4">
        <v>7</v>
      </c>
      <c r="R73" s="4">
        <v>17</v>
      </c>
      <c r="S73" s="4">
        <v>28</v>
      </c>
      <c r="T73" s="4">
        <v>56</v>
      </c>
      <c r="U73" s="4">
        <v>0</v>
      </c>
      <c r="V73" s="4">
        <v>0</v>
      </c>
      <c r="W73" s="4">
        <v>119</v>
      </c>
      <c r="X73" s="4">
        <v>18.804424779</v>
      </c>
      <c r="Y73" s="4">
        <v>319.675221</v>
      </c>
      <c r="Z73" s="4">
        <v>16.705882364901</v>
      </c>
      <c r="AA73" s="4">
        <v>16.705882364901</v>
      </c>
      <c r="AB73" s="4">
        <v>15.176470599827</v>
      </c>
      <c r="AC73" s="4">
        <v>7.941176476108</v>
      </c>
      <c r="AD73" s="4">
        <v>0</v>
      </c>
      <c r="AE73" s="4">
        <v>0.117647060295</v>
      </c>
      <c r="AF73" s="4">
        <v>4.5</v>
      </c>
      <c r="AG73" s="4">
        <v>182</v>
      </c>
      <c r="AH73" s="4">
        <v>6</v>
      </c>
      <c r="AI73" s="4">
        <v>3422.40531</v>
      </c>
      <c r="AJ73" s="3" t="s">
        <v>1033</v>
      </c>
      <c r="AK73" s="4">
        <v>17</v>
      </c>
      <c r="AL73" s="4">
        <v>0</v>
      </c>
      <c r="AM73" s="6">
        <v>46102</v>
      </c>
      <c r="AN73" s="6"/>
      <c r="AO73" s="3" t="s">
        <v>1034</v>
      </c>
      <c r="AP73" s="3" t="s">
        <v>937</v>
      </c>
      <c r="AQ73" s="4"/>
      <c r="AR73" s="4"/>
      <c r="AS73" s="2"/>
    </row>
    <row r="74" ht="16.5" spans="1:45">
      <c r="A74" s="3" t="s">
        <v>486</v>
      </c>
      <c r="B74" s="3" t="s">
        <v>1030</v>
      </c>
      <c r="C74" s="3" t="s">
        <v>935</v>
      </c>
      <c r="D74" s="3" t="s">
        <v>1031</v>
      </c>
      <c r="E74" s="3" t="s">
        <v>1032</v>
      </c>
      <c r="F74" s="4">
        <v>98</v>
      </c>
      <c r="G74" s="4">
        <v>0</v>
      </c>
      <c r="H74" s="4">
        <v>0</v>
      </c>
      <c r="I74" s="4">
        <v>0</v>
      </c>
      <c r="J74" s="4">
        <v>182</v>
      </c>
      <c r="K74" s="4">
        <v>280</v>
      </c>
      <c r="L74" s="4">
        <v>0</v>
      </c>
      <c r="M74" s="5">
        <v>280</v>
      </c>
      <c r="N74" s="4">
        <v>4973.097344</v>
      </c>
      <c r="O74" s="4">
        <v>4973.097344</v>
      </c>
      <c r="P74" s="4">
        <v>5</v>
      </c>
      <c r="Q74" s="4">
        <v>6</v>
      </c>
      <c r="R74" s="4">
        <v>9</v>
      </c>
      <c r="S74" s="4">
        <v>6</v>
      </c>
      <c r="T74" s="4">
        <v>5</v>
      </c>
      <c r="U74" s="4">
        <v>180</v>
      </c>
      <c r="V74" s="4">
        <v>180</v>
      </c>
      <c r="W74" s="4">
        <v>180</v>
      </c>
      <c r="X74" s="4">
        <v>17.761061943</v>
      </c>
      <c r="Y74" s="4">
        <v>159.849557</v>
      </c>
      <c r="Z74" s="4">
        <v>31.111111205644</v>
      </c>
      <c r="AA74" s="4">
        <v>31.111111205644</v>
      </c>
      <c r="AB74" s="4">
        <v>10.888888919473</v>
      </c>
      <c r="AC74" s="4">
        <v>10.888888919473</v>
      </c>
      <c r="AD74" s="4">
        <v>0</v>
      </c>
      <c r="AE74" s="4">
        <v>0</v>
      </c>
      <c r="AF74" s="4">
        <v>4.5</v>
      </c>
      <c r="AG74" s="4">
        <v>226</v>
      </c>
      <c r="AH74" s="4">
        <v>6</v>
      </c>
      <c r="AI74" s="4">
        <v>4013.999999</v>
      </c>
      <c r="AJ74" s="3" t="s">
        <v>1033</v>
      </c>
      <c r="AK74" s="4">
        <v>9</v>
      </c>
      <c r="AL74" s="4">
        <v>0</v>
      </c>
      <c r="AM74" s="6">
        <v>46126</v>
      </c>
      <c r="AN74" s="6"/>
      <c r="AO74" s="3" t="s">
        <v>1034</v>
      </c>
      <c r="AP74" s="3" t="s">
        <v>937</v>
      </c>
      <c r="AQ74" s="4"/>
      <c r="AR74" s="4"/>
      <c r="AS74" s="2"/>
    </row>
    <row r="75" ht="16.5" spans="1:45">
      <c r="A75" s="3" t="s">
        <v>515</v>
      </c>
      <c r="B75" s="3" t="s">
        <v>1030</v>
      </c>
      <c r="C75" s="3" t="s">
        <v>935</v>
      </c>
      <c r="D75" s="3" t="s">
        <v>1031</v>
      </c>
      <c r="E75" s="3" t="s">
        <v>1032</v>
      </c>
      <c r="F75" s="4">
        <v>173</v>
      </c>
      <c r="G75" s="4">
        <v>0</v>
      </c>
      <c r="H75" s="4">
        <v>0</v>
      </c>
      <c r="I75" s="4">
        <v>0</v>
      </c>
      <c r="J75" s="4">
        <v>106</v>
      </c>
      <c r="K75" s="4">
        <v>279</v>
      </c>
      <c r="L75" s="4">
        <v>100</v>
      </c>
      <c r="M75" s="5">
        <v>379</v>
      </c>
      <c r="N75" s="4">
        <v>8002.724589</v>
      </c>
      <c r="O75" s="4">
        <v>10871.084657</v>
      </c>
      <c r="P75" s="4">
        <v>9</v>
      </c>
      <c r="Q75" s="4">
        <v>20</v>
      </c>
      <c r="R75" s="4">
        <v>41</v>
      </c>
      <c r="S75" s="4">
        <v>52</v>
      </c>
      <c r="T75" s="4">
        <v>30</v>
      </c>
      <c r="U75" s="4">
        <v>0</v>
      </c>
      <c r="V75" s="4">
        <v>0</v>
      </c>
      <c r="W75" s="4">
        <v>0</v>
      </c>
      <c r="X75" s="4">
        <v>28.6836006787</v>
      </c>
      <c r="Y75" s="4">
        <v>1176.027628</v>
      </c>
      <c r="Z75" s="4">
        <v>9.243902437468</v>
      </c>
      <c r="AA75" s="4">
        <v>6.804878047473</v>
      </c>
      <c r="AB75" s="4">
        <v>4.219512194147</v>
      </c>
      <c r="AC75" s="4">
        <v>4.219512194147</v>
      </c>
      <c r="AD75" s="4">
        <v>0</v>
      </c>
      <c r="AE75" s="4">
        <v>0</v>
      </c>
      <c r="AF75" s="4">
        <v>4.5</v>
      </c>
      <c r="AG75" s="4">
        <v>33</v>
      </c>
      <c r="AH75" s="4">
        <v>6</v>
      </c>
      <c r="AI75" s="4">
        <v>946.558822</v>
      </c>
      <c r="AJ75" s="3" t="s">
        <v>1036</v>
      </c>
      <c r="AK75" s="4">
        <v>41</v>
      </c>
      <c r="AL75" s="4">
        <v>0</v>
      </c>
      <c r="AM75" s="6">
        <v>46128</v>
      </c>
      <c r="AN75" s="6"/>
      <c r="AO75" s="3" t="s">
        <v>1034</v>
      </c>
      <c r="AP75" s="3" t="s">
        <v>937</v>
      </c>
      <c r="AQ75" s="4"/>
      <c r="AR75" s="4"/>
      <c r="AS75" s="2"/>
    </row>
    <row r="76" ht="16.5" hidden="1" spans="1:45">
      <c r="A76" s="3" t="s">
        <v>715</v>
      </c>
      <c r="B76" s="3" t="s">
        <v>1030</v>
      </c>
      <c r="C76" s="3" t="s">
        <v>935</v>
      </c>
      <c r="D76" s="3" t="s">
        <v>1031</v>
      </c>
      <c r="E76" s="3" t="s">
        <v>1032</v>
      </c>
      <c r="F76" s="4">
        <v>159</v>
      </c>
      <c r="G76" s="4">
        <v>40</v>
      </c>
      <c r="H76" s="4">
        <v>0</v>
      </c>
      <c r="I76" s="4">
        <v>0</v>
      </c>
      <c r="J76" s="4">
        <v>79</v>
      </c>
      <c r="K76" s="4">
        <v>278</v>
      </c>
      <c r="L76" s="4">
        <v>200</v>
      </c>
      <c r="M76" s="5">
        <v>478</v>
      </c>
      <c r="N76" s="4">
        <v>6936.005304</v>
      </c>
      <c r="O76" s="4">
        <v>11925.937177</v>
      </c>
      <c r="P76" s="4">
        <v>5</v>
      </c>
      <c r="Q76" s="4">
        <v>10</v>
      </c>
      <c r="R76" s="4">
        <v>20</v>
      </c>
      <c r="S76" s="4">
        <v>17</v>
      </c>
      <c r="T76" s="4">
        <v>4</v>
      </c>
      <c r="U76" s="4">
        <v>0</v>
      </c>
      <c r="V76" s="4">
        <v>0</v>
      </c>
      <c r="W76" s="4">
        <v>18</v>
      </c>
      <c r="X76" s="4">
        <v>24.949659366</v>
      </c>
      <c r="Y76" s="4">
        <v>498.993187</v>
      </c>
      <c r="Z76" s="4">
        <v>23.900000015431</v>
      </c>
      <c r="AA76" s="4">
        <v>13.900000009418</v>
      </c>
      <c r="AB76" s="4">
        <v>9.950000006713</v>
      </c>
      <c r="AC76" s="4">
        <v>7.950000004709</v>
      </c>
      <c r="AD76" s="4">
        <v>0</v>
      </c>
      <c r="AE76" s="4">
        <v>0</v>
      </c>
      <c r="AF76" s="4">
        <v>4.5</v>
      </c>
      <c r="AG76" s="4">
        <v>158</v>
      </c>
      <c r="AH76" s="4">
        <v>6</v>
      </c>
      <c r="AI76" s="4">
        <v>3942.04618</v>
      </c>
      <c r="AJ76" s="3" t="s">
        <v>1036</v>
      </c>
      <c r="AK76" s="4">
        <v>20</v>
      </c>
      <c r="AL76" s="4">
        <v>0</v>
      </c>
      <c r="AM76" s="6">
        <v>46165</v>
      </c>
      <c r="AN76" s="6"/>
      <c r="AO76" s="3" t="s">
        <v>1034</v>
      </c>
      <c r="AP76" s="3" t="s">
        <v>937</v>
      </c>
      <c r="AQ76" s="4"/>
      <c r="AR76" s="4"/>
      <c r="AS76" s="2"/>
    </row>
    <row r="77" ht="16.5" hidden="1" spans="1:45">
      <c r="A77" s="3" t="s">
        <v>822</v>
      </c>
      <c r="B77" s="3" t="s">
        <v>1030</v>
      </c>
      <c r="C77" s="3" t="s">
        <v>935</v>
      </c>
      <c r="D77" s="3" t="s">
        <v>1031</v>
      </c>
      <c r="E77" s="3" t="s">
        <v>1032</v>
      </c>
      <c r="F77" s="4">
        <v>162</v>
      </c>
      <c r="G77" s="4">
        <v>0</v>
      </c>
      <c r="H77" s="4">
        <v>0</v>
      </c>
      <c r="I77" s="4">
        <v>2</v>
      </c>
      <c r="J77" s="4">
        <v>112</v>
      </c>
      <c r="K77" s="4">
        <v>276</v>
      </c>
      <c r="L77" s="4">
        <v>0</v>
      </c>
      <c r="M77" s="5">
        <v>276</v>
      </c>
      <c r="N77" s="4">
        <v>5405.447788</v>
      </c>
      <c r="O77" s="4">
        <v>5405.447788</v>
      </c>
      <c r="P77" s="4">
        <v>1</v>
      </c>
      <c r="Q77" s="4">
        <v>3</v>
      </c>
      <c r="R77" s="4">
        <v>3</v>
      </c>
      <c r="S77" s="4">
        <v>4</v>
      </c>
      <c r="T77" s="4">
        <v>11</v>
      </c>
      <c r="U77" s="4">
        <v>0</v>
      </c>
      <c r="V77" s="4">
        <v>0</v>
      </c>
      <c r="W77" s="4">
        <v>0</v>
      </c>
      <c r="X77" s="4">
        <v>19.584955755</v>
      </c>
      <c r="Y77" s="4">
        <v>58.754867</v>
      </c>
      <c r="Z77" s="4">
        <v>92.000000408476</v>
      </c>
      <c r="AA77" s="4">
        <v>92.000000408476</v>
      </c>
      <c r="AB77" s="4">
        <v>54.666666899271</v>
      </c>
      <c r="AC77" s="4">
        <v>54.000000238278</v>
      </c>
      <c r="AD77" s="4">
        <v>0</v>
      </c>
      <c r="AE77" s="4">
        <v>0.666666678013</v>
      </c>
      <c r="AF77" s="4">
        <v>4.5</v>
      </c>
      <c r="AG77" s="4">
        <v>258</v>
      </c>
      <c r="AH77" s="4">
        <v>6</v>
      </c>
      <c r="AI77" s="4">
        <v>5052.918585</v>
      </c>
      <c r="AJ77" s="3" t="s">
        <v>1033</v>
      </c>
      <c r="AK77" s="4">
        <v>3</v>
      </c>
      <c r="AL77" s="4">
        <v>0</v>
      </c>
      <c r="AM77" s="6">
        <v>46101</v>
      </c>
      <c r="AN77" s="6"/>
      <c r="AO77" s="3" t="s">
        <v>1034</v>
      </c>
      <c r="AP77" s="3" t="s">
        <v>937</v>
      </c>
      <c r="AQ77" s="4"/>
      <c r="AR77" s="4"/>
      <c r="AS77" s="2"/>
    </row>
    <row r="78" ht="16.5" hidden="1" spans="1:45">
      <c r="A78" s="3" t="s">
        <v>868</v>
      </c>
      <c r="B78" s="3" t="s">
        <v>1030</v>
      </c>
      <c r="C78" s="3" t="s">
        <v>935</v>
      </c>
      <c r="D78" s="3" t="s">
        <v>1031</v>
      </c>
      <c r="E78" s="3" t="s">
        <v>1032</v>
      </c>
      <c r="F78" s="4">
        <v>70</v>
      </c>
      <c r="G78" s="4">
        <v>90</v>
      </c>
      <c r="H78" s="4">
        <v>16</v>
      </c>
      <c r="I78" s="4">
        <v>40</v>
      </c>
      <c r="J78" s="4">
        <v>60</v>
      </c>
      <c r="K78" s="4">
        <v>276</v>
      </c>
      <c r="L78" s="4">
        <v>100</v>
      </c>
      <c r="M78" s="5">
        <v>376</v>
      </c>
      <c r="N78" s="4">
        <v>4781.150442</v>
      </c>
      <c r="O78" s="4">
        <v>6513.451327</v>
      </c>
      <c r="P78" s="4">
        <v>13</v>
      </c>
      <c r="Q78" s="4">
        <v>24</v>
      </c>
      <c r="R78" s="4">
        <v>36</v>
      </c>
      <c r="S78" s="4">
        <v>3</v>
      </c>
      <c r="T78" s="4">
        <v>44</v>
      </c>
      <c r="U78" s="4">
        <v>0</v>
      </c>
      <c r="V78" s="4">
        <v>0</v>
      </c>
      <c r="W78" s="4">
        <v>200</v>
      </c>
      <c r="X78" s="4">
        <v>17.323008849</v>
      </c>
      <c r="Y78" s="4">
        <v>623.628319</v>
      </c>
      <c r="Z78" s="4">
        <v>10.444444436783</v>
      </c>
      <c r="AA78" s="4">
        <v>7.666666660787</v>
      </c>
      <c r="AB78" s="4">
        <v>5.999999995189</v>
      </c>
      <c r="AC78" s="4">
        <v>1.944444442395</v>
      </c>
      <c r="AD78" s="4">
        <v>0.4444444448</v>
      </c>
      <c r="AE78" s="4">
        <v>1.111111110398</v>
      </c>
      <c r="AF78" s="4">
        <v>4.5</v>
      </c>
      <c r="AG78" s="4">
        <v>60</v>
      </c>
      <c r="AH78" s="4">
        <v>6</v>
      </c>
      <c r="AI78" s="4">
        <v>1039.380531</v>
      </c>
      <c r="AJ78" s="3" t="s">
        <v>1033</v>
      </c>
      <c r="AK78" s="4">
        <v>36</v>
      </c>
      <c r="AL78" s="4">
        <v>0</v>
      </c>
      <c r="AM78" s="6">
        <v>46098</v>
      </c>
      <c r="AN78" s="6">
        <v>46236</v>
      </c>
      <c r="AO78" s="3" t="s">
        <v>1034</v>
      </c>
      <c r="AP78" s="3" t="s">
        <v>937</v>
      </c>
      <c r="AQ78" s="4"/>
      <c r="AR78" s="4"/>
      <c r="AS78" s="2"/>
    </row>
    <row r="79" ht="16.5" hidden="1" spans="1:45">
      <c r="A79" s="3" t="s">
        <v>848</v>
      </c>
      <c r="B79" s="3" t="s">
        <v>1030</v>
      </c>
      <c r="C79" s="3" t="s">
        <v>935</v>
      </c>
      <c r="D79" s="3" t="s">
        <v>1031</v>
      </c>
      <c r="E79" s="3" t="s">
        <v>1032</v>
      </c>
      <c r="F79" s="4">
        <v>262</v>
      </c>
      <c r="G79" s="4">
        <v>0</v>
      </c>
      <c r="H79" s="4">
        <v>0</v>
      </c>
      <c r="I79" s="4">
        <v>0</v>
      </c>
      <c r="J79" s="4">
        <v>9</v>
      </c>
      <c r="K79" s="4">
        <v>271</v>
      </c>
      <c r="L79" s="4">
        <v>0</v>
      </c>
      <c r="M79" s="5">
        <v>271</v>
      </c>
      <c r="N79" s="4">
        <v>7127.060177</v>
      </c>
      <c r="O79" s="4">
        <v>7127.060177</v>
      </c>
      <c r="P79" s="4">
        <v>26</v>
      </c>
      <c r="Q79" s="4">
        <v>75</v>
      </c>
      <c r="R79" s="4">
        <v>111</v>
      </c>
      <c r="S79" s="4">
        <v>24</v>
      </c>
      <c r="T79" s="4">
        <v>40</v>
      </c>
      <c r="U79" s="4">
        <v>0</v>
      </c>
      <c r="V79" s="4">
        <v>0</v>
      </c>
      <c r="W79" s="4">
        <v>0</v>
      </c>
      <c r="X79" s="4">
        <v>26.299115046</v>
      </c>
      <c r="Y79" s="4">
        <v>2919.20177</v>
      </c>
      <c r="Z79" s="4">
        <v>2.44144144137</v>
      </c>
      <c r="AA79" s="4">
        <v>2.44144144137</v>
      </c>
      <c r="AB79" s="4">
        <v>2.360360360428</v>
      </c>
      <c r="AC79" s="4">
        <v>2.360360360428</v>
      </c>
      <c r="AD79" s="4">
        <v>0</v>
      </c>
      <c r="AE79" s="4">
        <v>0</v>
      </c>
      <c r="AF79" s="4">
        <v>4.5</v>
      </c>
      <c r="AG79" s="4">
        <v>0</v>
      </c>
      <c r="AH79" s="4">
        <v>6</v>
      </c>
      <c r="AI79" s="4">
        <v>0</v>
      </c>
      <c r="AJ79" s="3" t="s">
        <v>1033</v>
      </c>
      <c r="AK79" s="4">
        <v>111</v>
      </c>
      <c r="AL79" s="4">
        <v>0</v>
      </c>
      <c r="AM79" s="6">
        <v>46102</v>
      </c>
      <c r="AN79" s="6"/>
      <c r="AO79" s="3" t="s">
        <v>1034</v>
      </c>
      <c r="AP79" s="3" t="s">
        <v>937</v>
      </c>
      <c r="AQ79" s="4"/>
      <c r="AR79" s="4"/>
      <c r="AS79" s="2"/>
    </row>
    <row r="80" ht="16.5" hidden="1" spans="1:45">
      <c r="A80" s="3" t="s">
        <v>520</v>
      </c>
      <c r="B80" s="3" t="s">
        <v>1030</v>
      </c>
      <c r="C80" s="3" t="s">
        <v>935</v>
      </c>
      <c r="D80" s="3" t="s">
        <v>1040</v>
      </c>
      <c r="E80" s="3" t="s">
        <v>1032</v>
      </c>
      <c r="F80" s="4">
        <v>42</v>
      </c>
      <c r="G80" s="4">
        <v>96</v>
      </c>
      <c r="H80" s="4">
        <v>0</v>
      </c>
      <c r="I80" s="4">
        <v>84</v>
      </c>
      <c r="J80" s="4">
        <v>49</v>
      </c>
      <c r="K80" s="4">
        <v>271</v>
      </c>
      <c r="L80" s="4">
        <v>0</v>
      </c>
      <c r="M80" s="5">
        <v>271</v>
      </c>
      <c r="N80" s="4">
        <v>5420.909266</v>
      </c>
      <c r="O80" s="4">
        <v>5420.909266</v>
      </c>
      <c r="P80" s="4">
        <v>1</v>
      </c>
      <c r="Q80" s="4">
        <v>3</v>
      </c>
      <c r="R80" s="4">
        <v>6</v>
      </c>
      <c r="S80" s="4">
        <v>9</v>
      </c>
      <c r="T80" s="4">
        <v>17</v>
      </c>
      <c r="U80" s="4">
        <v>0</v>
      </c>
      <c r="V80" s="4">
        <v>0</v>
      </c>
      <c r="W80" s="4">
        <v>39</v>
      </c>
      <c r="X80" s="4">
        <v>20.0033552244</v>
      </c>
      <c r="Y80" s="4">
        <v>120.020131</v>
      </c>
      <c r="Z80" s="4">
        <v>45.166666798588</v>
      </c>
      <c r="AA80" s="4">
        <v>45.166666798588</v>
      </c>
      <c r="AB80" s="4">
        <v>37.000000108315</v>
      </c>
      <c r="AC80" s="4">
        <v>7.000000016663</v>
      </c>
      <c r="AD80" s="4">
        <v>0</v>
      </c>
      <c r="AE80" s="4">
        <v>14.000000041659</v>
      </c>
      <c r="AF80" s="4">
        <v>4.5</v>
      </c>
      <c r="AG80" s="4">
        <v>235</v>
      </c>
      <c r="AH80" s="4">
        <v>6</v>
      </c>
      <c r="AI80" s="4">
        <v>4700.788478</v>
      </c>
      <c r="AJ80" s="3" t="s">
        <v>1036</v>
      </c>
      <c r="AK80" s="4">
        <v>6</v>
      </c>
      <c r="AL80" s="4">
        <v>0</v>
      </c>
      <c r="AM80" s="6">
        <v>46094</v>
      </c>
      <c r="AN80" s="6"/>
      <c r="AO80" s="3" t="s">
        <v>1034</v>
      </c>
      <c r="AP80" s="3" t="s">
        <v>937</v>
      </c>
      <c r="AQ80" s="4"/>
      <c r="AR80" s="4"/>
      <c r="AS80" s="2"/>
    </row>
    <row r="81" ht="16.5" hidden="1" spans="1:45">
      <c r="A81" s="3" t="s">
        <v>175</v>
      </c>
      <c r="B81" s="3" t="s">
        <v>1030</v>
      </c>
      <c r="C81" s="3" t="s">
        <v>935</v>
      </c>
      <c r="D81" s="3" t="s">
        <v>1031</v>
      </c>
      <c r="E81" s="3" t="s">
        <v>1032</v>
      </c>
      <c r="F81" s="4">
        <v>99</v>
      </c>
      <c r="G81" s="4">
        <v>0</v>
      </c>
      <c r="H81" s="4">
        <v>50</v>
      </c>
      <c r="I81" s="4">
        <v>0</v>
      </c>
      <c r="J81" s="4">
        <v>121</v>
      </c>
      <c r="K81" s="4">
        <v>270</v>
      </c>
      <c r="L81" s="4">
        <v>0</v>
      </c>
      <c r="M81" s="5">
        <v>270</v>
      </c>
      <c r="N81" s="4">
        <v>6268.539824</v>
      </c>
      <c r="O81" s="4">
        <v>6268.539824</v>
      </c>
      <c r="P81" s="4">
        <v>3</v>
      </c>
      <c r="Q81" s="4">
        <v>4</v>
      </c>
      <c r="R81" s="4">
        <v>11</v>
      </c>
      <c r="S81" s="4">
        <v>18</v>
      </c>
      <c r="T81" s="4">
        <v>31</v>
      </c>
      <c r="U81" s="4">
        <v>0</v>
      </c>
      <c r="V81" s="4">
        <v>0</v>
      </c>
      <c r="W81" s="4">
        <v>120</v>
      </c>
      <c r="X81" s="4">
        <v>23.216814162</v>
      </c>
      <c r="Y81" s="4">
        <v>255.384956</v>
      </c>
      <c r="Z81" s="4">
        <v>24.54545452552</v>
      </c>
      <c r="AA81" s="4">
        <v>24.54545452552</v>
      </c>
      <c r="AB81" s="4">
        <v>13.545454533351</v>
      </c>
      <c r="AC81" s="4">
        <v>8.999999992168</v>
      </c>
      <c r="AD81" s="4">
        <v>4.545454541182</v>
      </c>
      <c r="AE81" s="4">
        <v>0</v>
      </c>
      <c r="AF81" s="4">
        <v>4.5</v>
      </c>
      <c r="AG81" s="4">
        <v>204</v>
      </c>
      <c r="AH81" s="4">
        <v>6</v>
      </c>
      <c r="AI81" s="4">
        <v>4736.230089</v>
      </c>
      <c r="AJ81" s="3" t="s">
        <v>1033</v>
      </c>
      <c r="AK81" s="4">
        <v>11</v>
      </c>
      <c r="AL81" s="4">
        <v>0</v>
      </c>
      <c r="AM81" s="6">
        <v>46094</v>
      </c>
      <c r="AN81" s="6">
        <v>46237</v>
      </c>
      <c r="AO81" s="3" t="s">
        <v>1034</v>
      </c>
      <c r="AP81" s="3" t="s">
        <v>937</v>
      </c>
      <c r="AQ81" s="4"/>
      <c r="AR81" s="4"/>
      <c r="AS81" s="2"/>
    </row>
    <row r="82" ht="16.5" hidden="1" spans="1:45">
      <c r="A82" s="3" t="s">
        <v>802</v>
      </c>
      <c r="B82" s="3" t="s">
        <v>1030</v>
      </c>
      <c r="C82" s="3" t="s">
        <v>935</v>
      </c>
      <c r="D82" s="3" t="s">
        <v>1031</v>
      </c>
      <c r="E82" s="3" t="s">
        <v>1032</v>
      </c>
      <c r="F82" s="4">
        <v>165</v>
      </c>
      <c r="G82" s="4">
        <v>31</v>
      </c>
      <c r="H82" s="4">
        <v>60</v>
      </c>
      <c r="I82" s="4">
        <v>0</v>
      </c>
      <c r="J82" s="4">
        <v>12</v>
      </c>
      <c r="K82" s="4">
        <v>268</v>
      </c>
      <c r="L82" s="4">
        <v>0</v>
      </c>
      <c r="M82" s="5">
        <v>268</v>
      </c>
      <c r="N82" s="4">
        <v>5171.925665</v>
      </c>
      <c r="O82" s="4">
        <v>5171.925665</v>
      </c>
      <c r="P82" s="4">
        <v>1</v>
      </c>
      <c r="Q82" s="4">
        <v>5</v>
      </c>
      <c r="R82" s="4">
        <v>17</v>
      </c>
      <c r="S82" s="4">
        <v>8</v>
      </c>
      <c r="T82" s="4">
        <v>12</v>
      </c>
      <c r="U82" s="4">
        <v>0</v>
      </c>
      <c r="V82" s="4">
        <v>0</v>
      </c>
      <c r="W82" s="4">
        <v>0</v>
      </c>
      <c r="X82" s="4">
        <v>19.298230092</v>
      </c>
      <c r="Y82" s="4">
        <v>328.069912</v>
      </c>
      <c r="Z82" s="4">
        <v>15.76470586245</v>
      </c>
      <c r="AA82" s="4">
        <v>15.76470586245</v>
      </c>
      <c r="AB82" s="4">
        <v>15.058823510764</v>
      </c>
      <c r="AC82" s="4">
        <v>9.705882339493</v>
      </c>
      <c r="AD82" s="4">
        <v>3.529411761478</v>
      </c>
      <c r="AE82" s="4">
        <v>0</v>
      </c>
      <c r="AF82" s="4">
        <v>4.5</v>
      </c>
      <c r="AG82" s="4">
        <v>166</v>
      </c>
      <c r="AH82" s="4">
        <v>6</v>
      </c>
      <c r="AI82" s="4">
        <v>3203.506195</v>
      </c>
      <c r="AJ82" s="3" t="s">
        <v>1033</v>
      </c>
      <c r="AK82" s="4">
        <v>17</v>
      </c>
      <c r="AL82" s="4">
        <v>0</v>
      </c>
      <c r="AM82" s="6">
        <v>46145</v>
      </c>
      <c r="AN82" s="6">
        <v>46236</v>
      </c>
      <c r="AO82" s="3" t="s">
        <v>1034</v>
      </c>
      <c r="AP82" s="3" t="s">
        <v>937</v>
      </c>
      <c r="AQ82" s="4"/>
      <c r="AR82" s="4"/>
      <c r="AS82" s="2"/>
    </row>
    <row r="83" ht="16.5" hidden="1" spans="1:45">
      <c r="A83" s="3" t="s">
        <v>590</v>
      </c>
      <c r="B83" s="3" t="s">
        <v>1030</v>
      </c>
      <c r="C83" s="3" t="s">
        <v>935</v>
      </c>
      <c r="D83" s="3" t="s">
        <v>1031</v>
      </c>
      <c r="E83" s="3" t="s">
        <v>1032</v>
      </c>
      <c r="F83" s="4">
        <v>235</v>
      </c>
      <c r="G83" s="4">
        <v>0</v>
      </c>
      <c r="H83" s="4">
        <v>0</v>
      </c>
      <c r="I83" s="4">
        <v>0</v>
      </c>
      <c r="J83" s="4">
        <v>30</v>
      </c>
      <c r="K83" s="4">
        <v>265</v>
      </c>
      <c r="L83" s="4">
        <v>200</v>
      </c>
      <c r="M83" s="5">
        <v>465</v>
      </c>
      <c r="N83" s="4">
        <v>6454.44658</v>
      </c>
      <c r="O83" s="4">
        <v>11325.727017</v>
      </c>
      <c r="P83" s="4">
        <v>24</v>
      </c>
      <c r="Q83" s="4">
        <v>49</v>
      </c>
      <c r="R83" s="4">
        <v>102</v>
      </c>
      <c r="S83" s="4">
        <v>38</v>
      </c>
      <c r="T83" s="4">
        <v>3</v>
      </c>
      <c r="U83" s="4">
        <v>0</v>
      </c>
      <c r="V83" s="4">
        <v>0</v>
      </c>
      <c r="W83" s="4">
        <v>10</v>
      </c>
      <c r="X83" s="4">
        <v>24.3564021881</v>
      </c>
      <c r="Y83" s="4">
        <v>2484.353023</v>
      </c>
      <c r="Z83" s="4">
        <v>4.558823529565</v>
      </c>
      <c r="AA83" s="4">
        <v>2.598039215942</v>
      </c>
      <c r="AB83" s="4">
        <v>2.303921568718</v>
      </c>
      <c r="AC83" s="4">
        <v>2.303921568718</v>
      </c>
      <c r="AD83" s="4">
        <v>0</v>
      </c>
      <c r="AE83" s="4">
        <v>0</v>
      </c>
      <c r="AF83" s="4">
        <v>4.5</v>
      </c>
      <c r="AG83" s="4">
        <v>0</v>
      </c>
      <c r="AH83" s="4">
        <v>6</v>
      </c>
      <c r="AI83" s="4">
        <v>0</v>
      </c>
      <c r="AJ83" s="3" t="s">
        <v>1036</v>
      </c>
      <c r="AK83" s="4">
        <v>102</v>
      </c>
      <c r="AL83" s="4">
        <v>0</v>
      </c>
      <c r="AM83" s="6">
        <v>46159</v>
      </c>
      <c r="AN83" s="6"/>
      <c r="AO83" s="3" t="s">
        <v>1034</v>
      </c>
      <c r="AP83" s="3" t="s">
        <v>937</v>
      </c>
      <c r="AQ83" s="4"/>
      <c r="AR83" s="4"/>
      <c r="AS83" s="2"/>
    </row>
    <row r="84" ht="16.5" spans="1:45">
      <c r="A84" s="3" t="s">
        <v>470</v>
      </c>
      <c r="B84" s="3" t="s">
        <v>1030</v>
      </c>
      <c r="C84" s="3" t="s">
        <v>935</v>
      </c>
      <c r="D84" s="3" t="s">
        <v>1031</v>
      </c>
      <c r="E84" s="3" t="s">
        <v>1032</v>
      </c>
      <c r="F84" s="4">
        <v>111</v>
      </c>
      <c r="G84" s="4">
        <v>0</v>
      </c>
      <c r="H84" s="4">
        <v>0</v>
      </c>
      <c r="I84" s="4">
        <v>2</v>
      </c>
      <c r="J84" s="4">
        <v>151</v>
      </c>
      <c r="K84" s="4">
        <v>264</v>
      </c>
      <c r="L84" s="4">
        <v>0</v>
      </c>
      <c r="M84" s="5">
        <v>264</v>
      </c>
      <c r="N84" s="4">
        <v>4998.010619</v>
      </c>
      <c r="O84" s="4">
        <v>4998.010619</v>
      </c>
      <c r="P84" s="4">
        <v>1</v>
      </c>
      <c r="Q84" s="4">
        <v>5</v>
      </c>
      <c r="R84" s="4">
        <v>9</v>
      </c>
      <c r="S84" s="4">
        <v>9</v>
      </c>
      <c r="T84" s="4">
        <v>14</v>
      </c>
      <c r="U84" s="4">
        <v>150</v>
      </c>
      <c r="V84" s="4">
        <v>150</v>
      </c>
      <c r="W84" s="4">
        <v>150</v>
      </c>
      <c r="X84" s="4">
        <v>18.931858407</v>
      </c>
      <c r="Y84" s="4">
        <v>170.386726</v>
      </c>
      <c r="Z84" s="4">
        <v>29.333333272686</v>
      </c>
      <c r="AA84" s="4">
        <v>29.333333272686</v>
      </c>
      <c r="AB84" s="4">
        <v>12.555555530775</v>
      </c>
      <c r="AC84" s="4">
        <v>12.3333333079</v>
      </c>
      <c r="AD84" s="4">
        <v>0</v>
      </c>
      <c r="AE84" s="4">
        <v>0.222222222874</v>
      </c>
      <c r="AF84" s="4">
        <v>4.5</v>
      </c>
      <c r="AG84" s="4">
        <v>210</v>
      </c>
      <c r="AH84" s="4">
        <v>6</v>
      </c>
      <c r="AI84" s="4">
        <v>3975.690265</v>
      </c>
      <c r="AJ84" s="3" t="s">
        <v>1033</v>
      </c>
      <c r="AK84" s="4">
        <v>9</v>
      </c>
      <c r="AL84" s="4">
        <v>0</v>
      </c>
      <c r="AM84" s="6">
        <v>46126</v>
      </c>
      <c r="AN84" s="6"/>
      <c r="AO84" s="3" t="s">
        <v>1034</v>
      </c>
      <c r="AP84" s="3" t="s">
        <v>937</v>
      </c>
      <c r="AQ84" s="4"/>
      <c r="AR84" s="4"/>
      <c r="AS84" s="2"/>
    </row>
    <row r="85" ht="16.5" spans="1:45">
      <c r="A85" s="3" t="s">
        <v>840</v>
      </c>
      <c r="B85" s="3" t="s">
        <v>1030</v>
      </c>
      <c r="C85" s="3" t="s">
        <v>935</v>
      </c>
      <c r="D85" s="3" t="s">
        <v>1031</v>
      </c>
      <c r="E85" s="3" t="s">
        <v>1032</v>
      </c>
      <c r="F85" s="4">
        <v>227</v>
      </c>
      <c r="G85" s="4">
        <v>0</v>
      </c>
      <c r="H85" s="4">
        <v>0</v>
      </c>
      <c r="I85" s="4">
        <v>0</v>
      </c>
      <c r="J85" s="4">
        <v>37</v>
      </c>
      <c r="K85" s="4">
        <v>264</v>
      </c>
      <c r="L85" s="4">
        <v>4</v>
      </c>
      <c r="M85" s="5">
        <v>268</v>
      </c>
      <c r="N85" s="4">
        <v>5025.345133</v>
      </c>
      <c r="O85" s="4">
        <v>5101.486726</v>
      </c>
      <c r="P85" s="4">
        <v>3</v>
      </c>
      <c r="Q85" s="4">
        <v>3</v>
      </c>
      <c r="R85" s="4">
        <v>14</v>
      </c>
      <c r="S85" s="4">
        <v>5</v>
      </c>
      <c r="T85" s="4">
        <v>16</v>
      </c>
      <c r="U85" s="4">
        <v>0</v>
      </c>
      <c r="V85" s="4">
        <v>0</v>
      </c>
      <c r="W85" s="4">
        <v>296</v>
      </c>
      <c r="X85" s="4">
        <v>19.035398232</v>
      </c>
      <c r="Y85" s="4">
        <v>266.495575</v>
      </c>
      <c r="Z85" s="4">
        <v>19.142857160011</v>
      </c>
      <c r="AA85" s="4">
        <v>18.85714287376</v>
      </c>
      <c r="AB85" s="4">
        <v>16.214285726883</v>
      </c>
      <c r="AC85" s="4">
        <v>16.214285730635</v>
      </c>
      <c r="AD85" s="4">
        <v>0</v>
      </c>
      <c r="AE85" s="4">
        <v>0</v>
      </c>
      <c r="AF85" s="4">
        <v>4.5</v>
      </c>
      <c r="AG85" s="4">
        <v>180</v>
      </c>
      <c r="AH85" s="4">
        <v>6</v>
      </c>
      <c r="AI85" s="4">
        <v>3426.371682</v>
      </c>
      <c r="AJ85" s="3" t="s">
        <v>1033</v>
      </c>
      <c r="AK85" s="4">
        <v>14</v>
      </c>
      <c r="AL85" s="4">
        <v>0</v>
      </c>
      <c r="AM85" s="6">
        <v>46137</v>
      </c>
      <c r="AN85" s="6"/>
      <c r="AO85" s="3" t="s">
        <v>1034</v>
      </c>
      <c r="AP85" s="3" t="s">
        <v>937</v>
      </c>
      <c r="AQ85" s="4"/>
      <c r="AR85" s="4"/>
      <c r="AS85" s="2"/>
    </row>
    <row r="86" ht="16.5" spans="1:45">
      <c r="A86" s="3" t="s">
        <v>414</v>
      </c>
      <c r="B86" s="3" t="s">
        <v>1030</v>
      </c>
      <c r="C86" s="3" t="s">
        <v>935</v>
      </c>
      <c r="D86" s="3" t="s">
        <v>1031</v>
      </c>
      <c r="E86" s="3" t="s">
        <v>1032</v>
      </c>
      <c r="F86" s="4">
        <v>69</v>
      </c>
      <c r="G86" s="4">
        <v>60</v>
      </c>
      <c r="H86" s="4">
        <v>0</v>
      </c>
      <c r="I86" s="4">
        <v>0</v>
      </c>
      <c r="J86" s="4">
        <v>130</v>
      </c>
      <c r="K86" s="4">
        <v>259</v>
      </c>
      <c r="L86" s="4">
        <v>0</v>
      </c>
      <c r="M86" s="5">
        <v>259</v>
      </c>
      <c r="N86" s="4">
        <v>6035.846018</v>
      </c>
      <c r="O86" s="4">
        <v>6035.846018</v>
      </c>
      <c r="P86" s="4">
        <v>5</v>
      </c>
      <c r="Q86" s="4">
        <v>14</v>
      </c>
      <c r="R86" s="4">
        <v>30</v>
      </c>
      <c r="S86" s="4">
        <v>10</v>
      </c>
      <c r="T86" s="4">
        <v>0</v>
      </c>
      <c r="U86" s="4">
        <v>0</v>
      </c>
      <c r="V86" s="4">
        <v>0</v>
      </c>
      <c r="W86" s="4">
        <v>0</v>
      </c>
      <c r="X86" s="4">
        <v>23.304424779</v>
      </c>
      <c r="Y86" s="4">
        <v>699.132743</v>
      </c>
      <c r="Z86" s="4">
        <v>8.633333338244</v>
      </c>
      <c r="AA86" s="4">
        <v>8.633333338244</v>
      </c>
      <c r="AB86" s="4">
        <v>4.300000003003</v>
      </c>
      <c r="AC86" s="4">
        <v>2.300000001573</v>
      </c>
      <c r="AD86" s="4">
        <v>0</v>
      </c>
      <c r="AE86" s="4">
        <v>0</v>
      </c>
      <c r="AF86" s="4">
        <v>4.5</v>
      </c>
      <c r="AG86" s="4">
        <v>79</v>
      </c>
      <c r="AH86" s="4">
        <v>6</v>
      </c>
      <c r="AI86" s="4">
        <v>1841.049558</v>
      </c>
      <c r="AJ86" s="3" t="s">
        <v>1033</v>
      </c>
      <c r="AK86" s="4">
        <v>30</v>
      </c>
      <c r="AL86" s="4">
        <v>0</v>
      </c>
      <c r="AM86" s="6">
        <v>46126</v>
      </c>
      <c r="AN86" s="6"/>
      <c r="AO86" s="3" t="s">
        <v>1034</v>
      </c>
      <c r="AP86" s="3" t="s">
        <v>937</v>
      </c>
      <c r="AQ86" s="4"/>
      <c r="AR86" s="4"/>
      <c r="AS86" s="2"/>
    </row>
    <row r="87" ht="16.5" hidden="1" spans="1:45">
      <c r="A87" s="3" t="s">
        <v>490</v>
      </c>
      <c r="B87" s="3" t="s">
        <v>1030</v>
      </c>
      <c r="C87" s="3" t="s">
        <v>935</v>
      </c>
      <c r="D87" s="3" t="s">
        <v>1031</v>
      </c>
      <c r="E87" s="3" t="s">
        <v>1032</v>
      </c>
      <c r="F87" s="4">
        <v>175</v>
      </c>
      <c r="G87" s="4">
        <v>0</v>
      </c>
      <c r="H87" s="4">
        <v>0</v>
      </c>
      <c r="I87" s="4">
        <v>0</v>
      </c>
      <c r="J87" s="4">
        <v>81</v>
      </c>
      <c r="K87" s="4">
        <v>256</v>
      </c>
      <c r="L87" s="4">
        <v>0</v>
      </c>
      <c r="M87" s="5">
        <v>256</v>
      </c>
      <c r="N87" s="4">
        <v>6620.106149</v>
      </c>
      <c r="O87" s="4">
        <v>6620.106149</v>
      </c>
      <c r="P87" s="4">
        <v>2</v>
      </c>
      <c r="Q87" s="4">
        <v>8</v>
      </c>
      <c r="R87" s="4">
        <v>13</v>
      </c>
      <c r="S87" s="4">
        <v>9</v>
      </c>
      <c r="T87" s="4">
        <v>9</v>
      </c>
      <c r="U87" s="4">
        <v>0</v>
      </c>
      <c r="V87" s="4">
        <v>0</v>
      </c>
      <c r="W87" s="4">
        <v>0</v>
      </c>
      <c r="X87" s="4">
        <v>25.8597896447</v>
      </c>
      <c r="Y87" s="4">
        <v>336.177265</v>
      </c>
      <c r="Z87" s="4">
        <v>19.692307714502</v>
      </c>
      <c r="AA87" s="4">
        <v>19.692307714502</v>
      </c>
      <c r="AB87" s="4">
        <v>13.461538477326</v>
      </c>
      <c r="AC87" s="4">
        <v>13.461538477326</v>
      </c>
      <c r="AD87" s="4">
        <v>0</v>
      </c>
      <c r="AE87" s="4">
        <v>0</v>
      </c>
      <c r="AF87" s="4">
        <v>4.5</v>
      </c>
      <c r="AG87" s="4">
        <v>178</v>
      </c>
      <c r="AH87" s="4">
        <v>6</v>
      </c>
      <c r="AI87" s="4">
        <v>4603.042557</v>
      </c>
      <c r="AJ87" s="3" t="s">
        <v>1036</v>
      </c>
      <c r="AK87" s="4">
        <v>13</v>
      </c>
      <c r="AL87" s="4">
        <v>0</v>
      </c>
      <c r="AM87" s="6">
        <v>46110</v>
      </c>
      <c r="AN87" s="6"/>
      <c r="AO87" s="3" t="s">
        <v>1034</v>
      </c>
      <c r="AP87" s="3" t="s">
        <v>937</v>
      </c>
      <c r="AQ87" s="4"/>
      <c r="AR87" s="4"/>
      <c r="AS87" s="2"/>
    </row>
    <row r="88" ht="16.5" hidden="1" spans="1:45">
      <c r="A88" s="3" t="s">
        <v>735</v>
      </c>
      <c r="B88" s="3" t="s">
        <v>1030</v>
      </c>
      <c r="C88" s="3" t="s">
        <v>935</v>
      </c>
      <c r="D88" s="3" t="s">
        <v>1031</v>
      </c>
      <c r="E88" s="3" t="s">
        <v>1032</v>
      </c>
      <c r="F88" s="4">
        <v>59</v>
      </c>
      <c r="G88" s="4">
        <v>0</v>
      </c>
      <c r="H88" s="4">
        <v>0</v>
      </c>
      <c r="I88" s="4">
        <v>0</v>
      </c>
      <c r="J88" s="4">
        <v>197</v>
      </c>
      <c r="K88" s="4">
        <v>256</v>
      </c>
      <c r="L88" s="4">
        <v>140</v>
      </c>
      <c r="M88" s="5">
        <v>396</v>
      </c>
      <c r="N88" s="4">
        <v>6892.857761</v>
      </c>
      <c r="O88" s="4">
        <v>10662.389349</v>
      </c>
      <c r="P88" s="4">
        <v>5</v>
      </c>
      <c r="Q88" s="4">
        <v>14</v>
      </c>
      <c r="R88" s="4">
        <v>42</v>
      </c>
      <c r="S88" s="4">
        <v>24</v>
      </c>
      <c r="T88" s="4">
        <v>8</v>
      </c>
      <c r="U88" s="4">
        <v>0</v>
      </c>
      <c r="V88" s="4">
        <v>0</v>
      </c>
      <c r="W88" s="4">
        <v>0</v>
      </c>
      <c r="X88" s="4">
        <v>26.9252256278</v>
      </c>
      <c r="Y88" s="4">
        <v>1130.859476</v>
      </c>
      <c r="Z88" s="4">
        <v>9.428571431982</v>
      </c>
      <c r="AA88" s="4">
        <v>6.095238097469</v>
      </c>
      <c r="AB88" s="4">
        <v>1.404761905182</v>
      </c>
      <c r="AC88" s="4">
        <v>1.404761905182</v>
      </c>
      <c r="AD88" s="4">
        <v>0</v>
      </c>
      <c r="AE88" s="4">
        <v>0</v>
      </c>
      <c r="AF88" s="4">
        <v>4.5</v>
      </c>
      <c r="AG88" s="4">
        <v>4</v>
      </c>
      <c r="AH88" s="4">
        <v>6</v>
      </c>
      <c r="AI88" s="4">
        <v>107.700903</v>
      </c>
      <c r="AJ88" s="3" t="s">
        <v>1036</v>
      </c>
      <c r="AK88" s="4">
        <v>42</v>
      </c>
      <c r="AL88" s="4">
        <v>0</v>
      </c>
      <c r="AM88" s="6">
        <v>46164</v>
      </c>
      <c r="AN88" s="6"/>
      <c r="AO88" s="3" t="s">
        <v>1034</v>
      </c>
      <c r="AP88" s="3" t="s">
        <v>937</v>
      </c>
      <c r="AQ88" s="4"/>
      <c r="AR88" s="4"/>
      <c r="AS88" s="2"/>
    </row>
    <row r="89" ht="16.5" hidden="1" spans="1:45">
      <c r="A89" s="3" t="s">
        <v>386</v>
      </c>
      <c r="B89" s="3" t="s">
        <v>1030</v>
      </c>
      <c r="C89" s="3" t="s">
        <v>935</v>
      </c>
      <c r="D89" s="3" t="s">
        <v>1031</v>
      </c>
      <c r="E89" s="3" t="s">
        <v>1032</v>
      </c>
      <c r="F89" s="4">
        <v>62</v>
      </c>
      <c r="G89" s="4">
        <v>0</v>
      </c>
      <c r="H89" s="4">
        <v>0</v>
      </c>
      <c r="I89" s="4">
        <v>120</v>
      </c>
      <c r="J89" s="4">
        <v>73</v>
      </c>
      <c r="K89" s="4">
        <v>255</v>
      </c>
      <c r="L89" s="4">
        <v>0</v>
      </c>
      <c r="M89" s="5">
        <v>255</v>
      </c>
      <c r="N89" s="4">
        <v>3826.353982</v>
      </c>
      <c r="O89" s="4">
        <v>3826.353982</v>
      </c>
      <c r="P89" s="4">
        <v>4</v>
      </c>
      <c r="Q89" s="4">
        <v>13</v>
      </c>
      <c r="R89" s="4">
        <v>28</v>
      </c>
      <c r="S89" s="4">
        <v>19</v>
      </c>
      <c r="T89" s="4">
        <v>0</v>
      </c>
      <c r="U89" s="4">
        <v>0</v>
      </c>
      <c r="V89" s="4">
        <v>0</v>
      </c>
      <c r="W89" s="4">
        <v>0</v>
      </c>
      <c r="X89" s="4">
        <v>15.005309733</v>
      </c>
      <c r="Y89" s="4">
        <v>420.148673</v>
      </c>
      <c r="Z89" s="4">
        <v>9.107142847027</v>
      </c>
      <c r="AA89" s="4">
        <v>9.107142847027</v>
      </c>
      <c r="AB89" s="4">
        <v>6.499999991669</v>
      </c>
      <c r="AC89" s="4">
        <v>2.214285710715</v>
      </c>
      <c r="AD89" s="4">
        <v>0</v>
      </c>
      <c r="AE89" s="4">
        <v>4.285714280954</v>
      </c>
      <c r="AF89" s="4">
        <v>4.5</v>
      </c>
      <c r="AG89" s="4">
        <v>87</v>
      </c>
      <c r="AH89" s="4">
        <v>6</v>
      </c>
      <c r="AI89" s="4">
        <v>1305.461947</v>
      </c>
      <c r="AJ89" s="3" t="s">
        <v>1033</v>
      </c>
      <c r="AK89" s="4">
        <v>28</v>
      </c>
      <c r="AL89" s="4">
        <v>0</v>
      </c>
      <c r="AM89" s="6">
        <v>46178</v>
      </c>
      <c r="AN89" s="6"/>
      <c r="AO89" s="3" t="s">
        <v>1034</v>
      </c>
      <c r="AP89" s="3" t="s">
        <v>937</v>
      </c>
      <c r="AQ89" s="4"/>
      <c r="AR89" s="4"/>
      <c r="AS89" s="2"/>
    </row>
    <row r="90" ht="16.5" hidden="1" spans="1:45">
      <c r="A90" s="3" t="s">
        <v>282</v>
      </c>
      <c r="B90" s="3" t="s">
        <v>1030</v>
      </c>
      <c r="C90" s="3" t="s">
        <v>935</v>
      </c>
      <c r="D90" s="3" t="s">
        <v>1031</v>
      </c>
      <c r="E90" s="3" t="s">
        <v>1032</v>
      </c>
      <c r="F90" s="4">
        <v>12</v>
      </c>
      <c r="G90" s="4">
        <v>144</v>
      </c>
      <c r="H90" s="4">
        <v>0</v>
      </c>
      <c r="I90" s="4">
        <v>4</v>
      </c>
      <c r="J90" s="4">
        <v>94</v>
      </c>
      <c r="K90" s="4">
        <v>254</v>
      </c>
      <c r="L90" s="4">
        <v>0</v>
      </c>
      <c r="M90" s="5">
        <v>254</v>
      </c>
      <c r="N90" s="4">
        <v>4691.357521</v>
      </c>
      <c r="O90" s="4">
        <v>4691.357521</v>
      </c>
      <c r="P90" s="4">
        <v>1</v>
      </c>
      <c r="Q90" s="4">
        <v>4</v>
      </c>
      <c r="R90" s="4">
        <v>10</v>
      </c>
      <c r="S90" s="4">
        <v>27</v>
      </c>
      <c r="T90" s="4">
        <v>47</v>
      </c>
      <c r="U90" s="4">
        <v>0</v>
      </c>
      <c r="V90" s="4">
        <v>0</v>
      </c>
      <c r="W90" s="4">
        <v>100</v>
      </c>
      <c r="X90" s="4">
        <v>18.469911501</v>
      </c>
      <c r="Y90" s="4">
        <v>184.699115</v>
      </c>
      <c r="Z90" s="4">
        <v>25.4</v>
      </c>
      <c r="AA90" s="4">
        <v>25.4</v>
      </c>
      <c r="AB90" s="4">
        <v>16</v>
      </c>
      <c r="AC90" s="4">
        <v>1.2</v>
      </c>
      <c r="AD90" s="4">
        <v>0</v>
      </c>
      <c r="AE90" s="4">
        <v>0.4</v>
      </c>
      <c r="AF90" s="4">
        <v>4.5</v>
      </c>
      <c r="AG90" s="4">
        <v>194</v>
      </c>
      <c r="AH90" s="4">
        <v>6</v>
      </c>
      <c r="AI90" s="4">
        <v>3583.162831</v>
      </c>
      <c r="AJ90" s="3" t="s">
        <v>1033</v>
      </c>
      <c r="AK90" s="4">
        <v>10</v>
      </c>
      <c r="AL90" s="4">
        <v>0</v>
      </c>
      <c r="AM90" s="6">
        <v>46101</v>
      </c>
      <c r="AN90" s="6"/>
      <c r="AO90" s="3" t="s">
        <v>1034</v>
      </c>
      <c r="AP90" s="3" t="s">
        <v>937</v>
      </c>
      <c r="AQ90" s="4"/>
      <c r="AR90" s="4"/>
      <c r="AS90" s="2"/>
    </row>
    <row r="91" ht="16.5" spans="1:45">
      <c r="A91" s="3" t="s">
        <v>207</v>
      </c>
      <c r="B91" s="3" t="s">
        <v>1030</v>
      </c>
      <c r="C91" s="3" t="s">
        <v>935</v>
      </c>
      <c r="D91" s="3" t="s">
        <v>1031</v>
      </c>
      <c r="E91" s="3" t="s">
        <v>1032</v>
      </c>
      <c r="F91" s="4">
        <v>66</v>
      </c>
      <c r="G91" s="4">
        <v>57</v>
      </c>
      <c r="H91" s="4">
        <v>0</v>
      </c>
      <c r="I91" s="4">
        <v>0</v>
      </c>
      <c r="J91" s="4">
        <v>124</v>
      </c>
      <c r="K91" s="4">
        <v>247</v>
      </c>
      <c r="L91" s="4">
        <v>40</v>
      </c>
      <c r="M91" s="5">
        <v>287</v>
      </c>
      <c r="N91" s="4">
        <v>7910.338939</v>
      </c>
      <c r="O91" s="4">
        <v>9191.365488</v>
      </c>
      <c r="P91" s="4">
        <v>1</v>
      </c>
      <c r="Q91" s="4">
        <v>6</v>
      </c>
      <c r="R91" s="4">
        <v>8</v>
      </c>
      <c r="S91" s="4">
        <v>21</v>
      </c>
      <c r="T91" s="4">
        <v>10</v>
      </c>
      <c r="U91" s="4">
        <v>0</v>
      </c>
      <c r="V91" s="4">
        <v>0</v>
      </c>
      <c r="W91" s="4">
        <v>180</v>
      </c>
      <c r="X91" s="4">
        <v>32.02566372</v>
      </c>
      <c r="Y91" s="4">
        <v>256.20531</v>
      </c>
      <c r="Z91" s="4">
        <v>35.874999967799</v>
      </c>
      <c r="AA91" s="4">
        <v>30.874999971702</v>
      </c>
      <c r="AB91" s="4">
        <v>15.374999987314</v>
      </c>
      <c r="AC91" s="4">
        <v>8.249999994145</v>
      </c>
      <c r="AD91" s="4">
        <v>0</v>
      </c>
      <c r="AE91" s="4">
        <v>0</v>
      </c>
      <c r="AF91" s="4">
        <v>4.5</v>
      </c>
      <c r="AG91" s="4">
        <v>199</v>
      </c>
      <c r="AH91" s="4">
        <v>6</v>
      </c>
      <c r="AI91" s="4">
        <v>6373.10708</v>
      </c>
      <c r="AJ91" s="3" t="s">
        <v>1033</v>
      </c>
      <c r="AK91" s="4">
        <v>8</v>
      </c>
      <c r="AL91" s="4">
        <v>0</v>
      </c>
      <c r="AM91" s="6">
        <v>46126</v>
      </c>
      <c r="AN91" s="6"/>
      <c r="AO91" s="3" t="s">
        <v>1034</v>
      </c>
      <c r="AP91" s="3" t="s">
        <v>937</v>
      </c>
      <c r="AQ91" s="4"/>
      <c r="AR91" s="4"/>
      <c r="AS91" s="2"/>
    </row>
    <row r="92" ht="16.5" spans="1:45">
      <c r="A92" s="3" t="s">
        <v>750</v>
      </c>
      <c r="B92" s="3" t="s">
        <v>1030</v>
      </c>
      <c r="C92" s="3" t="s">
        <v>935</v>
      </c>
      <c r="D92" s="3" t="s">
        <v>1031</v>
      </c>
      <c r="E92" s="3" t="s">
        <v>1032</v>
      </c>
      <c r="F92" s="4">
        <v>64</v>
      </c>
      <c r="G92" s="4">
        <v>0</v>
      </c>
      <c r="H92" s="4">
        <v>0</v>
      </c>
      <c r="I92" s="4">
        <v>20</v>
      </c>
      <c r="J92" s="4">
        <v>163</v>
      </c>
      <c r="K92" s="4">
        <v>247</v>
      </c>
      <c r="L92" s="4">
        <v>0</v>
      </c>
      <c r="M92" s="5">
        <v>247</v>
      </c>
      <c r="N92" s="4">
        <v>4307.397517</v>
      </c>
      <c r="O92" s="4">
        <v>4307.397517</v>
      </c>
      <c r="P92" s="4">
        <v>0</v>
      </c>
      <c r="Q92" s="4">
        <v>0</v>
      </c>
      <c r="R92" s="4">
        <v>5</v>
      </c>
      <c r="S92" s="4">
        <v>17</v>
      </c>
      <c r="T92" s="4">
        <v>10</v>
      </c>
      <c r="U92" s="4">
        <v>0</v>
      </c>
      <c r="V92" s="4">
        <v>0</v>
      </c>
      <c r="W92" s="4">
        <v>179</v>
      </c>
      <c r="X92" s="4">
        <v>17.4388563459</v>
      </c>
      <c r="Y92" s="4">
        <v>87.194282</v>
      </c>
      <c r="Z92" s="4">
        <v>49.399999841732</v>
      </c>
      <c r="AA92" s="4">
        <v>49.399999841732</v>
      </c>
      <c r="AB92" s="4">
        <v>16.799999947244</v>
      </c>
      <c r="AC92" s="4">
        <v>12.799999958712</v>
      </c>
      <c r="AD92" s="4">
        <v>0</v>
      </c>
      <c r="AE92" s="4">
        <v>3.999999988531</v>
      </c>
      <c r="AF92" s="4">
        <v>4.5</v>
      </c>
      <c r="AG92" s="4">
        <v>217</v>
      </c>
      <c r="AH92" s="4">
        <v>6</v>
      </c>
      <c r="AI92" s="4">
        <v>3784.231827</v>
      </c>
      <c r="AJ92" s="3" t="s">
        <v>1036</v>
      </c>
      <c r="AK92" s="4">
        <v>5</v>
      </c>
      <c r="AL92" s="4">
        <v>0</v>
      </c>
      <c r="AM92" s="6">
        <v>46124</v>
      </c>
      <c r="AN92" s="6"/>
      <c r="AO92" s="3" t="s">
        <v>1034</v>
      </c>
      <c r="AP92" s="3" t="s">
        <v>937</v>
      </c>
      <c r="AQ92" s="4"/>
      <c r="AR92" s="4"/>
      <c r="AS92" s="2"/>
    </row>
    <row r="93" ht="16.5" spans="1:45">
      <c r="A93" s="3" t="s">
        <v>298</v>
      </c>
      <c r="B93" s="3" t="s">
        <v>1030</v>
      </c>
      <c r="C93" s="3" t="s">
        <v>935</v>
      </c>
      <c r="D93" s="3" t="s">
        <v>1031</v>
      </c>
      <c r="E93" s="3" t="s">
        <v>1032</v>
      </c>
      <c r="F93" s="4">
        <v>55</v>
      </c>
      <c r="G93" s="4">
        <v>0</v>
      </c>
      <c r="H93" s="4">
        <v>0</v>
      </c>
      <c r="I93" s="4">
        <v>2</v>
      </c>
      <c r="J93" s="4">
        <v>190</v>
      </c>
      <c r="K93" s="4">
        <v>247</v>
      </c>
      <c r="L93" s="4">
        <v>0</v>
      </c>
      <c r="M93" s="5">
        <v>247</v>
      </c>
      <c r="N93" s="4">
        <v>4672.234514</v>
      </c>
      <c r="O93" s="4">
        <v>4672.234514</v>
      </c>
      <c r="P93" s="4">
        <v>1</v>
      </c>
      <c r="Q93" s="4">
        <v>6</v>
      </c>
      <c r="R93" s="4">
        <v>9</v>
      </c>
      <c r="S93" s="4">
        <v>18</v>
      </c>
      <c r="T93" s="4">
        <v>20</v>
      </c>
      <c r="U93" s="4">
        <v>0</v>
      </c>
      <c r="V93" s="4">
        <v>0</v>
      </c>
      <c r="W93" s="4">
        <v>299</v>
      </c>
      <c r="X93" s="4">
        <v>18.915929208</v>
      </c>
      <c r="Y93" s="4">
        <v>170.243363</v>
      </c>
      <c r="Z93" s="4">
        <v>27.444444421601</v>
      </c>
      <c r="AA93" s="4">
        <v>27.444444421601</v>
      </c>
      <c r="AB93" s="4">
        <v>6.333333323543</v>
      </c>
      <c r="AC93" s="4">
        <v>6.111111103931</v>
      </c>
      <c r="AD93" s="4">
        <v>0</v>
      </c>
      <c r="AE93" s="4">
        <v>0.222222219611</v>
      </c>
      <c r="AF93" s="4">
        <v>4.5</v>
      </c>
      <c r="AG93" s="4">
        <v>193</v>
      </c>
      <c r="AH93" s="4">
        <v>6</v>
      </c>
      <c r="AI93" s="4">
        <v>3650.774337</v>
      </c>
      <c r="AJ93" s="3" t="s">
        <v>1033</v>
      </c>
      <c r="AK93" s="4">
        <v>9</v>
      </c>
      <c r="AL93" s="4">
        <v>0</v>
      </c>
      <c r="AM93" s="6">
        <v>46126</v>
      </c>
      <c r="AN93" s="6"/>
      <c r="AO93" s="3" t="s">
        <v>1034</v>
      </c>
      <c r="AP93" s="3" t="s">
        <v>937</v>
      </c>
      <c r="AQ93" s="4"/>
      <c r="AR93" s="4"/>
      <c r="AS93" s="2"/>
    </row>
    <row r="94" ht="16.5" hidden="1" spans="1:45">
      <c r="A94" s="3" t="s">
        <v>830</v>
      </c>
      <c r="B94" s="3" t="s">
        <v>1030</v>
      </c>
      <c r="C94" s="3" t="s">
        <v>935</v>
      </c>
      <c r="D94" s="3" t="s">
        <v>1031</v>
      </c>
      <c r="E94" s="3" t="s">
        <v>1032</v>
      </c>
      <c r="F94" s="4">
        <v>113</v>
      </c>
      <c r="G94" s="4">
        <v>0</v>
      </c>
      <c r="H94" s="4">
        <v>108</v>
      </c>
      <c r="I94" s="4">
        <v>0</v>
      </c>
      <c r="J94" s="4">
        <v>25</v>
      </c>
      <c r="K94" s="4">
        <v>246</v>
      </c>
      <c r="L94" s="4">
        <v>0</v>
      </c>
      <c r="M94" s="5">
        <v>246</v>
      </c>
      <c r="N94" s="4">
        <v>5817.138052</v>
      </c>
      <c r="O94" s="4">
        <v>5817.138052</v>
      </c>
      <c r="P94" s="4">
        <v>0</v>
      </c>
      <c r="Q94" s="4">
        <v>3</v>
      </c>
      <c r="R94" s="4">
        <v>5</v>
      </c>
      <c r="S94" s="4">
        <v>3</v>
      </c>
      <c r="T94" s="4">
        <v>10</v>
      </c>
      <c r="U94" s="4">
        <v>0</v>
      </c>
      <c r="V94" s="4">
        <v>0</v>
      </c>
      <c r="W94" s="4">
        <v>0</v>
      </c>
      <c r="X94" s="4">
        <v>23.646902652</v>
      </c>
      <c r="Y94" s="4">
        <v>118.234513</v>
      </c>
      <c r="Z94" s="4">
        <v>49.200000104876</v>
      </c>
      <c r="AA94" s="4">
        <v>49.200000104876</v>
      </c>
      <c r="AB94" s="4">
        <v>44.200000096418</v>
      </c>
      <c r="AC94" s="4">
        <v>22.600000052438</v>
      </c>
      <c r="AD94" s="4">
        <v>21.60000004398</v>
      </c>
      <c r="AE94" s="4">
        <v>0</v>
      </c>
      <c r="AF94" s="4">
        <v>4.5</v>
      </c>
      <c r="AG94" s="4">
        <v>216</v>
      </c>
      <c r="AH94" s="4">
        <v>6</v>
      </c>
      <c r="AI94" s="4">
        <v>5107.730973</v>
      </c>
      <c r="AJ94" s="3" t="s">
        <v>1033</v>
      </c>
      <c r="AK94" s="4">
        <v>5</v>
      </c>
      <c r="AL94" s="4">
        <v>0</v>
      </c>
      <c r="AM94" s="6">
        <v>46163</v>
      </c>
      <c r="AN94" s="6">
        <v>46236</v>
      </c>
      <c r="AO94" s="3" t="s">
        <v>1034</v>
      </c>
      <c r="AP94" s="3" t="s">
        <v>937</v>
      </c>
      <c r="AQ94" s="4"/>
      <c r="AR94" s="4"/>
      <c r="AS94" s="2"/>
    </row>
    <row r="95" ht="16.5" hidden="1" spans="1:45">
      <c r="A95" s="3" t="s">
        <v>790</v>
      </c>
      <c r="B95" s="3" t="s">
        <v>1030</v>
      </c>
      <c r="C95" s="3" t="s">
        <v>935</v>
      </c>
      <c r="D95" s="3" t="s">
        <v>1031</v>
      </c>
      <c r="E95" s="3" t="s">
        <v>1032</v>
      </c>
      <c r="F95" s="4">
        <v>225</v>
      </c>
      <c r="G95" s="4">
        <v>0</v>
      </c>
      <c r="H95" s="4">
        <v>0</v>
      </c>
      <c r="I95" s="4">
        <v>0</v>
      </c>
      <c r="J95" s="4">
        <v>17</v>
      </c>
      <c r="K95" s="4">
        <v>242</v>
      </c>
      <c r="L95" s="4">
        <v>0</v>
      </c>
      <c r="M95" s="5">
        <v>242</v>
      </c>
      <c r="N95" s="4">
        <v>5231.054868</v>
      </c>
      <c r="O95" s="4">
        <v>5231.054868</v>
      </c>
      <c r="P95" s="4">
        <v>3</v>
      </c>
      <c r="Q95" s="4">
        <v>6</v>
      </c>
      <c r="R95" s="4">
        <v>16</v>
      </c>
      <c r="S95" s="4">
        <v>11</v>
      </c>
      <c r="T95" s="4">
        <v>12</v>
      </c>
      <c r="U95" s="4">
        <v>0</v>
      </c>
      <c r="V95" s="4">
        <v>0</v>
      </c>
      <c r="W95" s="4">
        <v>0</v>
      </c>
      <c r="X95" s="4">
        <v>21.615929208</v>
      </c>
      <c r="Y95" s="4">
        <v>345.854867</v>
      </c>
      <c r="Z95" s="4">
        <v>15.125000013372</v>
      </c>
      <c r="AA95" s="4">
        <v>15.125000013372</v>
      </c>
      <c r="AB95" s="4">
        <v>14.062500011023</v>
      </c>
      <c r="AC95" s="4">
        <v>14.062500013914</v>
      </c>
      <c r="AD95" s="4">
        <v>0</v>
      </c>
      <c r="AE95" s="4">
        <v>0</v>
      </c>
      <c r="AF95" s="4">
        <v>4.5</v>
      </c>
      <c r="AG95" s="4">
        <v>146</v>
      </c>
      <c r="AH95" s="4">
        <v>6</v>
      </c>
      <c r="AI95" s="4">
        <v>3155.925664</v>
      </c>
      <c r="AJ95" s="3" t="s">
        <v>1033</v>
      </c>
      <c r="AK95" s="4">
        <v>16</v>
      </c>
      <c r="AL95" s="4">
        <v>0</v>
      </c>
      <c r="AM95" s="6">
        <v>46102</v>
      </c>
      <c r="AN95" s="6"/>
      <c r="AO95" s="3" t="s">
        <v>1034</v>
      </c>
      <c r="AP95" s="3" t="s">
        <v>937</v>
      </c>
      <c r="AQ95" s="4"/>
      <c r="AR95" s="4"/>
      <c r="AS95" s="2"/>
    </row>
    <row r="96" ht="16.5" spans="1:45">
      <c r="A96" s="3" t="s">
        <v>326</v>
      </c>
      <c r="B96" s="3" t="s">
        <v>1030</v>
      </c>
      <c r="C96" s="3" t="s">
        <v>935</v>
      </c>
      <c r="D96" s="3" t="s">
        <v>1031</v>
      </c>
      <c r="E96" s="3" t="s">
        <v>1032</v>
      </c>
      <c r="F96" s="4">
        <v>138</v>
      </c>
      <c r="G96" s="4">
        <v>0</v>
      </c>
      <c r="H96" s="4">
        <v>0</v>
      </c>
      <c r="I96" s="4">
        <v>2</v>
      </c>
      <c r="J96" s="4">
        <v>101</v>
      </c>
      <c r="K96" s="4">
        <v>241</v>
      </c>
      <c r="L96" s="4">
        <v>0</v>
      </c>
      <c r="M96" s="5">
        <v>241</v>
      </c>
      <c r="N96" s="4">
        <v>5364.915928</v>
      </c>
      <c r="O96" s="4">
        <v>5364.915928</v>
      </c>
      <c r="P96" s="4">
        <v>5</v>
      </c>
      <c r="Q96" s="4">
        <v>11</v>
      </c>
      <c r="R96" s="4">
        <v>21</v>
      </c>
      <c r="S96" s="4">
        <v>19</v>
      </c>
      <c r="T96" s="4">
        <v>21</v>
      </c>
      <c r="U96" s="4">
        <v>0</v>
      </c>
      <c r="V96" s="4">
        <v>0</v>
      </c>
      <c r="W96" s="4">
        <v>0</v>
      </c>
      <c r="X96" s="4">
        <v>22.261061943</v>
      </c>
      <c r="Y96" s="4">
        <v>467.482301</v>
      </c>
      <c r="Z96" s="4">
        <v>11.476190470791</v>
      </c>
      <c r="AA96" s="4">
        <v>11.476190470791</v>
      </c>
      <c r="AB96" s="4">
        <v>6.666666663814</v>
      </c>
      <c r="AC96" s="4">
        <v>6.571428568372</v>
      </c>
      <c r="AD96" s="4">
        <v>0</v>
      </c>
      <c r="AE96" s="4">
        <v>0.095238095441</v>
      </c>
      <c r="AF96" s="4">
        <v>4.5</v>
      </c>
      <c r="AG96" s="4">
        <v>115</v>
      </c>
      <c r="AH96" s="4">
        <v>6</v>
      </c>
      <c r="AI96" s="4">
        <v>2560.022123</v>
      </c>
      <c r="AJ96" s="3" t="s">
        <v>1033</v>
      </c>
      <c r="AK96" s="4">
        <v>21</v>
      </c>
      <c r="AL96" s="4">
        <v>0</v>
      </c>
      <c r="AM96" s="6">
        <v>46135</v>
      </c>
      <c r="AN96" s="6"/>
      <c r="AO96" s="3" t="s">
        <v>1034</v>
      </c>
      <c r="AP96" s="3" t="s">
        <v>937</v>
      </c>
      <c r="AQ96" s="4"/>
      <c r="AR96" s="4"/>
      <c r="AS96" s="2"/>
    </row>
    <row r="97" ht="16.5" hidden="1" spans="1:45">
      <c r="A97" s="3" t="s">
        <v>775</v>
      </c>
      <c r="B97" s="3" t="s">
        <v>1030</v>
      </c>
      <c r="C97" s="3" t="s">
        <v>935</v>
      </c>
      <c r="D97" s="3" t="s">
        <v>1031</v>
      </c>
      <c r="E97" s="3" t="s">
        <v>1032</v>
      </c>
      <c r="F97" s="4">
        <v>85</v>
      </c>
      <c r="G97" s="4">
        <v>0</v>
      </c>
      <c r="H97" s="4">
        <v>0</v>
      </c>
      <c r="I97" s="4">
        <v>0</v>
      </c>
      <c r="J97" s="4">
        <v>152</v>
      </c>
      <c r="K97" s="4">
        <v>237</v>
      </c>
      <c r="L97" s="4">
        <v>0</v>
      </c>
      <c r="M97" s="5">
        <v>237</v>
      </c>
      <c r="N97" s="4">
        <v>5586.32993</v>
      </c>
      <c r="O97" s="4">
        <v>5586.32993</v>
      </c>
      <c r="P97" s="4">
        <v>4</v>
      </c>
      <c r="Q97" s="4">
        <v>9</v>
      </c>
      <c r="R97" s="4">
        <v>19</v>
      </c>
      <c r="S97" s="4">
        <v>18</v>
      </c>
      <c r="T97" s="4">
        <v>4</v>
      </c>
      <c r="U97" s="4">
        <v>0</v>
      </c>
      <c r="V97" s="4">
        <v>0</v>
      </c>
      <c r="W97" s="4">
        <v>0</v>
      </c>
      <c r="X97" s="4">
        <v>23.5710123626</v>
      </c>
      <c r="Y97" s="4">
        <v>447.849235</v>
      </c>
      <c r="Z97" s="4">
        <v>12.473684207588</v>
      </c>
      <c r="AA97" s="4">
        <v>12.473684207588</v>
      </c>
      <c r="AB97" s="4">
        <v>4.473684209821</v>
      </c>
      <c r="AC97" s="4">
        <v>4.473684209821</v>
      </c>
      <c r="AD97" s="4">
        <v>0</v>
      </c>
      <c r="AE97" s="4">
        <v>0</v>
      </c>
      <c r="AF97" s="4">
        <v>4.5</v>
      </c>
      <c r="AG97" s="4">
        <v>123</v>
      </c>
      <c r="AH97" s="4">
        <v>6</v>
      </c>
      <c r="AI97" s="4">
        <v>2899.234521</v>
      </c>
      <c r="AJ97" s="3" t="s">
        <v>1036</v>
      </c>
      <c r="AK97" s="4">
        <v>19</v>
      </c>
      <c r="AL97" s="4">
        <v>0</v>
      </c>
      <c r="AM97" s="6">
        <v>46163</v>
      </c>
      <c r="AN97" s="6"/>
      <c r="AO97" s="3" t="s">
        <v>1034</v>
      </c>
      <c r="AP97" s="3" t="s">
        <v>937</v>
      </c>
      <c r="AQ97" s="4"/>
      <c r="AR97" s="4"/>
      <c r="AS97" s="2"/>
    </row>
    <row r="98" ht="16.5" hidden="1" spans="1:45">
      <c r="A98" s="3" t="s">
        <v>978</v>
      </c>
      <c r="B98" s="3" t="s">
        <v>1030</v>
      </c>
      <c r="C98" s="3" t="s">
        <v>935</v>
      </c>
      <c r="D98" s="3" t="s">
        <v>1037</v>
      </c>
      <c r="E98" s="3" t="s">
        <v>1032</v>
      </c>
      <c r="F98" s="4">
        <v>116</v>
      </c>
      <c r="G98" s="4">
        <v>0</v>
      </c>
      <c r="H98" s="4">
        <v>0</v>
      </c>
      <c r="I98" s="4">
        <v>0</v>
      </c>
      <c r="J98" s="4">
        <v>120</v>
      </c>
      <c r="K98" s="4">
        <v>236</v>
      </c>
      <c r="L98" s="4">
        <v>40</v>
      </c>
      <c r="M98" s="5">
        <v>276</v>
      </c>
      <c r="N98" s="4">
        <v>4716.031684</v>
      </c>
      <c r="O98" s="4">
        <v>5515.359088</v>
      </c>
      <c r="P98" s="4">
        <v>3</v>
      </c>
      <c r="Q98" s="4">
        <v>8</v>
      </c>
      <c r="R98" s="4">
        <v>21</v>
      </c>
      <c r="S98" s="4">
        <v>34</v>
      </c>
      <c r="T98" s="4">
        <v>35</v>
      </c>
      <c r="U98" s="4">
        <v>0</v>
      </c>
      <c r="V98" s="4">
        <v>240</v>
      </c>
      <c r="W98" s="4">
        <v>240</v>
      </c>
      <c r="X98" s="4">
        <v>19.9831851</v>
      </c>
      <c r="Y98" s="4">
        <v>419.646887</v>
      </c>
      <c r="Z98" s="4">
        <v>13.142857146942</v>
      </c>
      <c r="AA98" s="4">
        <v>11.238095241726</v>
      </c>
      <c r="AB98" s="4">
        <v>5.523809526079</v>
      </c>
      <c r="AC98" s="4">
        <v>5.523809526079</v>
      </c>
      <c r="AD98" s="4">
        <v>0</v>
      </c>
      <c r="AE98" s="4">
        <v>0</v>
      </c>
      <c r="AF98" s="4">
        <v>4.5</v>
      </c>
      <c r="AG98" s="4">
        <v>110</v>
      </c>
      <c r="AH98" s="4">
        <v>6</v>
      </c>
      <c r="AI98" s="4">
        <v>2198.150361</v>
      </c>
      <c r="AJ98" s="3" t="s">
        <v>1036</v>
      </c>
      <c r="AK98" s="4">
        <v>21</v>
      </c>
      <c r="AL98" s="4">
        <v>0</v>
      </c>
      <c r="AM98" s="6">
        <v>45993</v>
      </c>
      <c r="AN98" s="6"/>
      <c r="AO98" s="3" t="s">
        <v>1034</v>
      </c>
      <c r="AP98" s="3" t="s">
        <v>937</v>
      </c>
      <c r="AQ98" s="4"/>
      <c r="AR98" s="4"/>
      <c r="AS98" s="2"/>
    </row>
    <row r="99" ht="16.5" hidden="1" spans="1:45">
      <c r="A99" s="3" t="s">
        <v>902</v>
      </c>
      <c r="B99" s="3" t="s">
        <v>1030</v>
      </c>
      <c r="C99" s="3" t="s">
        <v>935</v>
      </c>
      <c r="D99" s="3" t="s">
        <v>1031</v>
      </c>
      <c r="E99" s="3" t="s">
        <v>1032</v>
      </c>
      <c r="F99" s="4">
        <v>121</v>
      </c>
      <c r="G99" s="4">
        <v>12</v>
      </c>
      <c r="H99" s="4">
        <v>0</v>
      </c>
      <c r="I99" s="4">
        <v>40</v>
      </c>
      <c r="J99" s="4">
        <v>60</v>
      </c>
      <c r="K99" s="4">
        <v>233</v>
      </c>
      <c r="L99" s="4">
        <v>0</v>
      </c>
      <c r="M99" s="5">
        <v>233</v>
      </c>
      <c r="N99" s="4">
        <v>4630.10177</v>
      </c>
      <c r="O99" s="4">
        <v>4630.10177</v>
      </c>
      <c r="P99" s="4">
        <v>1</v>
      </c>
      <c r="Q99" s="4">
        <v>3</v>
      </c>
      <c r="R99" s="4">
        <v>5</v>
      </c>
      <c r="S99" s="4">
        <v>19</v>
      </c>
      <c r="T99" s="4">
        <v>24</v>
      </c>
      <c r="U99" s="4">
        <v>0</v>
      </c>
      <c r="V99" s="4">
        <v>0</v>
      </c>
      <c r="W99" s="4">
        <v>0</v>
      </c>
      <c r="X99" s="4">
        <v>19.871681418</v>
      </c>
      <c r="Y99" s="4">
        <v>99.358407</v>
      </c>
      <c r="Z99" s="4">
        <v>46.600000038245</v>
      </c>
      <c r="AA99" s="4">
        <v>46.600000038245</v>
      </c>
      <c r="AB99" s="4">
        <v>34.60000002818</v>
      </c>
      <c r="AC99" s="4">
        <v>24.200000026167</v>
      </c>
      <c r="AD99" s="4">
        <v>0</v>
      </c>
      <c r="AE99" s="4">
        <v>8.000000010064</v>
      </c>
      <c r="AF99" s="4">
        <v>4.5</v>
      </c>
      <c r="AG99" s="4">
        <v>203</v>
      </c>
      <c r="AH99" s="4">
        <v>6</v>
      </c>
      <c r="AI99" s="4">
        <v>4033.951328</v>
      </c>
      <c r="AJ99" s="3" t="s">
        <v>1033</v>
      </c>
      <c r="AK99" s="4">
        <v>5</v>
      </c>
      <c r="AL99" s="4">
        <v>0</v>
      </c>
      <c r="AM99" s="6">
        <v>46094</v>
      </c>
      <c r="AN99" s="6"/>
      <c r="AO99" s="3" t="s">
        <v>1034</v>
      </c>
      <c r="AP99" s="3" t="s">
        <v>937</v>
      </c>
      <c r="AQ99" s="4"/>
      <c r="AR99" s="4"/>
      <c r="AS99" s="2"/>
    </row>
    <row r="100" ht="16.5" spans="1:45">
      <c r="A100" s="3" t="s">
        <v>374</v>
      </c>
      <c r="B100" s="3" t="s">
        <v>1030</v>
      </c>
      <c r="C100" s="3" t="s">
        <v>935</v>
      </c>
      <c r="D100" s="3" t="s">
        <v>1031</v>
      </c>
      <c r="E100" s="3" t="s">
        <v>1032</v>
      </c>
      <c r="F100" s="4">
        <v>23</v>
      </c>
      <c r="G100" s="4">
        <v>112</v>
      </c>
      <c r="H100" s="4">
        <v>0</v>
      </c>
      <c r="I100" s="4">
        <v>0</v>
      </c>
      <c r="J100" s="4">
        <v>97</v>
      </c>
      <c r="K100" s="4">
        <v>232</v>
      </c>
      <c r="L100" s="4">
        <v>232</v>
      </c>
      <c r="M100" s="5">
        <v>464</v>
      </c>
      <c r="N100" s="4">
        <v>4872.61593</v>
      </c>
      <c r="O100" s="4">
        <v>9745.23186</v>
      </c>
      <c r="P100" s="4">
        <v>2</v>
      </c>
      <c r="Q100" s="4">
        <v>17</v>
      </c>
      <c r="R100" s="4">
        <v>24</v>
      </c>
      <c r="S100" s="4">
        <v>49</v>
      </c>
      <c r="T100" s="4">
        <v>70</v>
      </c>
      <c r="U100" s="4">
        <v>0</v>
      </c>
      <c r="V100" s="4">
        <v>0</v>
      </c>
      <c r="W100" s="4">
        <v>90</v>
      </c>
      <c r="X100" s="4">
        <v>21.002654871</v>
      </c>
      <c r="Y100" s="4">
        <v>504.063717</v>
      </c>
      <c r="Z100" s="4">
        <v>19.333333329365</v>
      </c>
      <c r="AA100" s="4">
        <v>9.666666664682</v>
      </c>
      <c r="AB100" s="4">
        <v>5.624999999752</v>
      </c>
      <c r="AC100" s="4">
        <v>0.958333333085</v>
      </c>
      <c r="AD100" s="4">
        <v>0</v>
      </c>
      <c r="AE100" s="4">
        <v>0</v>
      </c>
      <c r="AF100" s="4">
        <v>4.5</v>
      </c>
      <c r="AG100" s="4">
        <v>88</v>
      </c>
      <c r="AH100" s="4">
        <v>6</v>
      </c>
      <c r="AI100" s="4">
        <v>1848.233629</v>
      </c>
      <c r="AJ100" s="3" t="s">
        <v>1033</v>
      </c>
      <c r="AK100" s="4">
        <v>24</v>
      </c>
      <c r="AL100" s="4">
        <v>0</v>
      </c>
      <c r="AM100" s="6">
        <v>46126</v>
      </c>
      <c r="AN100" s="6"/>
      <c r="AO100" s="3" t="s">
        <v>1034</v>
      </c>
      <c r="AP100" s="3" t="s">
        <v>937</v>
      </c>
      <c r="AQ100" s="4"/>
      <c r="AR100" s="4"/>
      <c r="AS100" s="2"/>
    </row>
    <row r="101" ht="16.5" spans="1:45">
      <c r="A101" s="3" t="s">
        <v>838</v>
      </c>
      <c r="B101" s="3" t="s">
        <v>1030</v>
      </c>
      <c r="C101" s="3" t="s">
        <v>935</v>
      </c>
      <c r="D101" s="3" t="s">
        <v>1031</v>
      </c>
      <c r="E101" s="3" t="s">
        <v>1032</v>
      </c>
      <c r="F101" s="4">
        <v>230</v>
      </c>
      <c r="G101" s="4">
        <v>0</v>
      </c>
      <c r="H101" s="4">
        <v>0</v>
      </c>
      <c r="I101" s="4">
        <v>0</v>
      </c>
      <c r="J101" s="4">
        <v>1</v>
      </c>
      <c r="K101" s="4">
        <v>231</v>
      </c>
      <c r="L101" s="4">
        <v>0</v>
      </c>
      <c r="M101" s="5">
        <v>231</v>
      </c>
      <c r="N101" s="4">
        <v>5247.175221</v>
      </c>
      <c r="O101" s="4">
        <v>5247.175221</v>
      </c>
      <c r="P101" s="4">
        <v>12</v>
      </c>
      <c r="Q101" s="4">
        <v>19</v>
      </c>
      <c r="R101" s="4">
        <v>28</v>
      </c>
      <c r="S101" s="4">
        <v>17</v>
      </c>
      <c r="T101" s="4">
        <v>25</v>
      </c>
      <c r="U101" s="4">
        <v>0</v>
      </c>
      <c r="V101" s="4">
        <v>0</v>
      </c>
      <c r="W101" s="4">
        <v>0</v>
      </c>
      <c r="X101" s="4">
        <v>22.715044245</v>
      </c>
      <c r="Y101" s="4">
        <v>636.021239</v>
      </c>
      <c r="Z101" s="4">
        <v>8.24999999882</v>
      </c>
      <c r="AA101" s="4">
        <v>8.24999999882</v>
      </c>
      <c r="AB101" s="4">
        <v>8.214285713499</v>
      </c>
      <c r="AC101" s="4">
        <v>8.214285711927</v>
      </c>
      <c r="AD101" s="4">
        <v>0</v>
      </c>
      <c r="AE101" s="4">
        <v>0</v>
      </c>
      <c r="AF101" s="4">
        <v>4.5</v>
      </c>
      <c r="AG101" s="4">
        <v>63</v>
      </c>
      <c r="AH101" s="4">
        <v>6</v>
      </c>
      <c r="AI101" s="4">
        <v>1431.047787</v>
      </c>
      <c r="AJ101" s="3" t="s">
        <v>1033</v>
      </c>
      <c r="AK101" s="4">
        <v>28</v>
      </c>
      <c r="AL101" s="4">
        <v>0</v>
      </c>
      <c r="AM101" s="6">
        <v>46137</v>
      </c>
      <c r="AN101" s="6"/>
      <c r="AO101" s="3" t="s">
        <v>1034</v>
      </c>
      <c r="AP101" s="3" t="s">
        <v>937</v>
      </c>
      <c r="AQ101" s="4"/>
      <c r="AR101" s="4"/>
      <c r="AS101" s="2"/>
    </row>
    <row r="102" ht="16.5" hidden="1" spans="1:45">
      <c r="A102" s="3" t="s">
        <v>862</v>
      </c>
      <c r="B102" s="3" t="s">
        <v>1030</v>
      </c>
      <c r="C102" s="3" t="s">
        <v>935</v>
      </c>
      <c r="D102" s="3" t="s">
        <v>1031</v>
      </c>
      <c r="E102" s="3" t="s">
        <v>1032</v>
      </c>
      <c r="F102" s="4">
        <v>223</v>
      </c>
      <c r="G102" s="4">
        <v>0</v>
      </c>
      <c r="H102" s="4">
        <v>0</v>
      </c>
      <c r="I102" s="4">
        <v>0</v>
      </c>
      <c r="J102" s="4">
        <v>8</v>
      </c>
      <c r="K102" s="4">
        <v>231</v>
      </c>
      <c r="L102" s="4">
        <v>0</v>
      </c>
      <c r="M102" s="5">
        <v>231</v>
      </c>
      <c r="N102" s="4">
        <v>4235.272567</v>
      </c>
      <c r="O102" s="4">
        <v>4235.272567</v>
      </c>
      <c r="P102" s="4">
        <v>1</v>
      </c>
      <c r="Q102" s="4">
        <v>5</v>
      </c>
      <c r="R102" s="4">
        <v>10</v>
      </c>
      <c r="S102" s="4">
        <v>8</v>
      </c>
      <c r="T102" s="4">
        <v>15</v>
      </c>
      <c r="U102" s="4">
        <v>0</v>
      </c>
      <c r="V102" s="4">
        <v>0</v>
      </c>
      <c r="W102" s="4">
        <v>0</v>
      </c>
      <c r="X102" s="4">
        <v>18.334513278</v>
      </c>
      <c r="Y102" s="4">
        <v>183.345133</v>
      </c>
      <c r="Z102" s="4">
        <v>23.099999971092</v>
      </c>
      <c r="AA102" s="4">
        <v>23.099999971092</v>
      </c>
      <c r="AB102" s="4">
        <v>22.299999973274</v>
      </c>
      <c r="AC102" s="4">
        <v>22.299999973274</v>
      </c>
      <c r="AD102" s="4">
        <v>0</v>
      </c>
      <c r="AE102" s="4">
        <v>0</v>
      </c>
      <c r="AF102" s="4">
        <v>4.5</v>
      </c>
      <c r="AG102" s="4">
        <v>171</v>
      </c>
      <c r="AH102" s="4">
        <v>6</v>
      </c>
      <c r="AI102" s="4">
        <v>3135.201771</v>
      </c>
      <c r="AJ102" s="3" t="s">
        <v>1033</v>
      </c>
      <c r="AK102" s="4">
        <v>10</v>
      </c>
      <c r="AL102" s="4">
        <v>0</v>
      </c>
      <c r="AM102" s="6">
        <v>46103</v>
      </c>
      <c r="AN102" s="6"/>
      <c r="AO102" s="3" t="s">
        <v>1034</v>
      </c>
      <c r="AP102" s="3" t="s">
        <v>937</v>
      </c>
      <c r="AQ102" s="4"/>
      <c r="AR102" s="4"/>
      <c r="AS102" s="2"/>
    </row>
    <row r="103" ht="16.5" spans="1:45">
      <c r="A103" s="3" t="s">
        <v>906</v>
      </c>
      <c r="B103" s="3" t="s">
        <v>1030</v>
      </c>
      <c r="C103" s="3" t="s">
        <v>935</v>
      </c>
      <c r="D103" s="3" t="s">
        <v>1031</v>
      </c>
      <c r="E103" s="3" t="s">
        <v>1032</v>
      </c>
      <c r="F103" s="4">
        <v>140</v>
      </c>
      <c r="G103" s="4">
        <v>0</v>
      </c>
      <c r="H103" s="4">
        <v>0</v>
      </c>
      <c r="I103" s="4">
        <v>2</v>
      </c>
      <c r="J103" s="4">
        <v>86</v>
      </c>
      <c r="K103" s="4">
        <v>228</v>
      </c>
      <c r="L103" s="4">
        <v>110</v>
      </c>
      <c r="M103" s="5">
        <v>338</v>
      </c>
      <c r="N103" s="4">
        <v>5246.219469</v>
      </c>
      <c r="O103" s="4">
        <v>7777.290265</v>
      </c>
      <c r="P103" s="4">
        <v>10</v>
      </c>
      <c r="Q103" s="4">
        <v>33</v>
      </c>
      <c r="R103" s="4">
        <v>50</v>
      </c>
      <c r="S103" s="4">
        <v>43</v>
      </c>
      <c r="T103" s="4">
        <v>39</v>
      </c>
      <c r="U103" s="4">
        <v>0</v>
      </c>
      <c r="V103" s="4">
        <v>0</v>
      </c>
      <c r="W103" s="4">
        <v>0</v>
      </c>
      <c r="X103" s="4">
        <v>23.009734512</v>
      </c>
      <c r="Y103" s="4">
        <v>1150.486726</v>
      </c>
      <c r="Z103" s="4">
        <v>6.759999997601</v>
      </c>
      <c r="AA103" s="4">
        <v>4.559999998644</v>
      </c>
      <c r="AB103" s="4">
        <v>2.839999999269</v>
      </c>
      <c r="AC103" s="4">
        <v>2.799999999304</v>
      </c>
      <c r="AD103" s="4">
        <v>0</v>
      </c>
      <c r="AE103" s="4">
        <v>0.039999999965</v>
      </c>
      <c r="AF103" s="4">
        <v>4.5</v>
      </c>
      <c r="AG103" s="4">
        <v>0</v>
      </c>
      <c r="AH103" s="4">
        <v>6</v>
      </c>
      <c r="AI103" s="4">
        <v>0</v>
      </c>
      <c r="AJ103" s="3" t="s">
        <v>1033</v>
      </c>
      <c r="AK103" s="4">
        <v>50</v>
      </c>
      <c r="AL103" s="4">
        <v>0</v>
      </c>
      <c r="AM103" s="6">
        <v>46137</v>
      </c>
      <c r="AN103" s="6"/>
      <c r="AO103" s="3" t="s">
        <v>1034</v>
      </c>
      <c r="AP103" s="3" t="s">
        <v>937</v>
      </c>
      <c r="AQ103" s="4"/>
      <c r="AR103" s="4"/>
      <c r="AS103" s="2"/>
    </row>
    <row r="104" ht="16.5" hidden="1" spans="1:45">
      <c r="A104" s="3" t="s">
        <v>780</v>
      </c>
      <c r="B104" s="3" t="s">
        <v>1030</v>
      </c>
      <c r="C104" s="3" t="s">
        <v>935</v>
      </c>
      <c r="D104" s="3" t="s">
        <v>1031</v>
      </c>
      <c r="E104" s="3" t="s">
        <v>1032</v>
      </c>
      <c r="F104" s="4">
        <v>124</v>
      </c>
      <c r="G104" s="4">
        <v>24</v>
      </c>
      <c r="H104" s="4">
        <v>0</v>
      </c>
      <c r="I104" s="4">
        <v>0</v>
      </c>
      <c r="J104" s="4">
        <v>79</v>
      </c>
      <c r="K104" s="4">
        <v>227</v>
      </c>
      <c r="L104" s="4">
        <v>170</v>
      </c>
      <c r="M104" s="5">
        <v>397</v>
      </c>
      <c r="N104" s="4">
        <v>5158.689004</v>
      </c>
      <c r="O104" s="4">
        <v>9022.024382</v>
      </c>
      <c r="P104" s="4">
        <v>12</v>
      </c>
      <c r="Q104" s="4">
        <v>31</v>
      </c>
      <c r="R104" s="4">
        <v>57</v>
      </c>
      <c r="S104" s="4">
        <v>42</v>
      </c>
      <c r="T104" s="4">
        <v>4</v>
      </c>
      <c r="U104" s="4">
        <v>0</v>
      </c>
      <c r="V104" s="4">
        <v>0</v>
      </c>
      <c r="W104" s="4">
        <v>0</v>
      </c>
      <c r="X104" s="4">
        <v>22.7255022223</v>
      </c>
      <c r="Y104" s="4">
        <v>1295.353627</v>
      </c>
      <c r="Z104" s="4">
        <v>6.964912278737</v>
      </c>
      <c r="AA104" s="4">
        <v>3.982456138982</v>
      </c>
      <c r="AB104" s="4">
        <v>2.596491226715</v>
      </c>
      <c r="AC104" s="4">
        <v>2.175438596274</v>
      </c>
      <c r="AD104" s="4">
        <v>0</v>
      </c>
      <c r="AE104" s="4">
        <v>0</v>
      </c>
      <c r="AF104" s="4">
        <v>4.5</v>
      </c>
      <c r="AG104" s="4">
        <v>0</v>
      </c>
      <c r="AH104" s="4">
        <v>6</v>
      </c>
      <c r="AI104" s="4">
        <v>0</v>
      </c>
      <c r="AJ104" s="3" t="s">
        <v>1036</v>
      </c>
      <c r="AK104" s="4">
        <v>57</v>
      </c>
      <c r="AL104" s="4">
        <v>0</v>
      </c>
      <c r="AM104" s="6">
        <v>46159</v>
      </c>
      <c r="AN104" s="6"/>
      <c r="AO104" s="3" t="s">
        <v>1034</v>
      </c>
      <c r="AP104" s="3" t="s">
        <v>937</v>
      </c>
      <c r="AQ104" s="4"/>
      <c r="AR104" s="4"/>
      <c r="AS104" s="2"/>
    </row>
    <row r="105" ht="16.5" hidden="1" spans="1:45">
      <c r="A105" s="3" t="s">
        <v>880</v>
      </c>
      <c r="B105" s="3" t="s">
        <v>1030</v>
      </c>
      <c r="C105" s="3" t="s">
        <v>935</v>
      </c>
      <c r="D105" s="3" t="s">
        <v>1031</v>
      </c>
      <c r="E105" s="3" t="s">
        <v>1032</v>
      </c>
      <c r="F105" s="4">
        <v>215</v>
      </c>
      <c r="G105" s="4">
        <v>0</v>
      </c>
      <c r="H105" s="4">
        <v>0</v>
      </c>
      <c r="I105" s="4">
        <v>0</v>
      </c>
      <c r="J105" s="4">
        <v>11</v>
      </c>
      <c r="K105" s="4">
        <v>226</v>
      </c>
      <c r="L105" s="4">
        <v>0</v>
      </c>
      <c r="M105" s="5">
        <v>226</v>
      </c>
      <c r="N105" s="4">
        <v>5833.8</v>
      </c>
      <c r="O105" s="4">
        <v>5833.8</v>
      </c>
      <c r="P105" s="4">
        <v>2</v>
      </c>
      <c r="Q105" s="4">
        <v>14</v>
      </c>
      <c r="R105" s="4">
        <v>30</v>
      </c>
      <c r="S105" s="4">
        <v>18</v>
      </c>
      <c r="T105" s="4">
        <v>17</v>
      </c>
      <c r="U105" s="4">
        <v>0</v>
      </c>
      <c r="V105" s="4">
        <v>0</v>
      </c>
      <c r="W105" s="4">
        <v>0</v>
      </c>
      <c r="X105" s="4">
        <v>25.813274337</v>
      </c>
      <c r="Y105" s="4">
        <v>774.39823</v>
      </c>
      <c r="Z105" s="4">
        <v>7.533333334194</v>
      </c>
      <c r="AA105" s="4">
        <v>7.533333334194</v>
      </c>
      <c r="AB105" s="4">
        <v>7.166666667097</v>
      </c>
      <c r="AC105" s="4">
        <v>7.166666667097</v>
      </c>
      <c r="AD105" s="4">
        <v>0</v>
      </c>
      <c r="AE105" s="4">
        <v>0</v>
      </c>
      <c r="AF105" s="4">
        <v>4.5</v>
      </c>
      <c r="AG105" s="4">
        <v>46</v>
      </c>
      <c r="AH105" s="4">
        <v>6</v>
      </c>
      <c r="AI105" s="4">
        <v>1187.41062</v>
      </c>
      <c r="AJ105" s="3" t="s">
        <v>1033</v>
      </c>
      <c r="AK105" s="4">
        <v>30</v>
      </c>
      <c r="AL105" s="4">
        <v>0</v>
      </c>
      <c r="AM105" s="6">
        <v>46145</v>
      </c>
      <c r="AN105" s="6"/>
      <c r="AO105" s="3" t="s">
        <v>1034</v>
      </c>
      <c r="AP105" s="3" t="s">
        <v>937</v>
      </c>
      <c r="AQ105" s="4"/>
      <c r="AR105" s="4"/>
      <c r="AS105" s="2"/>
    </row>
    <row r="106" ht="16.5" hidden="1" spans="1:45">
      <c r="A106" s="3" t="s">
        <v>294</v>
      </c>
      <c r="B106" s="3" t="s">
        <v>1030</v>
      </c>
      <c r="C106" s="3" t="s">
        <v>935</v>
      </c>
      <c r="D106" s="3" t="s">
        <v>1031</v>
      </c>
      <c r="E106" s="3" t="s">
        <v>1032</v>
      </c>
      <c r="F106" s="4">
        <v>37</v>
      </c>
      <c r="G106" s="4">
        <v>88</v>
      </c>
      <c r="H106" s="4">
        <v>0</v>
      </c>
      <c r="I106" s="4">
        <v>4</v>
      </c>
      <c r="J106" s="4">
        <v>93</v>
      </c>
      <c r="K106" s="4">
        <v>222</v>
      </c>
      <c r="L106" s="4">
        <v>27</v>
      </c>
      <c r="M106" s="5">
        <v>249</v>
      </c>
      <c r="N106" s="4">
        <v>3877.534514</v>
      </c>
      <c r="O106" s="4">
        <v>4349.12655</v>
      </c>
      <c r="P106" s="4">
        <v>8</v>
      </c>
      <c r="Q106" s="4">
        <v>14</v>
      </c>
      <c r="R106" s="4">
        <v>37</v>
      </c>
      <c r="S106" s="4">
        <v>15</v>
      </c>
      <c r="T106" s="4">
        <v>71</v>
      </c>
      <c r="U106" s="4">
        <v>93</v>
      </c>
      <c r="V106" s="4">
        <v>93</v>
      </c>
      <c r="W106" s="4">
        <v>93</v>
      </c>
      <c r="X106" s="4">
        <v>17.466371685</v>
      </c>
      <c r="Y106" s="4">
        <v>646.255752</v>
      </c>
      <c r="Z106" s="4">
        <v>6.729729733995</v>
      </c>
      <c r="AA106" s="4">
        <v>6.000000003094</v>
      </c>
      <c r="AB106" s="4">
        <v>3.486486487782</v>
      </c>
      <c r="AC106" s="4">
        <v>1</v>
      </c>
      <c r="AD106" s="4">
        <v>0</v>
      </c>
      <c r="AE106" s="4">
        <v>0.108108108568</v>
      </c>
      <c r="AF106" s="4">
        <v>4.5</v>
      </c>
      <c r="AG106" s="4">
        <v>0</v>
      </c>
      <c r="AH106" s="4">
        <v>6</v>
      </c>
      <c r="AI106" s="4">
        <v>0</v>
      </c>
      <c r="AJ106" s="3" t="s">
        <v>1033</v>
      </c>
      <c r="AK106" s="4">
        <v>37</v>
      </c>
      <c r="AL106" s="4">
        <v>0</v>
      </c>
      <c r="AM106" s="6">
        <v>46101</v>
      </c>
      <c r="AN106" s="6"/>
      <c r="AO106" s="3" t="s">
        <v>1034</v>
      </c>
      <c r="AP106" s="3" t="s">
        <v>937</v>
      </c>
      <c r="AQ106" s="4"/>
      <c r="AR106" s="4"/>
      <c r="AS106" s="2"/>
    </row>
    <row r="107" ht="16.5" hidden="1" spans="1:45">
      <c r="A107" s="3" t="s">
        <v>474</v>
      </c>
      <c r="B107" s="3" t="s">
        <v>1030</v>
      </c>
      <c r="C107" s="3" t="s">
        <v>935</v>
      </c>
      <c r="D107" s="3" t="s">
        <v>1031</v>
      </c>
      <c r="E107" s="3" t="s">
        <v>1032</v>
      </c>
      <c r="F107" s="4">
        <v>119</v>
      </c>
      <c r="G107" s="4">
        <v>0</v>
      </c>
      <c r="H107" s="4">
        <v>0</v>
      </c>
      <c r="I107" s="4">
        <v>14</v>
      </c>
      <c r="J107" s="4">
        <v>89</v>
      </c>
      <c r="K107" s="4">
        <v>222</v>
      </c>
      <c r="L107" s="4">
        <v>50</v>
      </c>
      <c r="M107" s="5">
        <v>272</v>
      </c>
      <c r="N107" s="4">
        <v>4409.745133</v>
      </c>
      <c r="O107" s="4">
        <v>5402.930973</v>
      </c>
      <c r="P107" s="4">
        <v>5</v>
      </c>
      <c r="Q107" s="4">
        <v>14</v>
      </c>
      <c r="R107" s="4">
        <v>26</v>
      </c>
      <c r="S107" s="4">
        <v>34</v>
      </c>
      <c r="T107" s="4">
        <v>28</v>
      </c>
      <c r="U107" s="4">
        <v>0</v>
      </c>
      <c r="V107" s="4">
        <v>0</v>
      </c>
      <c r="W107" s="4">
        <v>150</v>
      </c>
      <c r="X107" s="4">
        <v>19.863716814</v>
      </c>
      <c r="Y107" s="4">
        <v>516.456637</v>
      </c>
      <c r="Z107" s="4">
        <v>10.46153846407</v>
      </c>
      <c r="AA107" s="4">
        <v>8.538461541738</v>
      </c>
      <c r="AB107" s="4">
        <v>5.115384618437</v>
      </c>
      <c r="AC107" s="4">
        <v>4.576923078635</v>
      </c>
      <c r="AD107" s="4">
        <v>0</v>
      </c>
      <c r="AE107" s="4">
        <v>0.538461537865</v>
      </c>
      <c r="AF107" s="4">
        <v>4.5</v>
      </c>
      <c r="AG107" s="4">
        <v>66</v>
      </c>
      <c r="AH107" s="4">
        <v>6</v>
      </c>
      <c r="AI107" s="4">
        <v>1311.00531</v>
      </c>
      <c r="AJ107" s="3" t="s">
        <v>1033</v>
      </c>
      <c r="AK107" s="4">
        <v>26</v>
      </c>
      <c r="AL107" s="4">
        <v>0</v>
      </c>
      <c r="AM107" s="6">
        <v>46101</v>
      </c>
      <c r="AN107" s="6"/>
      <c r="AO107" s="3" t="s">
        <v>1034</v>
      </c>
      <c r="AP107" s="3" t="s">
        <v>937</v>
      </c>
      <c r="AQ107" s="4"/>
      <c r="AR107" s="4"/>
      <c r="AS107" s="2"/>
    </row>
    <row r="108" ht="16.5" hidden="1" spans="1:45">
      <c r="A108" s="3" t="s">
        <v>860</v>
      </c>
      <c r="B108" s="3" t="s">
        <v>1030</v>
      </c>
      <c r="C108" s="3" t="s">
        <v>935</v>
      </c>
      <c r="D108" s="3" t="s">
        <v>1031</v>
      </c>
      <c r="E108" s="3" t="s">
        <v>1032</v>
      </c>
      <c r="F108" s="4">
        <v>125</v>
      </c>
      <c r="G108" s="4">
        <v>0</v>
      </c>
      <c r="H108" s="4">
        <v>0</v>
      </c>
      <c r="I108" s="4">
        <v>4</v>
      </c>
      <c r="J108" s="4">
        <v>90</v>
      </c>
      <c r="K108" s="4">
        <v>219</v>
      </c>
      <c r="L108" s="4">
        <v>126</v>
      </c>
      <c r="M108" s="5">
        <v>345</v>
      </c>
      <c r="N108" s="4">
        <v>4667.60708</v>
      </c>
      <c r="O108" s="4">
        <v>7353.079646</v>
      </c>
      <c r="P108" s="4">
        <v>11</v>
      </c>
      <c r="Q108" s="4">
        <v>22</v>
      </c>
      <c r="R108" s="4">
        <v>51</v>
      </c>
      <c r="S108" s="4">
        <v>43</v>
      </c>
      <c r="T108" s="4">
        <v>50</v>
      </c>
      <c r="U108" s="4">
        <v>0</v>
      </c>
      <c r="V108" s="4">
        <v>0</v>
      </c>
      <c r="W108" s="4">
        <v>88</v>
      </c>
      <c r="X108" s="4">
        <v>21.313274337</v>
      </c>
      <c r="Y108" s="4">
        <v>1086.976991</v>
      </c>
      <c r="Z108" s="4">
        <v>6.764705883272</v>
      </c>
      <c r="AA108" s="4">
        <v>4.294117647978</v>
      </c>
      <c r="AB108" s="4">
        <v>2.529411765625</v>
      </c>
      <c r="AC108" s="4">
        <v>2.450980392463</v>
      </c>
      <c r="AD108" s="4">
        <v>0</v>
      </c>
      <c r="AE108" s="4">
        <v>0.078431372242</v>
      </c>
      <c r="AF108" s="4">
        <v>4.5</v>
      </c>
      <c r="AG108" s="4">
        <v>0</v>
      </c>
      <c r="AH108" s="4">
        <v>6</v>
      </c>
      <c r="AI108" s="4">
        <v>0</v>
      </c>
      <c r="AJ108" s="3" t="s">
        <v>1033</v>
      </c>
      <c r="AK108" s="4">
        <v>51</v>
      </c>
      <c r="AL108" s="4">
        <v>0</v>
      </c>
      <c r="AM108" s="6">
        <v>46094</v>
      </c>
      <c r="AN108" s="6"/>
      <c r="AO108" s="3" t="s">
        <v>1034</v>
      </c>
      <c r="AP108" s="3" t="s">
        <v>937</v>
      </c>
      <c r="AQ108" s="4"/>
      <c r="AR108" s="4"/>
      <c r="AS108" s="2"/>
    </row>
    <row r="109" ht="16.5" spans="1:45">
      <c r="A109" s="3" t="s">
        <v>806</v>
      </c>
      <c r="B109" s="3" t="s">
        <v>1030</v>
      </c>
      <c r="C109" s="3" t="s">
        <v>935</v>
      </c>
      <c r="D109" s="3" t="s">
        <v>1031</v>
      </c>
      <c r="E109" s="3" t="s">
        <v>1032</v>
      </c>
      <c r="F109" s="4">
        <v>88</v>
      </c>
      <c r="G109" s="4">
        <v>29</v>
      </c>
      <c r="H109" s="4">
        <v>56</v>
      </c>
      <c r="I109" s="4">
        <v>30</v>
      </c>
      <c r="J109" s="4">
        <v>12</v>
      </c>
      <c r="K109" s="4">
        <v>215</v>
      </c>
      <c r="L109" s="4">
        <v>105</v>
      </c>
      <c r="M109" s="5">
        <v>320</v>
      </c>
      <c r="N109" s="4">
        <v>5217.650442</v>
      </c>
      <c r="O109" s="4">
        <v>7765.80531</v>
      </c>
      <c r="P109" s="4">
        <v>4</v>
      </c>
      <c r="Q109" s="4">
        <v>9</v>
      </c>
      <c r="R109" s="4">
        <v>20</v>
      </c>
      <c r="S109" s="4">
        <v>43</v>
      </c>
      <c r="T109" s="4">
        <v>107</v>
      </c>
      <c r="U109" s="4">
        <v>0</v>
      </c>
      <c r="V109" s="4">
        <v>0</v>
      </c>
      <c r="W109" s="4">
        <v>95</v>
      </c>
      <c r="X109" s="4">
        <v>24.268141593</v>
      </c>
      <c r="Y109" s="4">
        <v>485.362832</v>
      </c>
      <c r="Z109" s="4">
        <v>15.999999995879</v>
      </c>
      <c r="AA109" s="4">
        <v>10.749999995879</v>
      </c>
      <c r="AB109" s="4">
        <v>10.149999996291</v>
      </c>
      <c r="AC109" s="4">
        <v>4.399999998351</v>
      </c>
      <c r="AD109" s="4">
        <v>2.799999998763</v>
      </c>
      <c r="AE109" s="4">
        <v>1.5</v>
      </c>
      <c r="AF109" s="4">
        <v>4.5</v>
      </c>
      <c r="AG109" s="4">
        <v>95</v>
      </c>
      <c r="AH109" s="4">
        <v>6</v>
      </c>
      <c r="AI109" s="4">
        <v>2305.473451</v>
      </c>
      <c r="AJ109" s="3" t="s">
        <v>1033</v>
      </c>
      <c r="AK109" s="4">
        <v>20</v>
      </c>
      <c r="AL109" s="4">
        <v>0</v>
      </c>
      <c r="AM109" s="6">
        <v>46127</v>
      </c>
      <c r="AN109" s="6">
        <v>46237</v>
      </c>
      <c r="AO109" s="3" t="s">
        <v>1034</v>
      </c>
      <c r="AP109" s="3" t="s">
        <v>937</v>
      </c>
      <c r="AQ109" s="4"/>
      <c r="AR109" s="4"/>
      <c r="AS109" s="2"/>
    </row>
    <row r="110" ht="16.5" spans="1:45">
      <c r="A110" s="3" t="s">
        <v>114</v>
      </c>
      <c r="B110" s="3" t="s">
        <v>1030</v>
      </c>
      <c r="C110" s="3" t="s">
        <v>935</v>
      </c>
      <c r="D110" s="3" t="s">
        <v>1031</v>
      </c>
      <c r="E110" s="3" t="s">
        <v>1032</v>
      </c>
      <c r="F110" s="4">
        <v>107</v>
      </c>
      <c r="G110" s="4">
        <v>0</v>
      </c>
      <c r="H110" s="4">
        <v>0</v>
      </c>
      <c r="I110" s="4">
        <v>8</v>
      </c>
      <c r="J110" s="4">
        <v>98</v>
      </c>
      <c r="K110" s="4">
        <v>213</v>
      </c>
      <c r="L110" s="4">
        <v>22</v>
      </c>
      <c r="M110" s="5">
        <v>235</v>
      </c>
      <c r="N110" s="4">
        <v>5651.893833</v>
      </c>
      <c r="O110" s="4">
        <v>6235.657515</v>
      </c>
      <c r="P110" s="4">
        <v>3</v>
      </c>
      <c r="Q110" s="4">
        <v>12</v>
      </c>
      <c r="R110" s="4">
        <v>26</v>
      </c>
      <c r="S110" s="4">
        <v>24</v>
      </c>
      <c r="T110" s="4">
        <v>20</v>
      </c>
      <c r="U110" s="4">
        <v>0</v>
      </c>
      <c r="V110" s="4">
        <v>0</v>
      </c>
      <c r="W110" s="4">
        <v>98</v>
      </c>
      <c r="X110" s="4">
        <v>26.5347128312</v>
      </c>
      <c r="Y110" s="4">
        <v>689.902534</v>
      </c>
      <c r="Z110" s="4">
        <v>9.038461532886</v>
      </c>
      <c r="AA110" s="4">
        <v>8.192307687624</v>
      </c>
      <c r="AB110" s="4">
        <v>4.423076921181</v>
      </c>
      <c r="AC110" s="4">
        <v>4.115384613154</v>
      </c>
      <c r="AD110" s="4">
        <v>0</v>
      </c>
      <c r="AE110" s="4">
        <v>0.307692308026</v>
      </c>
      <c r="AF110" s="4">
        <v>4.5</v>
      </c>
      <c r="AG110" s="4">
        <v>57</v>
      </c>
      <c r="AH110" s="4">
        <v>6</v>
      </c>
      <c r="AI110" s="4">
        <v>1512.478631</v>
      </c>
      <c r="AJ110" s="3" t="s">
        <v>1033</v>
      </c>
      <c r="AK110" s="4">
        <v>26</v>
      </c>
      <c r="AL110" s="4">
        <v>0</v>
      </c>
      <c r="AM110" s="6">
        <v>46135</v>
      </c>
      <c r="AN110" s="6"/>
      <c r="AO110" s="3" t="s">
        <v>1034</v>
      </c>
      <c r="AP110" s="3" t="s">
        <v>937</v>
      </c>
      <c r="AQ110" s="4"/>
      <c r="AR110" s="4"/>
      <c r="AS110" s="2"/>
    </row>
    <row r="111" ht="16.5" hidden="1" spans="1:45">
      <c r="A111" s="3" t="s">
        <v>796</v>
      </c>
      <c r="B111" s="3" t="s">
        <v>1030</v>
      </c>
      <c r="C111" s="3" t="s">
        <v>935</v>
      </c>
      <c r="D111" s="3" t="s">
        <v>1031</v>
      </c>
      <c r="E111" s="3" t="s">
        <v>1032</v>
      </c>
      <c r="F111" s="4">
        <v>55</v>
      </c>
      <c r="G111" s="4">
        <v>0</v>
      </c>
      <c r="H111" s="4">
        <v>0</v>
      </c>
      <c r="I111" s="4">
        <v>98</v>
      </c>
      <c r="J111" s="4">
        <v>60</v>
      </c>
      <c r="K111" s="4">
        <v>213</v>
      </c>
      <c r="L111" s="4">
        <v>120</v>
      </c>
      <c r="M111" s="5">
        <v>333</v>
      </c>
      <c r="N111" s="4">
        <v>4473.565488</v>
      </c>
      <c r="O111" s="4">
        <v>6993.884072</v>
      </c>
      <c r="P111" s="4">
        <v>4</v>
      </c>
      <c r="Q111" s="4">
        <v>29</v>
      </c>
      <c r="R111" s="4">
        <v>70</v>
      </c>
      <c r="S111" s="4">
        <v>29</v>
      </c>
      <c r="T111" s="4">
        <v>11</v>
      </c>
      <c r="U111" s="4">
        <v>0</v>
      </c>
      <c r="V111" s="4">
        <v>0</v>
      </c>
      <c r="W111" s="4">
        <v>0</v>
      </c>
      <c r="X111" s="4">
        <v>21.002654871</v>
      </c>
      <c r="Y111" s="4">
        <v>1470.185841</v>
      </c>
      <c r="Z111" s="4">
        <v>4.757142857016</v>
      </c>
      <c r="AA111" s="4">
        <v>3.042857143119</v>
      </c>
      <c r="AB111" s="4">
        <v>2.18571428617</v>
      </c>
      <c r="AC111" s="4">
        <v>0.785714285762</v>
      </c>
      <c r="AD111" s="4">
        <v>0</v>
      </c>
      <c r="AE111" s="4">
        <v>1.399999999727</v>
      </c>
      <c r="AF111" s="4">
        <v>4.5</v>
      </c>
      <c r="AG111" s="4">
        <v>0</v>
      </c>
      <c r="AH111" s="4">
        <v>6</v>
      </c>
      <c r="AI111" s="4">
        <v>0</v>
      </c>
      <c r="AJ111" s="3" t="s">
        <v>1033</v>
      </c>
      <c r="AK111" s="4">
        <v>70</v>
      </c>
      <c r="AL111" s="4">
        <v>0</v>
      </c>
      <c r="AM111" s="6">
        <v>46102</v>
      </c>
      <c r="AN111" s="6"/>
      <c r="AO111" s="3" t="s">
        <v>1034</v>
      </c>
      <c r="AP111" s="3" t="s">
        <v>937</v>
      </c>
      <c r="AQ111" s="4"/>
      <c r="AR111" s="4"/>
      <c r="AS111" s="2"/>
    </row>
    <row r="112" ht="16.5" spans="1:45">
      <c r="A112" s="3" t="s">
        <v>422</v>
      </c>
      <c r="B112" s="3" t="s">
        <v>1030</v>
      </c>
      <c r="C112" s="3" t="s">
        <v>935</v>
      </c>
      <c r="D112" s="3" t="s">
        <v>1031</v>
      </c>
      <c r="E112" s="3" t="s">
        <v>1032</v>
      </c>
      <c r="F112" s="4">
        <v>13</v>
      </c>
      <c r="G112" s="4">
        <v>76</v>
      </c>
      <c r="H112" s="4">
        <v>0</v>
      </c>
      <c r="I112" s="4">
        <v>92</v>
      </c>
      <c r="J112" s="4">
        <v>29</v>
      </c>
      <c r="K112" s="4">
        <v>210</v>
      </c>
      <c r="L112" s="4">
        <v>40</v>
      </c>
      <c r="M112" s="5">
        <v>250</v>
      </c>
      <c r="N112" s="4">
        <v>4454.044248</v>
      </c>
      <c r="O112" s="4">
        <v>5302.433628</v>
      </c>
      <c r="P112" s="4">
        <v>0</v>
      </c>
      <c r="Q112" s="4">
        <v>0</v>
      </c>
      <c r="R112" s="4">
        <v>0</v>
      </c>
      <c r="S112" s="4">
        <v>23</v>
      </c>
      <c r="T112" s="4">
        <v>39</v>
      </c>
      <c r="U112" s="4">
        <v>0</v>
      </c>
      <c r="V112" s="4">
        <v>0</v>
      </c>
      <c r="W112" s="4">
        <v>0</v>
      </c>
      <c r="X112" s="4">
        <v>21.209734512</v>
      </c>
      <c r="Y112" s="4">
        <v>0</v>
      </c>
      <c r="Z112" s="4"/>
      <c r="AA112" s="4"/>
      <c r="AB112" s="4"/>
      <c r="AC112" s="4"/>
      <c r="AD112" s="4"/>
      <c r="AE112" s="4"/>
      <c r="AF112" s="4">
        <v>4.5</v>
      </c>
      <c r="AG112" s="4">
        <v>210</v>
      </c>
      <c r="AH112" s="4">
        <v>6</v>
      </c>
      <c r="AI112" s="4">
        <v>4454.044248</v>
      </c>
      <c r="AJ112" s="3" t="s">
        <v>1033</v>
      </c>
      <c r="AK112" s="4">
        <v>0</v>
      </c>
      <c r="AL112" s="4">
        <v>0</v>
      </c>
      <c r="AM112" s="6">
        <v>46117</v>
      </c>
      <c r="AN112" s="6"/>
      <c r="AO112" s="3" t="s">
        <v>1034</v>
      </c>
      <c r="AP112" s="3" t="s">
        <v>937</v>
      </c>
      <c r="AQ112" s="4"/>
      <c r="AR112" s="4"/>
      <c r="AS112" s="2"/>
    </row>
    <row r="113" ht="16.5" hidden="1" spans="1:45">
      <c r="A113" s="3" t="s">
        <v>755</v>
      </c>
      <c r="B113" s="3" t="s">
        <v>1030</v>
      </c>
      <c r="C113" s="3" t="s">
        <v>935</v>
      </c>
      <c r="D113" s="3" t="s">
        <v>1031</v>
      </c>
      <c r="E113" s="3" t="s">
        <v>1032</v>
      </c>
      <c r="F113" s="4">
        <v>84</v>
      </c>
      <c r="G113" s="4">
        <v>31</v>
      </c>
      <c r="H113" s="4">
        <v>0</v>
      </c>
      <c r="I113" s="4">
        <v>0</v>
      </c>
      <c r="J113" s="4">
        <v>95</v>
      </c>
      <c r="K113" s="4">
        <v>210</v>
      </c>
      <c r="L113" s="4">
        <v>90</v>
      </c>
      <c r="M113" s="5">
        <v>300</v>
      </c>
      <c r="N113" s="4">
        <v>5403.404174</v>
      </c>
      <c r="O113" s="4">
        <v>7719.14882</v>
      </c>
      <c r="P113" s="4">
        <v>14</v>
      </c>
      <c r="Q113" s="4">
        <v>31</v>
      </c>
      <c r="R113" s="4">
        <v>54</v>
      </c>
      <c r="S113" s="4">
        <v>40</v>
      </c>
      <c r="T113" s="4">
        <v>24</v>
      </c>
      <c r="U113" s="4">
        <v>0</v>
      </c>
      <c r="V113" s="4">
        <v>0</v>
      </c>
      <c r="W113" s="4">
        <v>34</v>
      </c>
      <c r="X113" s="4">
        <v>25.730496066</v>
      </c>
      <c r="Y113" s="4">
        <v>1389.446788</v>
      </c>
      <c r="Z113" s="4">
        <v>5.555555553956</v>
      </c>
      <c r="AA113" s="4">
        <v>3.888888887769</v>
      </c>
      <c r="AB113" s="4">
        <v>2.129629629256</v>
      </c>
      <c r="AC113" s="4">
        <v>1.555555555395</v>
      </c>
      <c r="AD113" s="4">
        <v>0</v>
      </c>
      <c r="AE113" s="4">
        <v>0</v>
      </c>
      <c r="AF113" s="4">
        <v>4.5</v>
      </c>
      <c r="AG113" s="4">
        <v>0</v>
      </c>
      <c r="AH113" s="4">
        <v>6</v>
      </c>
      <c r="AI113" s="4">
        <v>0</v>
      </c>
      <c r="AJ113" s="3" t="s">
        <v>1036</v>
      </c>
      <c r="AK113" s="4">
        <v>54</v>
      </c>
      <c r="AL113" s="4">
        <v>0</v>
      </c>
      <c r="AM113" s="6">
        <v>46094</v>
      </c>
      <c r="AN113" s="6"/>
      <c r="AO113" s="3" t="s">
        <v>1034</v>
      </c>
      <c r="AP113" s="3" t="s">
        <v>937</v>
      </c>
      <c r="AQ113" s="4"/>
      <c r="AR113" s="4"/>
      <c r="AS113" s="2"/>
    </row>
    <row r="114" ht="16.5" hidden="1" spans="1:45">
      <c r="A114" s="3" t="s">
        <v>318</v>
      </c>
      <c r="B114" s="3" t="s">
        <v>1030</v>
      </c>
      <c r="C114" s="3" t="s">
        <v>935</v>
      </c>
      <c r="D114" s="3" t="s">
        <v>1031</v>
      </c>
      <c r="E114" s="3" t="s">
        <v>1032</v>
      </c>
      <c r="F114" s="4">
        <v>46</v>
      </c>
      <c r="G114" s="4">
        <v>0</v>
      </c>
      <c r="H114" s="4">
        <v>0</v>
      </c>
      <c r="I114" s="4">
        <v>0</v>
      </c>
      <c r="J114" s="4">
        <v>164</v>
      </c>
      <c r="K114" s="4">
        <v>210</v>
      </c>
      <c r="L114" s="4">
        <v>25</v>
      </c>
      <c r="M114" s="5">
        <v>235</v>
      </c>
      <c r="N114" s="4">
        <v>4189.778761</v>
      </c>
      <c r="O114" s="4">
        <v>4688.561946</v>
      </c>
      <c r="P114" s="4">
        <v>9</v>
      </c>
      <c r="Q114" s="4">
        <v>18</v>
      </c>
      <c r="R114" s="4">
        <v>38</v>
      </c>
      <c r="S114" s="4">
        <v>26</v>
      </c>
      <c r="T114" s="4">
        <v>0</v>
      </c>
      <c r="U114" s="4">
        <v>155</v>
      </c>
      <c r="V114" s="4">
        <v>155</v>
      </c>
      <c r="W114" s="4">
        <v>155</v>
      </c>
      <c r="X114" s="4">
        <v>19.951327431</v>
      </c>
      <c r="Y114" s="4">
        <v>758.150442</v>
      </c>
      <c r="Z114" s="4">
        <v>6.184210529023</v>
      </c>
      <c r="AA114" s="4">
        <v>5.526315792875</v>
      </c>
      <c r="AB114" s="4">
        <v>1.210526316622</v>
      </c>
      <c r="AC114" s="4">
        <v>1.210526316622</v>
      </c>
      <c r="AD114" s="4">
        <v>0</v>
      </c>
      <c r="AE114" s="4">
        <v>0</v>
      </c>
      <c r="AF114" s="4">
        <v>4.5</v>
      </c>
      <c r="AG114" s="4">
        <v>0</v>
      </c>
      <c r="AH114" s="4">
        <v>6</v>
      </c>
      <c r="AI114" s="4">
        <v>0</v>
      </c>
      <c r="AJ114" s="3" t="s">
        <v>1033</v>
      </c>
      <c r="AK114" s="4">
        <v>38</v>
      </c>
      <c r="AL114" s="4">
        <v>0</v>
      </c>
      <c r="AM114" s="6">
        <v>46178</v>
      </c>
      <c r="AN114" s="6"/>
      <c r="AO114" s="3" t="s">
        <v>1034</v>
      </c>
      <c r="AP114" s="3" t="s">
        <v>937</v>
      </c>
      <c r="AQ114" s="4"/>
      <c r="AR114" s="4"/>
      <c r="AS114" s="2"/>
    </row>
    <row r="115" ht="16.5" hidden="1" spans="1:45">
      <c r="A115" s="3" t="s">
        <v>816</v>
      </c>
      <c r="B115" s="3" t="s">
        <v>1030</v>
      </c>
      <c r="C115" s="3" t="s">
        <v>935</v>
      </c>
      <c r="D115" s="3" t="s">
        <v>1031</v>
      </c>
      <c r="E115" s="3" t="s">
        <v>1032</v>
      </c>
      <c r="F115" s="4">
        <v>62</v>
      </c>
      <c r="G115" s="4">
        <v>23</v>
      </c>
      <c r="H115" s="4">
        <v>50</v>
      </c>
      <c r="I115" s="4">
        <v>50</v>
      </c>
      <c r="J115" s="4">
        <v>24</v>
      </c>
      <c r="K115" s="4">
        <v>209</v>
      </c>
      <c r="L115" s="4">
        <v>60</v>
      </c>
      <c r="M115" s="5">
        <v>269</v>
      </c>
      <c r="N115" s="4">
        <v>4011.690266</v>
      </c>
      <c r="O115" s="4">
        <v>5163.371682</v>
      </c>
      <c r="P115" s="4">
        <v>4</v>
      </c>
      <c r="Q115" s="4">
        <v>12</v>
      </c>
      <c r="R115" s="4">
        <v>26</v>
      </c>
      <c r="S115" s="4">
        <v>6</v>
      </c>
      <c r="T115" s="4">
        <v>10</v>
      </c>
      <c r="U115" s="4">
        <v>0</v>
      </c>
      <c r="V115" s="4">
        <v>0</v>
      </c>
      <c r="W115" s="4">
        <v>0</v>
      </c>
      <c r="X115" s="4">
        <v>19.194690267</v>
      </c>
      <c r="Y115" s="4">
        <v>499.061947</v>
      </c>
      <c r="Z115" s="4">
        <v>10.346153845306</v>
      </c>
      <c r="AA115" s="4">
        <v>8.038461537922</v>
      </c>
      <c r="AB115" s="4">
        <v>7.115384615769</v>
      </c>
      <c r="AC115" s="4">
        <v>2.384615385231</v>
      </c>
      <c r="AD115" s="4">
        <v>1.923076922152</v>
      </c>
      <c r="AE115" s="4">
        <v>1.923076922152</v>
      </c>
      <c r="AF115" s="4">
        <v>4.5</v>
      </c>
      <c r="AG115" s="4">
        <v>53</v>
      </c>
      <c r="AH115" s="4">
        <v>6</v>
      </c>
      <c r="AI115" s="4">
        <v>1017.318584</v>
      </c>
      <c r="AJ115" s="3" t="s">
        <v>1033</v>
      </c>
      <c r="AK115" s="4">
        <v>26</v>
      </c>
      <c r="AL115" s="4">
        <v>0</v>
      </c>
      <c r="AM115" s="6">
        <v>46156</v>
      </c>
      <c r="AN115" s="6">
        <v>46237</v>
      </c>
      <c r="AO115" s="3" t="s">
        <v>1034</v>
      </c>
      <c r="AP115" s="3" t="s">
        <v>937</v>
      </c>
      <c r="AQ115" s="4"/>
      <c r="AR115" s="4"/>
      <c r="AS115" s="2"/>
    </row>
    <row r="116" ht="16.5" hidden="1" spans="1:45">
      <c r="A116" s="3" t="s">
        <v>123</v>
      </c>
      <c r="B116" s="3" t="s">
        <v>1030</v>
      </c>
      <c r="C116" s="3" t="s">
        <v>935</v>
      </c>
      <c r="D116" s="3" t="s">
        <v>1031</v>
      </c>
      <c r="E116" s="3" t="s">
        <v>1032</v>
      </c>
      <c r="F116" s="4">
        <v>54</v>
      </c>
      <c r="G116" s="4">
        <v>150</v>
      </c>
      <c r="H116" s="4">
        <v>0</v>
      </c>
      <c r="I116" s="4">
        <v>4</v>
      </c>
      <c r="J116" s="4">
        <v>1</v>
      </c>
      <c r="K116" s="4">
        <v>209</v>
      </c>
      <c r="L116" s="4">
        <v>0</v>
      </c>
      <c r="M116" s="5">
        <v>209</v>
      </c>
      <c r="N116" s="4">
        <v>5687.944247</v>
      </c>
      <c r="O116" s="4">
        <v>5687.944247</v>
      </c>
      <c r="P116" s="4">
        <v>0</v>
      </c>
      <c r="Q116" s="4">
        <v>2</v>
      </c>
      <c r="R116" s="4">
        <v>7</v>
      </c>
      <c r="S116" s="4">
        <v>12</v>
      </c>
      <c r="T116" s="4">
        <v>19</v>
      </c>
      <c r="U116" s="4">
        <v>0</v>
      </c>
      <c r="V116" s="4">
        <v>0</v>
      </c>
      <c r="W116" s="4">
        <v>0</v>
      </c>
      <c r="X116" s="4">
        <v>27.215044245</v>
      </c>
      <c r="Y116" s="4">
        <v>190.50531</v>
      </c>
      <c r="Z116" s="4">
        <v>29.857142811399</v>
      </c>
      <c r="AA116" s="4">
        <v>29.857142811399</v>
      </c>
      <c r="AB116" s="4">
        <v>29.714285670042</v>
      </c>
      <c r="AC116" s="4">
        <v>7.714285701537</v>
      </c>
      <c r="AD116" s="4">
        <v>0</v>
      </c>
      <c r="AE116" s="4">
        <v>0.571428570678</v>
      </c>
      <c r="AF116" s="4">
        <v>4.5</v>
      </c>
      <c r="AG116" s="4">
        <v>167</v>
      </c>
      <c r="AH116" s="4">
        <v>6</v>
      </c>
      <c r="AI116" s="4">
        <v>4544.912389</v>
      </c>
      <c r="AJ116" s="3" t="s">
        <v>1033</v>
      </c>
      <c r="AK116" s="4">
        <v>7</v>
      </c>
      <c r="AL116" s="4">
        <v>0</v>
      </c>
      <c r="AM116" s="6">
        <v>46101</v>
      </c>
      <c r="AN116" s="6"/>
      <c r="AO116" s="3" t="s">
        <v>1034</v>
      </c>
      <c r="AP116" s="3" t="s">
        <v>937</v>
      </c>
      <c r="AQ116" s="4"/>
      <c r="AR116" s="4"/>
      <c r="AS116" s="2"/>
    </row>
    <row r="117" ht="16.5" spans="1:45">
      <c r="A117" s="3" t="s">
        <v>832</v>
      </c>
      <c r="B117" s="3" t="s">
        <v>1030</v>
      </c>
      <c r="C117" s="3" t="s">
        <v>935</v>
      </c>
      <c r="D117" s="3" t="s">
        <v>1031</v>
      </c>
      <c r="E117" s="3" t="s">
        <v>1032</v>
      </c>
      <c r="F117" s="4">
        <v>47</v>
      </c>
      <c r="G117" s="4">
        <v>0</v>
      </c>
      <c r="H117" s="4">
        <v>60</v>
      </c>
      <c r="I117" s="4">
        <v>0</v>
      </c>
      <c r="J117" s="4">
        <v>102</v>
      </c>
      <c r="K117" s="4">
        <v>209</v>
      </c>
      <c r="L117" s="4">
        <v>110</v>
      </c>
      <c r="M117" s="5">
        <v>319</v>
      </c>
      <c r="N117" s="4">
        <v>4674.20177</v>
      </c>
      <c r="O117" s="4">
        <v>7134.307964</v>
      </c>
      <c r="P117" s="4">
        <v>2</v>
      </c>
      <c r="Q117" s="4">
        <v>7</v>
      </c>
      <c r="R117" s="4">
        <v>39</v>
      </c>
      <c r="S117" s="4">
        <v>32</v>
      </c>
      <c r="T117" s="4">
        <v>54</v>
      </c>
      <c r="U117" s="4">
        <v>60</v>
      </c>
      <c r="V117" s="4">
        <v>60</v>
      </c>
      <c r="W117" s="4">
        <v>60</v>
      </c>
      <c r="X117" s="4">
        <v>22.364601768</v>
      </c>
      <c r="Y117" s="4">
        <v>872.219469</v>
      </c>
      <c r="Z117" s="4">
        <v>8.179487179046</v>
      </c>
      <c r="AA117" s="4">
        <v>5.358974359238</v>
      </c>
      <c r="AB117" s="4">
        <v>2.743589744383</v>
      </c>
      <c r="AC117" s="4">
        <v>1.205128204951</v>
      </c>
      <c r="AD117" s="4">
        <v>1.538461538285</v>
      </c>
      <c r="AE117" s="4">
        <v>0</v>
      </c>
      <c r="AF117" s="4">
        <v>4.5</v>
      </c>
      <c r="AG117" s="4">
        <v>0</v>
      </c>
      <c r="AH117" s="4">
        <v>6</v>
      </c>
      <c r="AI117" s="4">
        <v>0</v>
      </c>
      <c r="AJ117" s="3" t="s">
        <v>1033</v>
      </c>
      <c r="AK117" s="4">
        <v>39</v>
      </c>
      <c r="AL117" s="4">
        <v>0</v>
      </c>
      <c r="AM117" s="6">
        <v>46128</v>
      </c>
      <c r="AN117" s="6">
        <v>46236</v>
      </c>
      <c r="AO117" s="3" t="s">
        <v>1034</v>
      </c>
      <c r="AP117" s="3" t="s">
        <v>937</v>
      </c>
      <c r="AQ117" s="4"/>
      <c r="AR117" s="4"/>
      <c r="AS117" s="2"/>
    </row>
    <row r="118" ht="16.5" hidden="1" spans="1:45">
      <c r="A118" s="3" t="s">
        <v>143</v>
      </c>
      <c r="B118" s="3" t="s">
        <v>1030</v>
      </c>
      <c r="C118" s="3" t="s">
        <v>935</v>
      </c>
      <c r="D118" s="3" t="s">
        <v>1031</v>
      </c>
      <c r="E118" s="3" t="s">
        <v>1032</v>
      </c>
      <c r="F118" s="4">
        <v>13</v>
      </c>
      <c r="G118" s="4">
        <v>180</v>
      </c>
      <c r="H118" s="4">
        <v>0</v>
      </c>
      <c r="I118" s="4">
        <v>2</v>
      </c>
      <c r="J118" s="4">
        <v>8</v>
      </c>
      <c r="K118" s="4">
        <v>203</v>
      </c>
      <c r="L118" s="4">
        <v>639</v>
      </c>
      <c r="M118" s="5">
        <v>842</v>
      </c>
      <c r="N118" s="4">
        <v>3999.99823</v>
      </c>
      <c r="O118" s="4">
        <v>16591.125664</v>
      </c>
      <c r="P118" s="4">
        <v>4</v>
      </c>
      <c r="Q118" s="4">
        <v>11</v>
      </c>
      <c r="R118" s="4">
        <v>14</v>
      </c>
      <c r="S118" s="4">
        <v>1</v>
      </c>
      <c r="T118" s="4">
        <v>107</v>
      </c>
      <c r="U118" s="4">
        <v>0</v>
      </c>
      <c r="V118" s="4">
        <v>0</v>
      </c>
      <c r="W118" s="4">
        <v>0</v>
      </c>
      <c r="X118" s="4">
        <v>19.704424779</v>
      </c>
      <c r="Y118" s="4">
        <v>275.861947</v>
      </c>
      <c r="Z118" s="4">
        <v>60.14285712266</v>
      </c>
      <c r="AA118" s="4">
        <v>14.499999994562</v>
      </c>
      <c r="AB118" s="4">
        <v>13.928571424169</v>
      </c>
      <c r="AC118" s="4">
        <v>0.928571427794</v>
      </c>
      <c r="AD118" s="4">
        <v>0</v>
      </c>
      <c r="AE118" s="4">
        <v>0.14285714441</v>
      </c>
      <c r="AF118" s="4">
        <v>4.5</v>
      </c>
      <c r="AG118" s="4">
        <v>119</v>
      </c>
      <c r="AH118" s="4">
        <v>6</v>
      </c>
      <c r="AI118" s="4">
        <v>2344.826549</v>
      </c>
      <c r="AJ118" s="3" t="s">
        <v>1033</v>
      </c>
      <c r="AK118" s="4">
        <v>14</v>
      </c>
      <c r="AL118" s="4">
        <v>0</v>
      </c>
      <c r="AM118" s="6">
        <v>46102</v>
      </c>
      <c r="AN118" s="6"/>
      <c r="AO118" s="3" t="s">
        <v>1034</v>
      </c>
      <c r="AP118" s="3" t="s">
        <v>937</v>
      </c>
      <c r="AQ118" s="4"/>
      <c r="AR118" s="4"/>
      <c r="AS118" s="2"/>
    </row>
    <row r="119" ht="16.5" hidden="1" spans="1:45">
      <c r="A119" s="3" t="s">
        <v>354</v>
      </c>
      <c r="B119" s="3" t="s">
        <v>1030</v>
      </c>
      <c r="C119" s="3" t="s">
        <v>935</v>
      </c>
      <c r="D119" s="3" t="s">
        <v>1031</v>
      </c>
      <c r="E119" s="3" t="s">
        <v>1032</v>
      </c>
      <c r="F119" s="4">
        <v>51</v>
      </c>
      <c r="G119" s="4">
        <v>6</v>
      </c>
      <c r="H119" s="4">
        <v>0</v>
      </c>
      <c r="I119" s="4">
        <v>120</v>
      </c>
      <c r="J119" s="4">
        <v>25</v>
      </c>
      <c r="K119" s="4">
        <v>202</v>
      </c>
      <c r="L119" s="4">
        <v>158</v>
      </c>
      <c r="M119" s="5">
        <v>360</v>
      </c>
      <c r="N119" s="4">
        <v>4236.100886</v>
      </c>
      <c r="O119" s="4">
        <v>7549.486727</v>
      </c>
      <c r="P119" s="4">
        <v>15</v>
      </c>
      <c r="Q119" s="4">
        <v>27</v>
      </c>
      <c r="R119" s="4">
        <v>62</v>
      </c>
      <c r="S119" s="4">
        <v>37</v>
      </c>
      <c r="T119" s="4">
        <v>4</v>
      </c>
      <c r="U119" s="4">
        <v>0</v>
      </c>
      <c r="V119" s="4">
        <v>0</v>
      </c>
      <c r="W119" s="4">
        <v>18</v>
      </c>
      <c r="X119" s="4">
        <v>20.970796464</v>
      </c>
      <c r="Y119" s="4">
        <v>1300.189381</v>
      </c>
      <c r="Z119" s="4">
        <v>5.806451611836</v>
      </c>
      <c r="AA119" s="4">
        <v>3.258064515756</v>
      </c>
      <c r="AB119" s="4">
        <v>2.854838709069</v>
      </c>
      <c r="AC119" s="4">
        <v>0.822580645272</v>
      </c>
      <c r="AD119" s="4">
        <v>0</v>
      </c>
      <c r="AE119" s="4">
        <v>1.935483870868</v>
      </c>
      <c r="AF119" s="4">
        <v>4.5</v>
      </c>
      <c r="AG119" s="4">
        <v>0</v>
      </c>
      <c r="AH119" s="4">
        <v>6</v>
      </c>
      <c r="AI119" s="4">
        <v>0</v>
      </c>
      <c r="AJ119" s="3" t="s">
        <v>1033</v>
      </c>
      <c r="AK119" s="4">
        <v>62</v>
      </c>
      <c r="AL119" s="4">
        <v>0</v>
      </c>
      <c r="AM119" s="6">
        <v>46167</v>
      </c>
      <c r="AN119" s="6"/>
      <c r="AO119" s="3" t="s">
        <v>1034</v>
      </c>
      <c r="AP119" s="3" t="s">
        <v>937</v>
      </c>
      <c r="AQ119" s="4"/>
      <c r="AR119" s="4"/>
      <c r="AS119" s="2"/>
    </row>
    <row r="120" ht="16.5" spans="1:45">
      <c r="A120" s="3" t="s">
        <v>259</v>
      </c>
      <c r="B120" s="3" t="s">
        <v>1030</v>
      </c>
      <c r="C120" s="3" t="s">
        <v>935</v>
      </c>
      <c r="D120" s="3" t="s">
        <v>1031</v>
      </c>
      <c r="E120" s="3" t="s">
        <v>1032</v>
      </c>
      <c r="F120" s="4">
        <v>12</v>
      </c>
      <c r="G120" s="4">
        <v>120</v>
      </c>
      <c r="H120" s="4">
        <v>0</v>
      </c>
      <c r="I120" s="4">
        <v>0</v>
      </c>
      <c r="J120" s="4">
        <v>70</v>
      </c>
      <c r="K120" s="4">
        <v>202</v>
      </c>
      <c r="L120" s="4">
        <v>354</v>
      </c>
      <c r="M120" s="5">
        <v>556</v>
      </c>
      <c r="N120" s="4">
        <v>4136.352213</v>
      </c>
      <c r="O120" s="4">
        <v>11385.20708</v>
      </c>
      <c r="P120" s="4">
        <v>6</v>
      </c>
      <c r="Q120" s="4">
        <v>6</v>
      </c>
      <c r="R120" s="4">
        <v>6</v>
      </c>
      <c r="S120" s="4">
        <v>22</v>
      </c>
      <c r="T120" s="4">
        <v>76</v>
      </c>
      <c r="U120" s="4">
        <v>0</v>
      </c>
      <c r="V120" s="4">
        <v>0</v>
      </c>
      <c r="W120" s="4">
        <v>20</v>
      </c>
      <c r="X120" s="4">
        <v>20.476991151</v>
      </c>
      <c r="Y120" s="4">
        <v>122.861947</v>
      </c>
      <c r="Z120" s="4">
        <v>92.666666596126</v>
      </c>
      <c r="AA120" s="4">
        <v>33.666666644962</v>
      </c>
      <c r="AB120" s="4">
        <v>21.999999983721</v>
      </c>
      <c r="AC120" s="4">
        <v>2</v>
      </c>
      <c r="AD120" s="4">
        <v>0</v>
      </c>
      <c r="AE120" s="4">
        <v>0</v>
      </c>
      <c r="AF120" s="4">
        <v>4.5</v>
      </c>
      <c r="AG120" s="4">
        <v>166</v>
      </c>
      <c r="AH120" s="4">
        <v>6</v>
      </c>
      <c r="AI120" s="4">
        <v>3399.180531</v>
      </c>
      <c r="AJ120" s="3" t="s">
        <v>1033</v>
      </c>
      <c r="AK120" s="4">
        <v>6</v>
      </c>
      <c r="AL120" s="4">
        <v>0</v>
      </c>
      <c r="AM120" s="6">
        <v>46126</v>
      </c>
      <c r="AN120" s="6"/>
      <c r="AO120" s="3" t="s">
        <v>1034</v>
      </c>
      <c r="AP120" s="3" t="s">
        <v>937</v>
      </c>
      <c r="AQ120" s="4"/>
      <c r="AR120" s="4"/>
      <c r="AS120" s="2"/>
    </row>
    <row r="121" ht="16.5" spans="1:45">
      <c r="A121" s="3" t="s">
        <v>426</v>
      </c>
      <c r="B121" s="3" t="s">
        <v>1030</v>
      </c>
      <c r="C121" s="3" t="s">
        <v>935</v>
      </c>
      <c r="D121" s="3" t="s">
        <v>1031</v>
      </c>
      <c r="E121" s="3" t="s">
        <v>1032</v>
      </c>
      <c r="F121" s="4">
        <v>24</v>
      </c>
      <c r="G121" s="4">
        <v>111</v>
      </c>
      <c r="H121" s="4">
        <v>0</v>
      </c>
      <c r="I121" s="4">
        <v>47</v>
      </c>
      <c r="J121" s="4">
        <v>18</v>
      </c>
      <c r="K121" s="4">
        <v>200</v>
      </c>
      <c r="L121" s="4">
        <v>60</v>
      </c>
      <c r="M121" s="5">
        <v>260</v>
      </c>
      <c r="N121" s="4">
        <v>3034.513274</v>
      </c>
      <c r="O121" s="4">
        <v>3944.867257</v>
      </c>
      <c r="P121" s="4">
        <v>10</v>
      </c>
      <c r="Q121" s="4">
        <v>19</v>
      </c>
      <c r="R121" s="4">
        <v>42</v>
      </c>
      <c r="S121" s="4">
        <v>22</v>
      </c>
      <c r="T121" s="4">
        <v>34</v>
      </c>
      <c r="U121" s="4">
        <v>0</v>
      </c>
      <c r="V121" s="4">
        <v>0</v>
      </c>
      <c r="W121" s="4">
        <v>6</v>
      </c>
      <c r="X121" s="4">
        <v>15.172566372</v>
      </c>
      <c r="Y121" s="4">
        <v>637.247788</v>
      </c>
      <c r="Z121" s="4">
        <v>6.190476187262</v>
      </c>
      <c r="AA121" s="4">
        <v>4.761904758467</v>
      </c>
      <c r="AB121" s="4">
        <v>4.333333329671</v>
      </c>
      <c r="AC121" s="4">
        <v>0.571428571204</v>
      </c>
      <c r="AD121" s="4">
        <v>0</v>
      </c>
      <c r="AE121" s="4">
        <v>1.119047617627</v>
      </c>
      <c r="AF121" s="4">
        <v>4.5</v>
      </c>
      <c r="AG121" s="4">
        <v>0</v>
      </c>
      <c r="AH121" s="4">
        <v>6</v>
      </c>
      <c r="AI121" s="4">
        <v>0</v>
      </c>
      <c r="AJ121" s="3" t="s">
        <v>1033</v>
      </c>
      <c r="AK121" s="4">
        <v>42</v>
      </c>
      <c r="AL121" s="4">
        <v>0</v>
      </c>
      <c r="AM121" s="6">
        <v>46126</v>
      </c>
      <c r="AN121" s="6"/>
      <c r="AO121" s="3" t="s">
        <v>1034</v>
      </c>
      <c r="AP121" s="3" t="s">
        <v>937</v>
      </c>
      <c r="AQ121" s="4"/>
      <c r="AR121" s="4"/>
      <c r="AS121" s="2"/>
    </row>
    <row r="122" ht="16.5" hidden="1" spans="1:45">
      <c r="A122" s="3" t="s">
        <v>410</v>
      </c>
      <c r="B122" s="3" t="s">
        <v>1030</v>
      </c>
      <c r="C122" s="3" t="s">
        <v>935</v>
      </c>
      <c r="D122" s="3" t="s">
        <v>1031</v>
      </c>
      <c r="E122" s="3" t="s">
        <v>1032</v>
      </c>
      <c r="F122" s="4">
        <v>130</v>
      </c>
      <c r="G122" s="4">
        <v>0</v>
      </c>
      <c r="H122" s="4">
        <v>17</v>
      </c>
      <c r="I122" s="4">
        <v>26</v>
      </c>
      <c r="J122" s="4">
        <v>26</v>
      </c>
      <c r="K122" s="4">
        <v>199</v>
      </c>
      <c r="L122" s="4">
        <v>51</v>
      </c>
      <c r="M122" s="5">
        <v>250</v>
      </c>
      <c r="N122" s="4">
        <v>3691.361947</v>
      </c>
      <c r="O122" s="4">
        <v>4637.389381</v>
      </c>
      <c r="P122" s="4">
        <v>3</v>
      </c>
      <c r="Q122" s="4">
        <v>7</v>
      </c>
      <c r="R122" s="4">
        <v>16</v>
      </c>
      <c r="S122" s="4">
        <v>10</v>
      </c>
      <c r="T122" s="4">
        <v>15</v>
      </c>
      <c r="U122" s="4">
        <v>0</v>
      </c>
      <c r="V122" s="4">
        <v>0</v>
      </c>
      <c r="W122" s="4">
        <v>0</v>
      </c>
      <c r="X122" s="4">
        <v>18.549557523</v>
      </c>
      <c r="Y122" s="4">
        <v>296.79292</v>
      </c>
      <c r="Z122" s="4">
        <v>15.625000020216</v>
      </c>
      <c r="AA122" s="4">
        <v>12.437500015162</v>
      </c>
      <c r="AB122" s="4">
        <v>10.812500011792</v>
      </c>
      <c r="AC122" s="4">
        <v>8.125000010108</v>
      </c>
      <c r="AD122" s="4">
        <v>1.062500001684</v>
      </c>
      <c r="AE122" s="4">
        <v>1.625000003369</v>
      </c>
      <c r="AF122" s="4">
        <v>4.5</v>
      </c>
      <c r="AG122" s="4">
        <v>103</v>
      </c>
      <c r="AH122" s="4">
        <v>6</v>
      </c>
      <c r="AI122" s="4">
        <v>1910.604425</v>
      </c>
      <c r="AJ122" s="3" t="s">
        <v>1033</v>
      </c>
      <c r="AK122" s="4">
        <v>16</v>
      </c>
      <c r="AL122" s="4">
        <v>0</v>
      </c>
      <c r="AM122" s="6">
        <v>46101</v>
      </c>
      <c r="AN122" s="6">
        <v>46236</v>
      </c>
      <c r="AO122" s="3" t="s">
        <v>1034</v>
      </c>
      <c r="AP122" s="3" t="s">
        <v>937</v>
      </c>
      <c r="AQ122" s="4"/>
      <c r="AR122" s="4"/>
      <c r="AS122" s="2"/>
    </row>
    <row r="123" ht="16.5" hidden="1" spans="1:45">
      <c r="A123" s="3" t="s">
        <v>366</v>
      </c>
      <c r="B123" s="3" t="s">
        <v>1030</v>
      </c>
      <c r="C123" s="3" t="s">
        <v>935</v>
      </c>
      <c r="D123" s="3" t="s">
        <v>1031</v>
      </c>
      <c r="E123" s="3" t="s">
        <v>1032</v>
      </c>
      <c r="F123" s="4">
        <v>5</v>
      </c>
      <c r="G123" s="4">
        <v>108</v>
      </c>
      <c r="H123" s="4">
        <v>0</v>
      </c>
      <c r="I123" s="4">
        <v>0</v>
      </c>
      <c r="J123" s="4">
        <v>83</v>
      </c>
      <c r="K123" s="4">
        <v>196</v>
      </c>
      <c r="L123" s="4">
        <v>343</v>
      </c>
      <c r="M123" s="5">
        <v>539</v>
      </c>
      <c r="N123" s="4">
        <v>3788.697346</v>
      </c>
      <c r="O123" s="4">
        <v>10418.917701</v>
      </c>
      <c r="P123" s="4">
        <v>1</v>
      </c>
      <c r="Q123" s="4">
        <v>10</v>
      </c>
      <c r="R123" s="4">
        <v>10</v>
      </c>
      <c r="S123" s="4">
        <v>9</v>
      </c>
      <c r="T123" s="4">
        <v>68</v>
      </c>
      <c r="U123" s="4">
        <v>0</v>
      </c>
      <c r="V123" s="4">
        <v>0</v>
      </c>
      <c r="W123" s="4">
        <v>200</v>
      </c>
      <c r="X123" s="4">
        <v>19.330088499</v>
      </c>
      <c r="Y123" s="4">
        <v>193.300885</v>
      </c>
      <c r="Z123" s="4">
        <v>53.899999997413</v>
      </c>
      <c r="AA123" s="4">
        <v>19.6</v>
      </c>
      <c r="AB123" s="4">
        <v>11.300000002586</v>
      </c>
      <c r="AC123" s="4">
        <v>0.499999997413</v>
      </c>
      <c r="AD123" s="4">
        <v>0</v>
      </c>
      <c r="AE123" s="4">
        <v>0</v>
      </c>
      <c r="AF123" s="4">
        <v>4.5</v>
      </c>
      <c r="AG123" s="4">
        <v>136</v>
      </c>
      <c r="AH123" s="4">
        <v>6</v>
      </c>
      <c r="AI123" s="4">
        <v>2628.892036</v>
      </c>
      <c r="AJ123" s="3" t="s">
        <v>1033</v>
      </c>
      <c r="AK123" s="4">
        <v>10</v>
      </c>
      <c r="AL123" s="4">
        <v>0</v>
      </c>
      <c r="AM123" s="6">
        <v>46110</v>
      </c>
      <c r="AN123" s="6"/>
      <c r="AO123" s="3" t="s">
        <v>1034</v>
      </c>
      <c r="AP123" s="3" t="s">
        <v>937</v>
      </c>
      <c r="AQ123" s="4"/>
      <c r="AR123" s="4"/>
      <c r="AS123" s="2"/>
    </row>
    <row r="124" ht="16.5" spans="1:45">
      <c r="A124" s="3" t="s">
        <v>858</v>
      </c>
      <c r="B124" s="3" t="s">
        <v>1030</v>
      </c>
      <c r="C124" s="3" t="s">
        <v>935</v>
      </c>
      <c r="D124" s="3" t="s">
        <v>1031</v>
      </c>
      <c r="E124" s="3" t="s">
        <v>1032</v>
      </c>
      <c r="F124" s="4">
        <v>185</v>
      </c>
      <c r="G124" s="4">
        <v>0</v>
      </c>
      <c r="H124" s="4">
        <v>0</v>
      </c>
      <c r="I124" s="4">
        <v>0</v>
      </c>
      <c r="J124" s="4">
        <v>10</v>
      </c>
      <c r="K124" s="4">
        <v>195</v>
      </c>
      <c r="L124" s="4">
        <v>0</v>
      </c>
      <c r="M124" s="5">
        <v>195</v>
      </c>
      <c r="N124" s="4">
        <v>3722.774336</v>
      </c>
      <c r="O124" s="4">
        <v>3722.774336</v>
      </c>
      <c r="P124" s="4">
        <v>4</v>
      </c>
      <c r="Q124" s="4">
        <v>10</v>
      </c>
      <c r="R124" s="4">
        <v>25</v>
      </c>
      <c r="S124" s="4">
        <v>9</v>
      </c>
      <c r="T124" s="4">
        <v>16</v>
      </c>
      <c r="U124" s="4">
        <v>0</v>
      </c>
      <c r="V124" s="4">
        <v>0</v>
      </c>
      <c r="W124" s="4">
        <v>0</v>
      </c>
      <c r="X124" s="4">
        <v>19.091150442</v>
      </c>
      <c r="Y124" s="4">
        <v>477.278761</v>
      </c>
      <c r="Z124" s="4">
        <v>7.800000000419</v>
      </c>
      <c r="AA124" s="4">
        <v>7.800000000419</v>
      </c>
      <c r="AB124" s="4">
        <v>7.400000001257</v>
      </c>
      <c r="AC124" s="4">
        <v>7.400000001257</v>
      </c>
      <c r="AD124" s="4">
        <v>0</v>
      </c>
      <c r="AE124" s="4">
        <v>0</v>
      </c>
      <c r="AF124" s="4">
        <v>4.5</v>
      </c>
      <c r="AG124" s="4">
        <v>45</v>
      </c>
      <c r="AH124" s="4">
        <v>6</v>
      </c>
      <c r="AI124" s="4">
        <v>859.10177</v>
      </c>
      <c r="AJ124" s="3" t="s">
        <v>1033</v>
      </c>
      <c r="AK124" s="4">
        <v>25</v>
      </c>
      <c r="AL124" s="4">
        <v>0</v>
      </c>
      <c r="AM124" s="6">
        <v>46137</v>
      </c>
      <c r="AN124" s="6"/>
      <c r="AO124" s="3" t="s">
        <v>1034</v>
      </c>
      <c r="AP124" s="3" t="s">
        <v>937</v>
      </c>
      <c r="AQ124" s="4"/>
      <c r="AR124" s="4"/>
      <c r="AS124" s="2"/>
    </row>
    <row r="125" ht="16.5" hidden="1" spans="1:45">
      <c r="A125" s="3" t="s">
        <v>231</v>
      </c>
      <c r="B125" s="3" t="s">
        <v>1030</v>
      </c>
      <c r="C125" s="3" t="s">
        <v>935</v>
      </c>
      <c r="D125" s="3" t="s">
        <v>1031</v>
      </c>
      <c r="E125" s="3" t="s">
        <v>1032</v>
      </c>
      <c r="F125" s="4">
        <v>2</v>
      </c>
      <c r="G125" s="4">
        <v>184</v>
      </c>
      <c r="H125" s="4">
        <v>0</v>
      </c>
      <c r="I125" s="4">
        <v>6</v>
      </c>
      <c r="J125" s="4">
        <v>0</v>
      </c>
      <c r="K125" s="4">
        <v>192</v>
      </c>
      <c r="L125" s="4">
        <v>420</v>
      </c>
      <c r="M125" s="5">
        <v>612</v>
      </c>
      <c r="N125" s="4">
        <v>3475.879646</v>
      </c>
      <c r="O125" s="4">
        <v>11079.366373</v>
      </c>
      <c r="P125" s="4">
        <v>1</v>
      </c>
      <c r="Q125" s="4">
        <v>8</v>
      </c>
      <c r="R125" s="4">
        <v>14</v>
      </c>
      <c r="S125" s="4">
        <v>102</v>
      </c>
      <c r="T125" s="4">
        <v>110</v>
      </c>
      <c r="U125" s="4">
        <v>0</v>
      </c>
      <c r="V125" s="4">
        <v>0</v>
      </c>
      <c r="W125" s="4">
        <v>200</v>
      </c>
      <c r="X125" s="4">
        <v>18.103539825</v>
      </c>
      <c r="Y125" s="4">
        <v>253.449558</v>
      </c>
      <c r="Z125" s="4">
        <v>43.714285637065</v>
      </c>
      <c r="AA125" s="4">
        <v>13.714285688357</v>
      </c>
      <c r="AB125" s="4">
        <v>13.714285688357</v>
      </c>
      <c r="AC125" s="4">
        <v>0.142857143984</v>
      </c>
      <c r="AD125" s="4">
        <v>0</v>
      </c>
      <c r="AE125" s="4">
        <v>0.428571428007</v>
      </c>
      <c r="AF125" s="4">
        <v>4.5</v>
      </c>
      <c r="AG125" s="4">
        <v>108</v>
      </c>
      <c r="AH125" s="4">
        <v>6</v>
      </c>
      <c r="AI125" s="4">
        <v>1955.182301</v>
      </c>
      <c r="AJ125" s="3" t="s">
        <v>1033</v>
      </c>
      <c r="AK125" s="4">
        <v>14</v>
      </c>
      <c r="AL125" s="4">
        <v>0</v>
      </c>
      <c r="AM125" s="6">
        <v>46102</v>
      </c>
      <c r="AN125" s="6"/>
      <c r="AO125" s="3" t="s">
        <v>1034</v>
      </c>
      <c r="AP125" s="3" t="s">
        <v>937</v>
      </c>
      <c r="AQ125" s="4"/>
      <c r="AR125" s="4"/>
      <c r="AS125" s="2"/>
    </row>
    <row r="126" ht="16.5" hidden="1" spans="1:45">
      <c r="A126" s="3" t="s">
        <v>814</v>
      </c>
      <c r="B126" s="3" t="s">
        <v>1030</v>
      </c>
      <c r="C126" s="3" t="s">
        <v>935</v>
      </c>
      <c r="D126" s="3" t="s">
        <v>1038</v>
      </c>
      <c r="E126" s="3" t="s">
        <v>1032</v>
      </c>
      <c r="F126" s="4">
        <v>122</v>
      </c>
      <c r="G126" s="4">
        <v>0</v>
      </c>
      <c r="H126" s="4">
        <v>64</v>
      </c>
      <c r="I126" s="4">
        <v>0</v>
      </c>
      <c r="J126" s="4">
        <v>6</v>
      </c>
      <c r="K126" s="4">
        <v>192</v>
      </c>
      <c r="L126" s="4">
        <v>0</v>
      </c>
      <c r="M126" s="5">
        <v>192</v>
      </c>
      <c r="N126" s="4">
        <v>4619.723893</v>
      </c>
      <c r="O126" s="4">
        <v>4619.723893</v>
      </c>
      <c r="P126" s="4">
        <v>2</v>
      </c>
      <c r="Q126" s="4">
        <v>4</v>
      </c>
      <c r="R126" s="4">
        <v>7</v>
      </c>
      <c r="S126" s="4">
        <v>2</v>
      </c>
      <c r="T126" s="4">
        <v>25</v>
      </c>
      <c r="U126" s="4">
        <v>0</v>
      </c>
      <c r="V126" s="4">
        <v>0</v>
      </c>
      <c r="W126" s="4">
        <v>0</v>
      </c>
      <c r="X126" s="4">
        <v>24.061061943</v>
      </c>
      <c r="Y126" s="4">
        <v>168.427434</v>
      </c>
      <c r="Z126" s="4">
        <v>27.428571363261</v>
      </c>
      <c r="AA126" s="4">
        <v>27.428571363261</v>
      </c>
      <c r="AB126" s="4">
        <v>26.571428506118</v>
      </c>
      <c r="AC126" s="4">
        <v>17.42857138701</v>
      </c>
      <c r="AD126" s="4">
        <v>9.142857119108</v>
      </c>
      <c r="AE126" s="4">
        <v>0</v>
      </c>
      <c r="AF126" s="4">
        <v>4.5</v>
      </c>
      <c r="AG126" s="4">
        <v>150</v>
      </c>
      <c r="AH126" s="4">
        <v>6</v>
      </c>
      <c r="AI126" s="4">
        <v>3609.159291</v>
      </c>
      <c r="AJ126" s="3" t="s">
        <v>1033</v>
      </c>
      <c r="AK126" s="4">
        <v>7</v>
      </c>
      <c r="AL126" s="4">
        <v>0</v>
      </c>
      <c r="AM126" s="6">
        <v>46094</v>
      </c>
      <c r="AN126" s="6">
        <v>46236</v>
      </c>
      <c r="AO126" s="3" t="s">
        <v>1034</v>
      </c>
      <c r="AP126" s="3" t="s">
        <v>937</v>
      </c>
      <c r="AQ126" s="4"/>
      <c r="AR126" s="4"/>
      <c r="AS126" s="2"/>
    </row>
    <row r="127" ht="16.5" spans="1:45">
      <c r="A127" s="3" t="s">
        <v>446</v>
      </c>
      <c r="B127" s="3" t="s">
        <v>1030</v>
      </c>
      <c r="C127" s="3" t="s">
        <v>935</v>
      </c>
      <c r="D127" s="3" t="s">
        <v>1031</v>
      </c>
      <c r="E127" s="3" t="s">
        <v>1032</v>
      </c>
      <c r="F127" s="4">
        <v>110</v>
      </c>
      <c r="G127" s="4">
        <v>0</v>
      </c>
      <c r="H127" s="4">
        <v>0</v>
      </c>
      <c r="I127" s="4">
        <v>2</v>
      </c>
      <c r="J127" s="4">
        <v>80</v>
      </c>
      <c r="K127" s="4">
        <v>192</v>
      </c>
      <c r="L127" s="4">
        <v>33</v>
      </c>
      <c r="M127" s="5">
        <v>225</v>
      </c>
      <c r="N127" s="4">
        <v>3850.534513</v>
      </c>
      <c r="O127" s="4">
        <v>4512.345133</v>
      </c>
      <c r="P127" s="4">
        <v>7</v>
      </c>
      <c r="Q127" s="4">
        <v>16</v>
      </c>
      <c r="R127" s="4">
        <v>29</v>
      </c>
      <c r="S127" s="4">
        <v>30</v>
      </c>
      <c r="T127" s="4">
        <v>17</v>
      </c>
      <c r="U127" s="4">
        <v>67</v>
      </c>
      <c r="V127" s="4">
        <v>67</v>
      </c>
      <c r="W127" s="4">
        <v>67</v>
      </c>
      <c r="X127" s="4">
        <v>20.054867256</v>
      </c>
      <c r="Y127" s="4">
        <v>581.59115</v>
      </c>
      <c r="Z127" s="4">
        <v>7.758620695999</v>
      </c>
      <c r="AA127" s="4">
        <v>6.620689659737</v>
      </c>
      <c r="AB127" s="4">
        <v>3.862068968896</v>
      </c>
      <c r="AC127" s="4">
        <v>3.793103450766</v>
      </c>
      <c r="AD127" s="4">
        <v>0</v>
      </c>
      <c r="AE127" s="4">
        <v>0.06896551813</v>
      </c>
      <c r="AF127" s="4">
        <v>4.5</v>
      </c>
      <c r="AG127" s="4">
        <v>18</v>
      </c>
      <c r="AH127" s="4">
        <v>6</v>
      </c>
      <c r="AI127" s="4">
        <v>360.987611</v>
      </c>
      <c r="AJ127" s="3" t="s">
        <v>1033</v>
      </c>
      <c r="AK127" s="4">
        <v>29</v>
      </c>
      <c r="AL127" s="4">
        <v>0</v>
      </c>
      <c r="AM127" s="6">
        <v>46128</v>
      </c>
      <c r="AN127" s="6"/>
      <c r="AO127" s="3" t="s">
        <v>1034</v>
      </c>
      <c r="AP127" s="3" t="s">
        <v>937</v>
      </c>
      <c r="AQ127" s="4"/>
      <c r="AR127" s="4"/>
      <c r="AS127" s="2"/>
    </row>
    <row r="128" ht="16.5" hidden="1" spans="1:45">
      <c r="A128" s="3" t="s">
        <v>159</v>
      </c>
      <c r="B128" s="3" t="s">
        <v>1030</v>
      </c>
      <c r="C128" s="3" t="s">
        <v>935</v>
      </c>
      <c r="D128" s="3" t="s">
        <v>1031</v>
      </c>
      <c r="E128" s="3" t="s">
        <v>1032</v>
      </c>
      <c r="F128" s="4">
        <v>134</v>
      </c>
      <c r="G128" s="4">
        <v>0</v>
      </c>
      <c r="H128" s="4">
        <v>0</v>
      </c>
      <c r="I128" s="4">
        <v>26</v>
      </c>
      <c r="J128" s="4">
        <v>31</v>
      </c>
      <c r="K128" s="4">
        <v>191</v>
      </c>
      <c r="L128" s="4">
        <v>99</v>
      </c>
      <c r="M128" s="5">
        <v>290</v>
      </c>
      <c r="N128" s="4">
        <v>3415.181416</v>
      </c>
      <c r="O128" s="4">
        <v>5185.353983</v>
      </c>
      <c r="P128" s="4">
        <v>10</v>
      </c>
      <c r="Q128" s="4">
        <v>23</v>
      </c>
      <c r="R128" s="4">
        <v>46</v>
      </c>
      <c r="S128" s="4">
        <v>46</v>
      </c>
      <c r="T128" s="4">
        <v>43</v>
      </c>
      <c r="U128" s="4">
        <v>0</v>
      </c>
      <c r="V128" s="4">
        <v>0</v>
      </c>
      <c r="W128" s="4">
        <v>31</v>
      </c>
      <c r="X128" s="4">
        <v>17.880530976</v>
      </c>
      <c r="Y128" s="4">
        <v>822.504425</v>
      </c>
      <c r="Z128" s="4">
        <v>6.304347825241</v>
      </c>
      <c r="AA128" s="4">
        <v>4.152173912012</v>
      </c>
      <c r="AB128" s="4">
        <v>3.47826086893</v>
      </c>
      <c r="AC128" s="4">
        <v>2.913043478155</v>
      </c>
      <c r="AD128" s="4">
        <v>0</v>
      </c>
      <c r="AE128" s="4">
        <v>0.565217390775</v>
      </c>
      <c r="AF128" s="4">
        <v>4.5</v>
      </c>
      <c r="AG128" s="4">
        <v>0</v>
      </c>
      <c r="AH128" s="4">
        <v>6</v>
      </c>
      <c r="AI128" s="4">
        <v>0</v>
      </c>
      <c r="AJ128" s="3" t="s">
        <v>1033</v>
      </c>
      <c r="AK128" s="4">
        <v>46</v>
      </c>
      <c r="AL128" s="4">
        <v>0</v>
      </c>
      <c r="AM128" s="6">
        <v>46102</v>
      </c>
      <c r="AN128" s="6"/>
      <c r="AO128" s="3" t="s">
        <v>1034</v>
      </c>
      <c r="AP128" s="3" t="s">
        <v>937</v>
      </c>
      <c r="AQ128" s="4"/>
      <c r="AR128" s="4"/>
      <c r="AS128" s="2"/>
    </row>
    <row r="129" ht="16.5" spans="1:45">
      <c r="A129" s="3" t="s">
        <v>745</v>
      </c>
      <c r="B129" s="3" t="s">
        <v>1030</v>
      </c>
      <c r="C129" s="3" t="s">
        <v>935</v>
      </c>
      <c r="D129" s="3" t="s">
        <v>1031</v>
      </c>
      <c r="E129" s="3" t="s">
        <v>1032</v>
      </c>
      <c r="F129" s="4">
        <v>61</v>
      </c>
      <c r="G129" s="4">
        <v>116</v>
      </c>
      <c r="H129" s="4">
        <v>0</v>
      </c>
      <c r="I129" s="4">
        <v>0</v>
      </c>
      <c r="J129" s="4">
        <v>11</v>
      </c>
      <c r="K129" s="4">
        <v>188</v>
      </c>
      <c r="L129" s="4">
        <v>362</v>
      </c>
      <c r="M129" s="5">
        <v>550</v>
      </c>
      <c r="N129" s="4">
        <v>3562.844812</v>
      </c>
      <c r="O129" s="4">
        <v>10423.216205</v>
      </c>
      <c r="P129" s="4">
        <v>20</v>
      </c>
      <c r="Q129" s="4">
        <v>41</v>
      </c>
      <c r="R129" s="4">
        <v>85</v>
      </c>
      <c r="S129" s="4">
        <v>58</v>
      </c>
      <c r="T129" s="4">
        <v>35</v>
      </c>
      <c r="U129" s="4">
        <v>0</v>
      </c>
      <c r="V129" s="4">
        <v>0</v>
      </c>
      <c r="W129" s="4">
        <v>58</v>
      </c>
      <c r="X129" s="4">
        <v>18.9513021909</v>
      </c>
      <c r="Y129" s="4">
        <v>1610.860686</v>
      </c>
      <c r="Z129" s="4">
        <v>6.470588236207</v>
      </c>
      <c r="AA129" s="4">
        <v>2.211764706262</v>
      </c>
      <c r="AB129" s="4">
        <v>2.0823529416</v>
      </c>
      <c r="AC129" s="4">
        <v>0.717647059144</v>
      </c>
      <c r="AD129" s="4">
        <v>0</v>
      </c>
      <c r="AE129" s="4">
        <v>0</v>
      </c>
      <c r="AF129" s="4">
        <v>4.5</v>
      </c>
      <c r="AG129" s="4">
        <v>0</v>
      </c>
      <c r="AH129" s="4">
        <v>6</v>
      </c>
      <c r="AI129" s="4">
        <v>0</v>
      </c>
      <c r="AJ129" s="3" t="s">
        <v>1036</v>
      </c>
      <c r="AK129" s="4">
        <v>85</v>
      </c>
      <c r="AL129" s="4">
        <v>0</v>
      </c>
      <c r="AM129" s="6">
        <v>46124</v>
      </c>
      <c r="AN129" s="6"/>
      <c r="AO129" s="3" t="s">
        <v>1034</v>
      </c>
      <c r="AP129" s="3" t="s">
        <v>937</v>
      </c>
      <c r="AQ129" s="4"/>
      <c r="AR129" s="4"/>
      <c r="AS129" s="2"/>
    </row>
    <row r="130" ht="16.5" hidden="1" spans="1:45">
      <c r="A130" s="3" t="s">
        <v>430</v>
      </c>
      <c r="B130" s="3" t="s">
        <v>1030</v>
      </c>
      <c r="C130" s="3" t="s">
        <v>935</v>
      </c>
      <c r="D130" s="3" t="s">
        <v>1031</v>
      </c>
      <c r="E130" s="3" t="s">
        <v>1032</v>
      </c>
      <c r="F130" s="4">
        <v>178</v>
      </c>
      <c r="G130" s="4">
        <v>0</v>
      </c>
      <c r="H130" s="4">
        <v>0</v>
      </c>
      <c r="I130" s="4">
        <v>0</v>
      </c>
      <c r="J130" s="4">
        <v>9</v>
      </c>
      <c r="K130" s="4">
        <v>187</v>
      </c>
      <c r="L130" s="4">
        <v>0</v>
      </c>
      <c r="M130" s="5">
        <v>187</v>
      </c>
      <c r="N130" s="4">
        <v>3705.578762</v>
      </c>
      <c r="O130" s="4">
        <v>3705.578762</v>
      </c>
      <c r="P130" s="4">
        <v>0</v>
      </c>
      <c r="Q130" s="4">
        <v>1</v>
      </c>
      <c r="R130" s="4">
        <v>4</v>
      </c>
      <c r="S130" s="4">
        <v>2</v>
      </c>
      <c r="T130" s="4">
        <v>3</v>
      </c>
      <c r="U130" s="4">
        <v>0</v>
      </c>
      <c r="V130" s="4">
        <v>0</v>
      </c>
      <c r="W130" s="4">
        <v>0</v>
      </c>
      <c r="X130" s="4">
        <v>19.815929208</v>
      </c>
      <c r="Y130" s="4">
        <v>79.263717</v>
      </c>
      <c r="Z130" s="4">
        <v>46.749999902225</v>
      </c>
      <c r="AA130" s="4">
        <v>46.749999902225</v>
      </c>
      <c r="AB130" s="4">
        <v>44.499999905379</v>
      </c>
      <c r="AC130" s="4">
        <v>44.499999905379</v>
      </c>
      <c r="AD130" s="4">
        <v>0</v>
      </c>
      <c r="AE130" s="4">
        <v>0</v>
      </c>
      <c r="AF130" s="4">
        <v>4.5</v>
      </c>
      <c r="AG130" s="4">
        <v>163</v>
      </c>
      <c r="AH130" s="4">
        <v>6</v>
      </c>
      <c r="AI130" s="4">
        <v>3229.996461</v>
      </c>
      <c r="AJ130" s="3" t="s">
        <v>1033</v>
      </c>
      <c r="AK130" s="4">
        <v>4</v>
      </c>
      <c r="AL130" s="4">
        <v>0</v>
      </c>
      <c r="AM130" s="6">
        <v>46101</v>
      </c>
      <c r="AN130" s="6"/>
      <c r="AO130" s="3" t="s">
        <v>1034</v>
      </c>
      <c r="AP130" s="3" t="s">
        <v>937</v>
      </c>
      <c r="AQ130" s="4"/>
      <c r="AR130" s="4"/>
      <c r="AS130" s="2"/>
    </row>
    <row r="131" ht="16.5" spans="1:45">
      <c r="A131" s="3" t="s">
        <v>876</v>
      </c>
      <c r="B131" s="3" t="s">
        <v>1030</v>
      </c>
      <c r="C131" s="3" t="s">
        <v>935</v>
      </c>
      <c r="D131" s="3" t="s">
        <v>1031</v>
      </c>
      <c r="E131" s="3" t="s">
        <v>1032</v>
      </c>
      <c r="F131" s="4">
        <v>134</v>
      </c>
      <c r="G131" s="4">
        <v>45</v>
      </c>
      <c r="H131" s="4">
        <v>0</v>
      </c>
      <c r="I131" s="4">
        <v>0</v>
      </c>
      <c r="J131" s="4">
        <v>7</v>
      </c>
      <c r="K131" s="4">
        <v>186</v>
      </c>
      <c r="L131" s="4">
        <v>100</v>
      </c>
      <c r="M131" s="5">
        <v>286</v>
      </c>
      <c r="N131" s="4">
        <v>6635.261947</v>
      </c>
      <c r="O131" s="4">
        <v>10202.607079</v>
      </c>
      <c r="P131" s="4">
        <v>3</v>
      </c>
      <c r="Q131" s="4">
        <v>11</v>
      </c>
      <c r="R131" s="4">
        <v>19</v>
      </c>
      <c r="S131" s="4">
        <v>17</v>
      </c>
      <c r="T131" s="4">
        <v>68</v>
      </c>
      <c r="U131" s="4">
        <v>0</v>
      </c>
      <c r="V131" s="4">
        <v>0</v>
      </c>
      <c r="W131" s="4">
        <v>6</v>
      </c>
      <c r="X131" s="4">
        <v>35.673451326</v>
      </c>
      <c r="Y131" s="4">
        <v>677.795575</v>
      </c>
      <c r="Z131" s="4">
        <v>15.052631582907</v>
      </c>
      <c r="AA131" s="4">
        <v>9.789473687549</v>
      </c>
      <c r="AB131" s="4">
        <v>9.421052635228</v>
      </c>
      <c r="AC131" s="4">
        <v>7.052631581432</v>
      </c>
      <c r="AD131" s="4">
        <v>0</v>
      </c>
      <c r="AE131" s="4">
        <v>0</v>
      </c>
      <c r="AF131" s="4">
        <v>4.5</v>
      </c>
      <c r="AG131" s="4">
        <v>72</v>
      </c>
      <c r="AH131" s="4">
        <v>6</v>
      </c>
      <c r="AI131" s="4">
        <v>2568.488495</v>
      </c>
      <c r="AJ131" s="3" t="s">
        <v>1033</v>
      </c>
      <c r="AK131" s="4">
        <v>19</v>
      </c>
      <c r="AL131" s="4">
        <v>0</v>
      </c>
      <c r="AM131" s="6">
        <v>46128</v>
      </c>
      <c r="AN131" s="6"/>
      <c r="AO131" s="3" t="s">
        <v>1034</v>
      </c>
      <c r="AP131" s="3" t="s">
        <v>937</v>
      </c>
      <c r="AQ131" s="4"/>
      <c r="AR131" s="4"/>
      <c r="AS131" s="2"/>
    </row>
    <row r="132" ht="16.5" spans="1:45">
      <c r="A132" s="3" t="s">
        <v>195</v>
      </c>
      <c r="B132" s="3" t="s">
        <v>1030</v>
      </c>
      <c r="C132" s="3" t="s">
        <v>935</v>
      </c>
      <c r="D132" s="3" t="s">
        <v>1031</v>
      </c>
      <c r="E132" s="3" t="s">
        <v>1032</v>
      </c>
      <c r="F132" s="4">
        <v>29</v>
      </c>
      <c r="G132" s="4">
        <v>132</v>
      </c>
      <c r="H132" s="4">
        <v>0</v>
      </c>
      <c r="I132" s="4">
        <v>0</v>
      </c>
      <c r="J132" s="4">
        <v>24</v>
      </c>
      <c r="K132" s="4">
        <v>185</v>
      </c>
      <c r="L132" s="4">
        <v>72</v>
      </c>
      <c r="M132" s="5">
        <v>257</v>
      </c>
      <c r="N132" s="4">
        <v>3251.907079</v>
      </c>
      <c r="O132" s="4">
        <v>4517.514159</v>
      </c>
      <c r="P132" s="4">
        <v>4</v>
      </c>
      <c r="Q132" s="4">
        <v>12</v>
      </c>
      <c r="R132" s="4">
        <v>32</v>
      </c>
      <c r="S132" s="4">
        <v>36</v>
      </c>
      <c r="T132" s="4">
        <v>31</v>
      </c>
      <c r="U132" s="4">
        <v>0</v>
      </c>
      <c r="V132" s="4">
        <v>0</v>
      </c>
      <c r="W132" s="4">
        <v>0</v>
      </c>
      <c r="X132" s="4">
        <v>17.577876105</v>
      </c>
      <c r="Y132" s="4">
        <v>562.492035</v>
      </c>
      <c r="Z132" s="4">
        <v>8.031250005166</v>
      </c>
      <c r="AA132" s="4">
        <v>5.781250002944</v>
      </c>
      <c r="AB132" s="4">
        <v>5.031250001611</v>
      </c>
      <c r="AC132" s="4">
        <v>0.9062500005</v>
      </c>
      <c r="AD132" s="4">
        <v>0</v>
      </c>
      <c r="AE132" s="4">
        <v>0</v>
      </c>
      <c r="AF132" s="4">
        <v>4.5</v>
      </c>
      <c r="AG132" s="4">
        <v>0</v>
      </c>
      <c r="AH132" s="4">
        <v>6</v>
      </c>
      <c r="AI132" s="4">
        <v>0</v>
      </c>
      <c r="AJ132" s="3" t="s">
        <v>1033</v>
      </c>
      <c r="AK132" s="4">
        <v>32</v>
      </c>
      <c r="AL132" s="4">
        <v>0</v>
      </c>
      <c r="AM132" s="6">
        <v>46126</v>
      </c>
      <c r="AN132" s="6"/>
      <c r="AO132" s="3" t="s">
        <v>1034</v>
      </c>
      <c r="AP132" s="3" t="s">
        <v>937</v>
      </c>
      <c r="AQ132" s="4"/>
      <c r="AR132" s="4"/>
      <c r="AS132" s="2"/>
    </row>
    <row r="133" ht="16.5" hidden="1" spans="1:45">
      <c r="A133" s="3" t="s">
        <v>394</v>
      </c>
      <c r="B133" s="3" t="s">
        <v>1030</v>
      </c>
      <c r="C133" s="3" t="s">
        <v>935</v>
      </c>
      <c r="D133" s="3" t="s">
        <v>1031</v>
      </c>
      <c r="E133" s="3" t="s">
        <v>1032</v>
      </c>
      <c r="F133" s="4">
        <v>0</v>
      </c>
      <c r="G133" s="4">
        <v>94</v>
      </c>
      <c r="H133" s="4">
        <v>0</v>
      </c>
      <c r="I133" s="4">
        <v>6</v>
      </c>
      <c r="J133" s="4">
        <v>84</v>
      </c>
      <c r="K133" s="4">
        <v>184</v>
      </c>
      <c r="L133" s="4">
        <v>378</v>
      </c>
      <c r="M133" s="5">
        <v>562</v>
      </c>
      <c r="N133" s="4">
        <v>3653.458407</v>
      </c>
      <c r="O133" s="4">
        <v>11158.932742</v>
      </c>
      <c r="P133" s="4">
        <v>2</v>
      </c>
      <c r="Q133" s="4">
        <v>16</v>
      </c>
      <c r="R133" s="4">
        <v>76</v>
      </c>
      <c r="S133" s="4">
        <v>60</v>
      </c>
      <c r="T133" s="4">
        <v>7</v>
      </c>
      <c r="U133" s="4">
        <v>0</v>
      </c>
      <c r="V133" s="4">
        <v>169</v>
      </c>
      <c r="W133" s="4">
        <v>169</v>
      </c>
      <c r="X133" s="4">
        <v>19.85575221</v>
      </c>
      <c r="Y133" s="4">
        <v>1509.037168</v>
      </c>
      <c r="Z133" s="4">
        <v>7.394736841895</v>
      </c>
      <c r="AA133" s="4">
        <v>2.421052631753</v>
      </c>
      <c r="AB133" s="4">
        <v>1.315789473649</v>
      </c>
      <c r="AC133" s="4">
        <v>0</v>
      </c>
      <c r="AD133" s="4">
        <v>0</v>
      </c>
      <c r="AE133" s="4">
        <v>0.078947368246</v>
      </c>
      <c r="AF133" s="4">
        <v>4.5</v>
      </c>
      <c r="AG133" s="4">
        <v>0</v>
      </c>
      <c r="AH133" s="4">
        <v>6</v>
      </c>
      <c r="AI133" s="4">
        <v>0</v>
      </c>
      <c r="AJ133" s="3" t="s">
        <v>1033</v>
      </c>
      <c r="AK133" s="4">
        <v>76</v>
      </c>
      <c r="AL133" s="4">
        <v>0</v>
      </c>
      <c r="AM133" s="6">
        <v>46166</v>
      </c>
      <c r="AN133" s="6"/>
      <c r="AO133" s="3" t="s">
        <v>1034</v>
      </c>
      <c r="AP133" s="3" t="s">
        <v>937</v>
      </c>
      <c r="AQ133" s="4"/>
      <c r="AR133" s="4"/>
      <c r="AS133" s="2"/>
    </row>
    <row r="134" ht="16.5" hidden="1" spans="1:45">
      <c r="A134" s="3" t="s">
        <v>884</v>
      </c>
      <c r="B134" s="3" t="s">
        <v>1030</v>
      </c>
      <c r="C134" s="3" t="s">
        <v>935</v>
      </c>
      <c r="D134" s="3" t="s">
        <v>1031</v>
      </c>
      <c r="E134" s="3" t="s">
        <v>1032</v>
      </c>
      <c r="F134" s="4">
        <v>120</v>
      </c>
      <c r="G134" s="4">
        <v>58</v>
      </c>
      <c r="H134" s="4">
        <v>0</v>
      </c>
      <c r="I134" s="4">
        <v>0</v>
      </c>
      <c r="J134" s="4">
        <v>5</v>
      </c>
      <c r="K134" s="4">
        <v>183</v>
      </c>
      <c r="L134" s="4">
        <v>200</v>
      </c>
      <c r="M134" s="5">
        <v>383</v>
      </c>
      <c r="N134" s="4">
        <v>6042.886726</v>
      </c>
      <c r="O134" s="4">
        <v>12647.134514</v>
      </c>
      <c r="P134" s="4">
        <v>18</v>
      </c>
      <c r="Q134" s="4">
        <v>31</v>
      </c>
      <c r="R134" s="4">
        <v>48</v>
      </c>
      <c r="S134" s="4">
        <v>45</v>
      </c>
      <c r="T134" s="4">
        <v>10</v>
      </c>
      <c r="U134" s="4">
        <v>0</v>
      </c>
      <c r="V134" s="4">
        <v>0</v>
      </c>
      <c r="W134" s="4">
        <v>0</v>
      </c>
      <c r="X134" s="4">
        <v>33.021238941</v>
      </c>
      <c r="Y134" s="4">
        <v>1585.019469</v>
      </c>
      <c r="Z134" s="4">
        <v>7.979166667258</v>
      </c>
      <c r="AA134" s="4">
        <v>3.812500000276</v>
      </c>
      <c r="AB134" s="4">
        <v>3.708333333412</v>
      </c>
      <c r="AC134" s="4">
        <v>2.500000000315</v>
      </c>
      <c r="AD134" s="4">
        <v>0</v>
      </c>
      <c r="AE134" s="4">
        <v>0</v>
      </c>
      <c r="AF134" s="4">
        <v>4.5</v>
      </c>
      <c r="AG134" s="4">
        <v>0</v>
      </c>
      <c r="AH134" s="4">
        <v>6</v>
      </c>
      <c r="AI134" s="4">
        <v>0</v>
      </c>
      <c r="AJ134" s="3" t="s">
        <v>1033</v>
      </c>
      <c r="AK134" s="4">
        <v>48</v>
      </c>
      <c r="AL134" s="4">
        <v>0</v>
      </c>
      <c r="AM134" s="6">
        <v>46159</v>
      </c>
      <c r="AN134" s="6"/>
      <c r="AO134" s="3" t="s">
        <v>1034</v>
      </c>
      <c r="AP134" s="3" t="s">
        <v>937</v>
      </c>
      <c r="AQ134" s="4"/>
      <c r="AR134" s="4"/>
      <c r="AS134" s="2"/>
    </row>
    <row r="135" ht="16.5" hidden="1" spans="1:45">
      <c r="A135" s="3" t="s">
        <v>235</v>
      </c>
      <c r="B135" s="3" t="s">
        <v>1030</v>
      </c>
      <c r="C135" s="3" t="s">
        <v>935</v>
      </c>
      <c r="D135" s="3" t="s">
        <v>1031</v>
      </c>
      <c r="E135" s="3" t="s">
        <v>1032</v>
      </c>
      <c r="F135" s="4">
        <v>37</v>
      </c>
      <c r="G135" s="4">
        <v>80</v>
      </c>
      <c r="H135" s="4">
        <v>0</v>
      </c>
      <c r="I135" s="4">
        <v>58</v>
      </c>
      <c r="J135" s="4">
        <v>7</v>
      </c>
      <c r="K135" s="4">
        <v>182</v>
      </c>
      <c r="L135" s="4">
        <v>30</v>
      </c>
      <c r="M135" s="5">
        <v>212</v>
      </c>
      <c r="N135" s="4">
        <v>4110.945132</v>
      </c>
      <c r="O135" s="4">
        <v>4788.573451</v>
      </c>
      <c r="P135" s="4">
        <v>15</v>
      </c>
      <c r="Q135" s="4">
        <v>18</v>
      </c>
      <c r="R135" s="4">
        <v>33</v>
      </c>
      <c r="S135" s="4">
        <v>24</v>
      </c>
      <c r="T135" s="4">
        <v>6</v>
      </c>
      <c r="U135" s="4">
        <v>0</v>
      </c>
      <c r="V135" s="4">
        <v>0</v>
      </c>
      <c r="W135" s="4">
        <v>0</v>
      </c>
      <c r="X135" s="4">
        <v>22.587610617</v>
      </c>
      <c r="Y135" s="4">
        <v>745.39115</v>
      </c>
      <c r="Z135" s="4">
        <v>6.424242427616</v>
      </c>
      <c r="AA135" s="4">
        <v>5.515151517428</v>
      </c>
      <c r="AB135" s="4">
        <v>5.303030305632</v>
      </c>
      <c r="AC135" s="4">
        <v>1.121212121984</v>
      </c>
      <c r="AD135" s="4">
        <v>0</v>
      </c>
      <c r="AE135" s="4">
        <v>1.757575758714</v>
      </c>
      <c r="AF135" s="4">
        <v>4.5</v>
      </c>
      <c r="AG135" s="4">
        <v>0</v>
      </c>
      <c r="AH135" s="4">
        <v>6</v>
      </c>
      <c r="AI135" s="4">
        <v>0</v>
      </c>
      <c r="AJ135" s="3" t="s">
        <v>1033</v>
      </c>
      <c r="AK135" s="4">
        <v>33</v>
      </c>
      <c r="AL135" s="4">
        <v>0</v>
      </c>
      <c r="AM135" s="6">
        <v>46094</v>
      </c>
      <c r="AN135" s="6"/>
      <c r="AO135" s="3" t="s">
        <v>1034</v>
      </c>
      <c r="AP135" s="3" t="s">
        <v>937</v>
      </c>
      <c r="AQ135" s="4"/>
      <c r="AR135" s="4"/>
      <c r="AS135" s="2"/>
    </row>
    <row r="136" ht="16.5" hidden="1" spans="1:45">
      <c r="A136" s="3" t="s">
        <v>675</v>
      </c>
      <c r="B136" s="3" t="s">
        <v>1030</v>
      </c>
      <c r="C136" s="3" t="s">
        <v>935</v>
      </c>
      <c r="D136" s="3" t="s">
        <v>1031</v>
      </c>
      <c r="E136" s="3" t="s">
        <v>1032</v>
      </c>
      <c r="F136" s="4">
        <v>177</v>
      </c>
      <c r="G136" s="4">
        <v>0</v>
      </c>
      <c r="H136" s="4">
        <v>0</v>
      </c>
      <c r="I136" s="4">
        <v>0</v>
      </c>
      <c r="J136" s="4">
        <v>3</v>
      </c>
      <c r="K136" s="4">
        <v>180</v>
      </c>
      <c r="L136" s="4">
        <v>100</v>
      </c>
      <c r="M136" s="5">
        <v>280</v>
      </c>
      <c r="N136" s="4">
        <v>4595.080763</v>
      </c>
      <c r="O136" s="4">
        <v>7147.90341</v>
      </c>
      <c r="P136" s="4">
        <v>8</v>
      </c>
      <c r="Q136" s="4">
        <v>18</v>
      </c>
      <c r="R136" s="4">
        <v>34</v>
      </c>
      <c r="S136" s="4">
        <v>7</v>
      </c>
      <c r="T136" s="4">
        <v>1</v>
      </c>
      <c r="U136" s="4">
        <v>0</v>
      </c>
      <c r="V136" s="4">
        <v>0</v>
      </c>
      <c r="W136" s="4">
        <v>1</v>
      </c>
      <c r="X136" s="4">
        <v>25.5282264634</v>
      </c>
      <c r="Y136" s="4">
        <v>867.9597</v>
      </c>
      <c r="Z136" s="4">
        <v>8.235294115613</v>
      </c>
      <c r="AA136" s="4">
        <v>5.294117645093</v>
      </c>
      <c r="AB136" s="4">
        <v>5.20588235145</v>
      </c>
      <c r="AC136" s="4">
        <v>5.20588235145</v>
      </c>
      <c r="AD136" s="4">
        <v>0</v>
      </c>
      <c r="AE136" s="4">
        <v>0</v>
      </c>
      <c r="AF136" s="4">
        <v>4.5</v>
      </c>
      <c r="AG136" s="4">
        <v>0</v>
      </c>
      <c r="AH136" s="4">
        <v>6</v>
      </c>
      <c r="AI136" s="4">
        <v>0</v>
      </c>
      <c r="AJ136" s="3" t="s">
        <v>1036</v>
      </c>
      <c r="AK136" s="4">
        <v>34</v>
      </c>
      <c r="AL136" s="4">
        <v>0</v>
      </c>
      <c r="AM136" s="6">
        <v>46169</v>
      </c>
      <c r="AN136" s="6"/>
      <c r="AO136" s="3" t="s">
        <v>1034</v>
      </c>
      <c r="AP136" s="3" t="s">
        <v>937</v>
      </c>
      <c r="AQ136" s="4"/>
      <c r="AR136" s="4"/>
      <c r="AS136" s="2"/>
    </row>
    <row r="137" ht="16.5" hidden="1" spans="1:45">
      <c r="A137" s="3" t="s">
        <v>700</v>
      </c>
      <c r="B137" s="3" t="s">
        <v>1030</v>
      </c>
      <c r="C137" s="3" t="s">
        <v>935</v>
      </c>
      <c r="D137" s="3" t="s">
        <v>1031</v>
      </c>
      <c r="E137" s="3" t="s">
        <v>1032</v>
      </c>
      <c r="F137" s="4">
        <v>24</v>
      </c>
      <c r="G137" s="4">
        <v>80</v>
      </c>
      <c r="H137" s="4">
        <v>0</v>
      </c>
      <c r="I137" s="4">
        <v>32</v>
      </c>
      <c r="J137" s="4">
        <v>42</v>
      </c>
      <c r="K137" s="4">
        <v>178</v>
      </c>
      <c r="L137" s="4">
        <v>210</v>
      </c>
      <c r="M137" s="5">
        <v>388</v>
      </c>
      <c r="N137" s="4">
        <v>3602.806836</v>
      </c>
      <c r="O137" s="4">
        <v>7853.309283</v>
      </c>
      <c r="P137" s="4">
        <v>12</v>
      </c>
      <c r="Q137" s="4">
        <v>27</v>
      </c>
      <c r="R137" s="4">
        <v>71</v>
      </c>
      <c r="S137" s="4">
        <v>25</v>
      </c>
      <c r="T137" s="4">
        <v>1</v>
      </c>
      <c r="U137" s="4">
        <v>0</v>
      </c>
      <c r="V137" s="4">
        <v>0</v>
      </c>
      <c r="W137" s="4">
        <v>90</v>
      </c>
      <c r="X137" s="4">
        <v>20.2404878423</v>
      </c>
      <c r="Y137" s="4">
        <v>1437.074637</v>
      </c>
      <c r="Z137" s="4">
        <v>5.464788731776</v>
      </c>
      <c r="AA137" s="4">
        <v>2.507042253227</v>
      </c>
      <c r="AB137" s="4">
        <v>1.915492957795</v>
      </c>
      <c r="AC137" s="4">
        <v>0.338028168818</v>
      </c>
      <c r="AD137" s="4">
        <v>0</v>
      </c>
      <c r="AE137" s="4">
        <v>0.450704225322</v>
      </c>
      <c r="AF137" s="4">
        <v>4.5</v>
      </c>
      <c r="AG137" s="4">
        <v>0</v>
      </c>
      <c r="AH137" s="4">
        <v>6</v>
      </c>
      <c r="AI137" s="4">
        <v>0</v>
      </c>
      <c r="AJ137" s="3" t="s">
        <v>1036</v>
      </c>
      <c r="AK137" s="4">
        <v>71</v>
      </c>
      <c r="AL137" s="4">
        <v>0</v>
      </c>
      <c r="AM137" s="6">
        <v>46110</v>
      </c>
      <c r="AN137" s="6"/>
      <c r="AO137" s="3" t="s">
        <v>1034</v>
      </c>
      <c r="AP137" s="3" t="s">
        <v>937</v>
      </c>
      <c r="AQ137" s="4"/>
      <c r="AR137" s="4"/>
      <c r="AS137" s="2"/>
    </row>
    <row r="138" ht="16.5" spans="1:45">
      <c r="A138" s="3" t="s">
        <v>818</v>
      </c>
      <c r="B138" s="3" t="s">
        <v>1030</v>
      </c>
      <c r="C138" s="3" t="s">
        <v>935</v>
      </c>
      <c r="D138" s="3" t="s">
        <v>1031</v>
      </c>
      <c r="E138" s="3" t="s">
        <v>1032</v>
      </c>
      <c r="F138" s="4">
        <v>81</v>
      </c>
      <c r="G138" s="4">
        <v>0</v>
      </c>
      <c r="H138" s="4">
        <v>90</v>
      </c>
      <c r="I138" s="4">
        <v>2</v>
      </c>
      <c r="J138" s="4">
        <v>5</v>
      </c>
      <c r="K138" s="4">
        <v>178</v>
      </c>
      <c r="L138" s="4">
        <v>100</v>
      </c>
      <c r="M138" s="5">
        <v>278</v>
      </c>
      <c r="N138" s="4">
        <v>4043.277876</v>
      </c>
      <c r="O138" s="4">
        <v>6314.7823</v>
      </c>
      <c r="P138" s="4">
        <v>4</v>
      </c>
      <c r="Q138" s="4">
        <v>7</v>
      </c>
      <c r="R138" s="4">
        <v>17</v>
      </c>
      <c r="S138" s="4">
        <v>17</v>
      </c>
      <c r="T138" s="4">
        <v>65</v>
      </c>
      <c r="U138" s="4">
        <v>0</v>
      </c>
      <c r="V138" s="4">
        <v>0</v>
      </c>
      <c r="W138" s="4">
        <v>0</v>
      </c>
      <c r="X138" s="4">
        <v>22.715044245</v>
      </c>
      <c r="Y138" s="4">
        <v>386.155752</v>
      </c>
      <c r="Z138" s="4">
        <v>16.352941183173</v>
      </c>
      <c r="AA138" s="4">
        <v>10.470588240778</v>
      </c>
      <c r="AB138" s="4">
        <v>10.176470594176</v>
      </c>
      <c r="AC138" s="4">
        <v>4.76470588479</v>
      </c>
      <c r="AD138" s="4">
        <v>5.294117649191</v>
      </c>
      <c r="AE138" s="4">
        <v>0.117647057604</v>
      </c>
      <c r="AF138" s="4">
        <v>4.5</v>
      </c>
      <c r="AG138" s="4">
        <v>76</v>
      </c>
      <c r="AH138" s="4">
        <v>6</v>
      </c>
      <c r="AI138" s="4">
        <v>1726.343363</v>
      </c>
      <c r="AJ138" s="3" t="s">
        <v>1033</v>
      </c>
      <c r="AK138" s="4">
        <v>17</v>
      </c>
      <c r="AL138" s="4">
        <v>0</v>
      </c>
      <c r="AM138" s="6">
        <v>46128</v>
      </c>
      <c r="AN138" s="6">
        <v>46236</v>
      </c>
      <c r="AO138" s="3" t="s">
        <v>1034</v>
      </c>
      <c r="AP138" s="3" t="s">
        <v>937</v>
      </c>
      <c r="AQ138" s="4"/>
      <c r="AR138" s="4"/>
      <c r="AS138" s="2"/>
    </row>
    <row r="139" ht="16.5" spans="1:45">
      <c r="A139" s="3" t="s">
        <v>350</v>
      </c>
      <c r="B139" s="3" t="s">
        <v>1030</v>
      </c>
      <c r="C139" s="3" t="s">
        <v>935</v>
      </c>
      <c r="D139" s="3" t="s">
        <v>1031</v>
      </c>
      <c r="E139" s="3" t="s">
        <v>1032</v>
      </c>
      <c r="F139" s="4">
        <v>162</v>
      </c>
      <c r="G139" s="4">
        <v>0</v>
      </c>
      <c r="H139" s="4">
        <v>0</v>
      </c>
      <c r="I139" s="4">
        <v>0</v>
      </c>
      <c r="J139" s="4">
        <v>11</v>
      </c>
      <c r="K139" s="4">
        <v>173</v>
      </c>
      <c r="L139" s="4">
        <v>165</v>
      </c>
      <c r="M139" s="5">
        <v>338</v>
      </c>
      <c r="N139" s="4">
        <v>2896.295575</v>
      </c>
      <c r="O139" s="4">
        <v>5658.658407</v>
      </c>
      <c r="P139" s="4">
        <v>6</v>
      </c>
      <c r="Q139" s="4">
        <v>9</v>
      </c>
      <c r="R139" s="4">
        <v>23</v>
      </c>
      <c r="S139" s="4">
        <v>66</v>
      </c>
      <c r="T139" s="4">
        <v>44</v>
      </c>
      <c r="U139" s="4">
        <v>0</v>
      </c>
      <c r="V139" s="4">
        <v>0</v>
      </c>
      <c r="W139" s="4">
        <v>11</v>
      </c>
      <c r="X139" s="4">
        <v>16.741592919</v>
      </c>
      <c r="Y139" s="4">
        <v>385.056637</v>
      </c>
      <c r="Z139" s="4">
        <v>14.695652180123</v>
      </c>
      <c r="AA139" s="4">
        <v>7.521739133144</v>
      </c>
      <c r="AB139" s="4">
        <v>7.043478263692</v>
      </c>
      <c r="AC139" s="4">
        <v>7.043478263692</v>
      </c>
      <c r="AD139" s="4">
        <v>0</v>
      </c>
      <c r="AE139" s="4">
        <v>0</v>
      </c>
      <c r="AF139" s="4">
        <v>4.5</v>
      </c>
      <c r="AG139" s="4">
        <v>35</v>
      </c>
      <c r="AH139" s="4">
        <v>6</v>
      </c>
      <c r="AI139" s="4">
        <v>585.955752</v>
      </c>
      <c r="AJ139" s="3" t="s">
        <v>1033</v>
      </c>
      <c r="AK139" s="4">
        <v>23</v>
      </c>
      <c r="AL139" s="4">
        <v>0</v>
      </c>
      <c r="AM139" s="6">
        <v>46126</v>
      </c>
      <c r="AN139" s="6"/>
      <c r="AO139" s="3" t="s">
        <v>1034</v>
      </c>
      <c r="AP139" s="3" t="s">
        <v>937</v>
      </c>
      <c r="AQ139" s="4"/>
      <c r="AR139" s="4"/>
      <c r="AS139" s="2"/>
    </row>
    <row r="140" ht="16.5" spans="1:45">
      <c r="A140" s="3" t="s">
        <v>856</v>
      </c>
      <c r="B140" s="3" t="s">
        <v>1030</v>
      </c>
      <c r="C140" s="3" t="s">
        <v>935</v>
      </c>
      <c r="D140" s="3" t="s">
        <v>1031</v>
      </c>
      <c r="E140" s="3" t="s">
        <v>1032</v>
      </c>
      <c r="F140" s="4">
        <v>165</v>
      </c>
      <c r="G140" s="4">
        <v>0</v>
      </c>
      <c r="H140" s="4">
        <v>0</v>
      </c>
      <c r="I140" s="4">
        <v>4</v>
      </c>
      <c r="J140" s="4">
        <v>3</v>
      </c>
      <c r="K140" s="4">
        <v>172</v>
      </c>
      <c r="L140" s="4">
        <v>0</v>
      </c>
      <c r="M140" s="5">
        <v>172</v>
      </c>
      <c r="N140" s="4">
        <v>4067.267256</v>
      </c>
      <c r="O140" s="4">
        <v>4067.267256</v>
      </c>
      <c r="P140" s="4">
        <v>8</v>
      </c>
      <c r="Q140" s="4">
        <v>23</v>
      </c>
      <c r="R140" s="4">
        <v>38</v>
      </c>
      <c r="S140" s="4">
        <v>25</v>
      </c>
      <c r="T140" s="4">
        <v>50</v>
      </c>
      <c r="U140" s="4">
        <v>0</v>
      </c>
      <c r="V140" s="4">
        <v>0</v>
      </c>
      <c r="W140" s="4">
        <v>0</v>
      </c>
      <c r="X140" s="4">
        <v>23.646902652</v>
      </c>
      <c r="Y140" s="4">
        <v>898.582301</v>
      </c>
      <c r="Z140" s="4">
        <v>4.526315788185</v>
      </c>
      <c r="AA140" s="4">
        <v>4.526315788185</v>
      </c>
      <c r="AB140" s="4">
        <v>4.447368419734</v>
      </c>
      <c r="AC140" s="4">
        <v>4.342105262542</v>
      </c>
      <c r="AD140" s="4">
        <v>0</v>
      </c>
      <c r="AE140" s="4">
        <v>0.105263158304</v>
      </c>
      <c r="AF140" s="4">
        <v>4.5</v>
      </c>
      <c r="AG140" s="4">
        <v>0</v>
      </c>
      <c r="AH140" s="4">
        <v>6</v>
      </c>
      <c r="AI140" s="4">
        <v>0</v>
      </c>
      <c r="AJ140" s="3" t="s">
        <v>1033</v>
      </c>
      <c r="AK140" s="4">
        <v>38</v>
      </c>
      <c r="AL140" s="4">
        <v>0</v>
      </c>
      <c r="AM140" s="6">
        <v>46127</v>
      </c>
      <c r="AN140" s="6"/>
      <c r="AO140" s="3" t="s">
        <v>1034</v>
      </c>
      <c r="AP140" s="3" t="s">
        <v>937</v>
      </c>
      <c r="AQ140" s="4"/>
      <c r="AR140" s="4"/>
      <c r="AS140" s="2"/>
    </row>
    <row r="141" ht="16.5" hidden="1" spans="1:45">
      <c r="A141" s="3" t="s">
        <v>882</v>
      </c>
      <c r="B141" s="3" t="s">
        <v>1030</v>
      </c>
      <c r="C141" s="3" t="s">
        <v>935</v>
      </c>
      <c r="D141" s="3" t="s">
        <v>1031</v>
      </c>
      <c r="E141" s="3" t="s">
        <v>1032</v>
      </c>
      <c r="F141" s="4">
        <v>38</v>
      </c>
      <c r="G141" s="4">
        <v>74</v>
      </c>
      <c r="H141" s="4">
        <v>0</v>
      </c>
      <c r="I141" s="4">
        <v>0</v>
      </c>
      <c r="J141" s="4">
        <v>60</v>
      </c>
      <c r="K141" s="4">
        <v>172</v>
      </c>
      <c r="L141" s="4">
        <v>300</v>
      </c>
      <c r="M141" s="5">
        <v>472</v>
      </c>
      <c r="N141" s="4">
        <v>3242.58053</v>
      </c>
      <c r="O141" s="4">
        <v>8898.244246</v>
      </c>
      <c r="P141" s="4">
        <v>28</v>
      </c>
      <c r="Q141" s="4">
        <v>59</v>
      </c>
      <c r="R141" s="4">
        <v>107</v>
      </c>
      <c r="S141" s="4">
        <v>19</v>
      </c>
      <c r="T141" s="4">
        <v>2</v>
      </c>
      <c r="U141" s="4">
        <v>0</v>
      </c>
      <c r="V141" s="4">
        <v>0</v>
      </c>
      <c r="W141" s="4">
        <v>0</v>
      </c>
      <c r="X141" s="4">
        <v>18.852212385</v>
      </c>
      <c r="Y141" s="4">
        <v>2017.186725</v>
      </c>
      <c r="Z141" s="4">
        <v>4.411214953836</v>
      </c>
      <c r="AA141" s="4">
        <v>1.60747663556</v>
      </c>
      <c r="AB141" s="4">
        <v>1.046728972004</v>
      </c>
      <c r="AC141" s="4">
        <v>0.355140187133</v>
      </c>
      <c r="AD141" s="4">
        <v>0</v>
      </c>
      <c r="AE141" s="4">
        <v>0</v>
      </c>
      <c r="AF141" s="4">
        <v>4.5</v>
      </c>
      <c r="AG141" s="4">
        <v>0</v>
      </c>
      <c r="AH141" s="4">
        <v>6</v>
      </c>
      <c r="AI141" s="4">
        <v>0</v>
      </c>
      <c r="AJ141" s="3" t="s">
        <v>1033</v>
      </c>
      <c r="AK141" s="4">
        <v>107</v>
      </c>
      <c r="AL141" s="4">
        <v>0</v>
      </c>
      <c r="AM141" s="6">
        <v>46163</v>
      </c>
      <c r="AN141" s="6"/>
      <c r="AO141" s="3" t="s">
        <v>1034</v>
      </c>
      <c r="AP141" s="3" t="s">
        <v>937</v>
      </c>
      <c r="AQ141" s="4"/>
      <c r="AR141" s="4"/>
      <c r="AS141" s="2"/>
    </row>
    <row r="142" ht="16.5" hidden="1" spans="1:45">
      <c r="A142" s="3" t="s">
        <v>418</v>
      </c>
      <c r="B142" s="3" t="s">
        <v>1030</v>
      </c>
      <c r="C142" s="3" t="s">
        <v>935</v>
      </c>
      <c r="D142" s="3" t="s">
        <v>1031</v>
      </c>
      <c r="E142" s="3" t="s">
        <v>1032</v>
      </c>
      <c r="F142" s="4">
        <v>15</v>
      </c>
      <c r="G142" s="4">
        <v>98</v>
      </c>
      <c r="H142" s="4">
        <v>0</v>
      </c>
      <c r="I142" s="4">
        <v>0</v>
      </c>
      <c r="J142" s="4">
        <v>58</v>
      </c>
      <c r="K142" s="4">
        <v>171</v>
      </c>
      <c r="L142" s="4">
        <v>72</v>
      </c>
      <c r="M142" s="5">
        <v>243</v>
      </c>
      <c r="N142" s="4">
        <v>2849.192921</v>
      </c>
      <c r="O142" s="4">
        <v>4048.853098</v>
      </c>
      <c r="P142" s="4">
        <v>9</v>
      </c>
      <c r="Q142" s="4">
        <v>17</v>
      </c>
      <c r="R142" s="4">
        <v>32</v>
      </c>
      <c r="S142" s="4">
        <v>32</v>
      </c>
      <c r="T142" s="4">
        <v>39</v>
      </c>
      <c r="U142" s="4">
        <v>58</v>
      </c>
      <c r="V142" s="4">
        <v>58</v>
      </c>
      <c r="W142" s="4">
        <v>58</v>
      </c>
      <c r="X142" s="4">
        <v>16.661946906</v>
      </c>
      <c r="Y142" s="4">
        <v>533.182301</v>
      </c>
      <c r="Z142" s="4">
        <v>7.593749999589</v>
      </c>
      <c r="AA142" s="4">
        <v>5.343750000058</v>
      </c>
      <c r="AB142" s="4">
        <v>3.531249999238</v>
      </c>
      <c r="AC142" s="4">
        <v>0.468750000761</v>
      </c>
      <c r="AD142" s="4">
        <v>0</v>
      </c>
      <c r="AE142" s="4">
        <v>0</v>
      </c>
      <c r="AF142" s="4">
        <v>4.5</v>
      </c>
      <c r="AG142" s="4">
        <v>0</v>
      </c>
      <c r="AH142" s="4">
        <v>6</v>
      </c>
      <c r="AI142" s="4">
        <v>0</v>
      </c>
      <c r="AJ142" s="3" t="s">
        <v>1033</v>
      </c>
      <c r="AK142" s="4">
        <v>32</v>
      </c>
      <c r="AL142" s="4">
        <v>0</v>
      </c>
      <c r="AM142" s="6">
        <v>46101</v>
      </c>
      <c r="AN142" s="6"/>
      <c r="AO142" s="3" t="s">
        <v>1034</v>
      </c>
      <c r="AP142" s="3" t="s">
        <v>937</v>
      </c>
      <c r="AQ142" s="4"/>
      <c r="AR142" s="4"/>
      <c r="AS142" s="2"/>
    </row>
    <row r="143" ht="16.5" hidden="1" spans="1:45">
      <c r="A143" s="3" t="s">
        <v>223</v>
      </c>
      <c r="B143" s="3" t="s">
        <v>1030</v>
      </c>
      <c r="C143" s="3" t="s">
        <v>935</v>
      </c>
      <c r="D143" s="3" t="s">
        <v>1031</v>
      </c>
      <c r="E143" s="3" t="s">
        <v>1032</v>
      </c>
      <c r="F143" s="4">
        <v>147</v>
      </c>
      <c r="G143" s="4">
        <v>0</v>
      </c>
      <c r="H143" s="4">
        <v>0</v>
      </c>
      <c r="I143" s="4">
        <v>4</v>
      </c>
      <c r="J143" s="4">
        <v>17</v>
      </c>
      <c r="K143" s="4">
        <v>168</v>
      </c>
      <c r="L143" s="4">
        <v>173</v>
      </c>
      <c r="M143" s="5">
        <v>341</v>
      </c>
      <c r="N143" s="4">
        <v>3013.295575</v>
      </c>
      <c r="O143" s="4">
        <v>6116.272566</v>
      </c>
      <c r="P143" s="4">
        <v>3</v>
      </c>
      <c r="Q143" s="4">
        <v>3</v>
      </c>
      <c r="R143" s="4">
        <v>3</v>
      </c>
      <c r="S143" s="4">
        <v>36</v>
      </c>
      <c r="T143" s="4">
        <v>49</v>
      </c>
      <c r="U143" s="4">
        <v>0</v>
      </c>
      <c r="V143" s="4">
        <v>0</v>
      </c>
      <c r="W143" s="4">
        <v>17</v>
      </c>
      <c r="X143" s="4">
        <v>17.936283186</v>
      </c>
      <c r="Y143" s="4">
        <v>53.80885</v>
      </c>
      <c r="Z143" s="4">
        <v>113.666665725061</v>
      </c>
      <c r="AA143" s="4">
        <v>55.999999535392</v>
      </c>
      <c r="AB143" s="4">
        <v>50.333332918283</v>
      </c>
      <c r="AC143" s="4">
        <v>48.999999591145</v>
      </c>
      <c r="AD143" s="4">
        <v>0</v>
      </c>
      <c r="AE143" s="4">
        <v>1.333333327138</v>
      </c>
      <c r="AF143" s="4">
        <v>4.5</v>
      </c>
      <c r="AG143" s="4">
        <v>150</v>
      </c>
      <c r="AH143" s="4">
        <v>6</v>
      </c>
      <c r="AI143" s="4">
        <v>2690.442478</v>
      </c>
      <c r="AJ143" s="3" t="s">
        <v>1033</v>
      </c>
      <c r="AK143" s="4">
        <v>3</v>
      </c>
      <c r="AL143" s="4">
        <v>0</v>
      </c>
      <c r="AM143" s="6">
        <v>46101</v>
      </c>
      <c r="AN143" s="6"/>
      <c r="AO143" s="3" t="s">
        <v>1034</v>
      </c>
      <c r="AP143" s="3" t="s">
        <v>937</v>
      </c>
      <c r="AQ143" s="4"/>
      <c r="AR143" s="4"/>
      <c r="AS143" s="2"/>
    </row>
    <row r="144" ht="16.5" hidden="1" spans="1:45">
      <c r="A144" s="3" t="s">
        <v>690</v>
      </c>
      <c r="B144" s="3" t="s">
        <v>1030</v>
      </c>
      <c r="C144" s="3" t="s">
        <v>935</v>
      </c>
      <c r="D144" s="3" t="s">
        <v>1038</v>
      </c>
      <c r="E144" s="3" t="s">
        <v>1032</v>
      </c>
      <c r="F144" s="4">
        <v>161</v>
      </c>
      <c r="G144" s="4">
        <v>0</v>
      </c>
      <c r="H144" s="4">
        <v>0</v>
      </c>
      <c r="I144" s="4">
        <v>0</v>
      </c>
      <c r="J144" s="4">
        <v>0</v>
      </c>
      <c r="K144" s="4">
        <v>161</v>
      </c>
      <c r="L144" s="4">
        <v>0</v>
      </c>
      <c r="M144" s="5">
        <v>161</v>
      </c>
      <c r="N144" s="4">
        <v>2889.359604</v>
      </c>
      <c r="O144" s="4">
        <v>2889.359604</v>
      </c>
      <c r="P144" s="4">
        <v>4</v>
      </c>
      <c r="Q144" s="4">
        <v>6</v>
      </c>
      <c r="R144" s="4">
        <v>10</v>
      </c>
      <c r="S144" s="4">
        <v>5</v>
      </c>
      <c r="T144" s="4">
        <v>18</v>
      </c>
      <c r="U144" s="4">
        <v>0</v>
      </c>
      <c r="V144" s="4">
        <v>0</v>
      </c>
      <c r="W144" s="4">
        <v>0</v>
      </c>
      <c r="X144" s="4">
        <v>17.946332942</v>
      </c>
      <c r="Y144" s="4">
        <v>179.463329</v>
      </c>
      <c r="Z144" s="4">
        <v>16.100000039562</v>
      </c>
      <c r="AA144" s="4">
        <v>16.100000039562</v>
      </c>
      <c r="AB144" s="4">
        <v>16.100000039562</v>
      </c>
      <c r="AC144" s="4">
        <v>16.100000039562</v>
      </c>
      <c r="AD144" s="4">
        <v>0</v>
      </c>
      <c r="AE144" s="4">
        <v>0</v>
      </c>
      <c r="AF144" s="4">
        <v>4.5</v>
      </c>
      <c r="AG144" s="4">
        <v>101</v>
      </c>
      <c r="AH144" s="4">
        <v>6</v>
      </c>
      <c r="AI144" s="4">
        <v>1812.579627</v>
      </c>
      <c r="AJ144" s="3" t="s">
        <v>1036</v>
      </c>
      <c r="AK144" s="4">
        <v>10</v>
      </c>
      <c r="AL144" s="4">
        <v>0</v>
      </c>
      <c r="AM144" s="6">
        <v>46094</v>
      </c>
      <c r="AN144" s="6"/>
      <c r="AO144" s="3" t="s">
        <v>1034</v>
      </c>
      <c r="AP144" s="3" t="s">
        <v>937</v>
      </c>
      <c r="AQ144" s="4"/>
      <c r="AR144" s="4"/>
      <c r="AS144" s="2"/>
    </row>
    <row r="145" ht="16.5" spans="1:45">
      <c r="A145" s="3" t="s">
        <v>334</v>
      </c>
      <c r="B145" s="3" t="s">
        <v>1030</v>
      </c>
      <c r="C145" s="3" t="s">
        <v>935</v>
      </c>
      <c r="D145" s="3" t="s">
        <v>1031</v>
      </c>
      <c r="E145" s="3" t="s">
        <v>1032</v>
      </c>
      <c r="F145" s="4">
        <v>54</v>
      </c>
      <c r="G145" s="4">
        <v>0</v>
      </c>
      <c r="H145" s="4">
        <v>0</v>
      </c>
      <c r="I145" s="4">
        <v>0</v>
      </c>
      <c r="J145" s="4">
        <v>106</v>
      </c>
      <c r="K145" s="4">
        <v>160</v>
      </c>
      <c r="L145" s="4">
        <v>235</v>
      </c>
      <c r="M145" s="5">
        <v>395</v>
      </c>
      <c r="N145" s="4">
        <v>3058.407079</v>
      </c>
      <c r="O145" s="4">
        <v>7550.442477</v>
      </c>
      <c r="P145" s="4">
        <v>13</v>
      </c>
      <c r="Q145" s="4">
        <v>35</v>
      </c>
      <c r="R145" s="4">
        <v>78</v>
      </c>
      <c r="S145" s="4">
        <v>29</v>
      </c>
      <c r="T145" s="4">
        <v>11</v>
      </c>
      <c r="U145" s="4">
        <v>0</v>
      </c>
      <c r="V145" s="4">
        <v>0</v>
      </c>
      <c r="W145" s="4">
        <v>105</v>
      </c>
      <c r="X145" s="4">
        <v>19.115044245</v>
      </c>
      <c r="Y145" s="4">
        <v>1490.973451</v>
      </c>
      <c r="Z145" s="4">
        <v>5.064102564627</v>
      </c>
      <c r="AA145" s="4">
        <v>2.051282051299</v>
      </c>
      <c r="AB145" s="4">
        <v>0.692307692204</v>
      </c>
      <c r="AC145" s="4">
        <v>0.692307692204</v>
      </c>
      <c r="AD145" s="4">
        <v>0</v>
      </c>
      <c r="AE145" s="4">
        <v>0</v>
      </c>
      <c r="AF145" s="4">
        <v>4.5</v>
      </c>
      <c r="AG145" s="4">
        <v>0</v>
      </c>
      <c r="AH145" s="4">
        <v>6</v>
      </c>
      <c r="AI145" s="4">
        <v>0</v>
      </c>
      <c r="AJ145" s="3" t="s">
        <v>1033</v>
      </c>
      <c r="AK145" s="4">
        <v>78</v>
      </c>
      <c r="AL145" s="4">
        <v>0</v>
      </c>
      <c r="AM145" s="6">
        <v>46126</v>
      </c>
      <c r="AN145" s="6"/>
      <c r="AO145" s="3" t="s">
        <v>1034</v>
      </c>
      <c r="AP145" s="3" t="s">
        <v>937</v>
      </c>
      <c r="AQ145" s="4"/>
      <c r="AR145" s="4"/>
      <c r="AS145" s="2"/>
    </row>
    <row r="146" ht="16.5" hidden="1" spans="1:45">
      <c r="A146" s="3" t="s">
        <v>595</v>
      </c>
      <c r="B146" s="3" t="s">
        <v>1030</v>
      </c>
      <c r="C146" s="3" t="s">
        <v>935</v>
      </c>
      <c r="D146" s="3" t="s">
        <v>1031</v>
      </c>
      <c r="E146" s="3" t="s">
        <v>1032</v>
      </c>
      <c r="F146" s="4">
        <v>158</v>
      </c>
      <c r="G146" s="4">
        <v>0</v>
      </c>
      <c r="H146" s="4">
        <v>0</v>
      </c>
      <c r="I146" s="4">
        <v>0</v>
      </c>
      <c r="J146" s="4">
        <v>1</v>
      </c>
      <c r="K146" s="4">
        <v>159</v>
      </c>
      <c r="L146" s="4">
        <v>150</v>
      </c>
      <c r="M146" s="5">
        <v>309</v>
      </c>
      <c r="N146" s="4">
        <v>3957.603214</v>
      </c>
      <c r="O146" s="4">
        <v>7691.191153</v>
      </c>
      <c r="P146" s="4">
        <v>6</v>
      </c>
      <c r="Q146" s="4">
        <v>11</v>
      </c>
      <c r="R146" s="4">
        <v>33</v>
      </c>
      <c r="S146" s="4">
        <v>25</v>
      </c>
      <c r="T146" s="4">
        <v>0</v>
      </c>
      <c r="U146" s="4">
        <v>0</v>
      </c>
      <c r="V146" s="4">
        <v>0</v>
      </c>
      <c r="W146" s="4">
        <v>1</v>
      </c>
      <c r="X146" s="4">
        <v>24.8905862541</v>
      </c>
      <c r="Y146" s="4">
        <v>821.389346</v>
      </c>
      <c r="Z146" s="4">
        <v>9.363636368616</v>
      </c>
      <c r="AA146" s="4">
        <v>4.818181819952</v>
      </c>
      <c r="AB146" s="4">
        <v>4.787878789944</v>
      </c>
      <c r="AC146" s="4">
        <v>4.787878789944</v>
      </c>
      <c r="AD146" s="4">
        <v>0</v>
      </c>
      <c r="AE146" s="4">
        <v>0</v>
      </c>
      <c r="AF146" s="4">
        <v>4.5</v>
      </c>
      <c r="AG146" s="4">
        <v>0</v>
      </c>
      <c r="AH146" s="4">
        <v>6</v>
      </c>
      <c r="AI146" s="4">
        <v>0</v>
      </c>
      <c r="AJ146" s="3" t="s">
        <v>1036</v>
      </c>
      <c r="AK146" s="4">
        <v>33</v>
      </c>
      <c r="AL146" s="4">
        <v>0</v>
      </c>
      <c r="AM146" s="6">
        <v>46169</v>
      </c>
      <c r="AN146" s="6"/>
      <c r="AO146" s="3" t="s">
        <v>1034</v>
      </c>
      <c r="AP146" s="3" t="s">
        <v>937</v>
      </c>
      <c r="AQ146" s="4"/>
      <c r="AR146" s="4"/>
      <c r="AS146" s="2"/>
    </row>
    <row r="147" ht="16.5" hidden="1" spans="1:45">
      <c r="A147" s="3" t="s">
        <v>575</v>
      </c>
      <c r="B147" s="3" t="s">
        <v>1030</v>
      </c>
      <c r="C147" s="3" t="s">
        <v>935</v>
      </c>
      <c r="D147" s="3" t="s">
        <v>1031</v>
      </c>
      <c r="E147" s="3" t="s">
        <v>1032</v>
      </c>
      <c r="F147" s="4">
        <v>57</v>
      </c>
      <c r="G147" s="4">
        <v>90</v>
      </c>
      <c r="H147" s="4">
        <v>0</v>
      </c>
      <c r="I147" s="4">
        <v>0</v>
      </c>
      <c r="J147" s="4">
        <v>11</v>
      </c>
      <c r="K147" s="4">
        <v>158</v>
      </c>
      <c r="L147" s="4">
        <v>456</v>
      </c>
      <c r="M147" s="5">
        <v>614</v>
      </c>
      <c r="N147" s="4">
        <v>3071.030395</v>
      </c>
      <c r="O147" s="4">
        <v>11934.257359</v>
      </c>
      <c r="P147" s="4">
        <v>11</v>
      </c>
      <c r="Q147" s="4">
        <v>25</v>
      </c>
      <c r="R147" s="4">
        <v>72</v>
      </c>
      <c r="S147" s="4">
        <v>81</v>
      </c>
      <c r="T147" s="4">
        <v>4</v>
      </c>
      <c r="U147" s="4">
        <v>0</v>
      </c>
      <c r="V147" s="4">
        <v>0</v>
      </c>
      <c r="W147" s="4">
        <v>119</v>
      </c>
      <c r="X147" s="4">
        <v>19.4369012357</v>
      </c>
      <c r="Y147" s="4">
        <v>1399.456889</v>
      </c>
      <c r="Z147" s="4">
        <v>8.527777777797</v>
      </c>
      <c r="AA147" s="4">
        <v>2.194444444226</v>
      </c>
      <c r="AB147" s="4">
        <v>2.04166666616</v>
      </c>
      <c r="AC147" s="4">
        <v>0.791666666339</v>
      </c>
      <c r="AD147" s="4">
        <v>0</v>
      </c>
      <c r="AE147" s="4">
        <v>0</v>
      </c>
      <c r="AF147" s="4">
        <v>4.5</v>
      </c>
      <c r="AG147" s="4">
        <v>0</v>
      </c>
      <c r="AH147" s="4">
        <v>6</v>
      </c>
      <c r="AI147" s="4">
        <v>0</v>
      </c>
      <c r="AJ147" s="3" t="s">
        <v>1036</v>
      </c>
      <c r="AK147" s="4">
        <v>72</v>
      </c>
      <c r="AL147" s="4">
        <v>0</v>
      </c>
      <c r="AM147" s="6">
        <v>46166</v>
      </c>
      <c r="AN147" s="6"/>
      <c r="AO147" s="3" t="s">
        <v>1034</v>
      </c>
      <c r="AP147" s="3" t="s">
        <v>937</v>
      </c>
      <c r="AQ147" s="4"/>
      <c r="AR147" s="4"/>
      <c r="AS147" s="2"/>
    </row>
    <row r="148" ht="16.5" hidden="1" spans="1:45">
      <c r="A148" s="3" t="s">
        <v>765</v>
      </c>
      <c r="B148" s="3" t="s">
        <v>1030</v>
      </c>
      <c r="C148" s="3" t="s">
        <v>935</v>
      </c>
      <c r="D148" s="3" t="s">
        <v>1031</v>
      </c>
      <c r="E148" s="3" t="s">
        <v>1032</v>
      </c>
      <c r="F148" s="4">
        <v>29</v>
      </c>
      <c r="G148" s="4">
        <v>124</v>
      </c>
      <c r="H148" s="4">
        <v>0</v>
      </c>
      <c r="I148" s="4">
        <v>0</v>
      </c>
      <c r="J148" s="4">
        <v>1</v>
      </c>
      <c r="K148" s="4">
        <v>154</v>
      </c>
      <c r="L148" s="4">
        <v>460</v>
      </c>
      <c r="M148" s="5">
        <v>614</v>
      </c>
      <c r="N148" s="4">
        <v>3615.40091</v>
      </c>
      <c r="O148" s="4">
        <v>14414.650382</v>
      </c>
      <c r="P148" s="4">
        <v>33</v>
      </c>
      <c r="Q148" s="4">
        <v>54</v>
      </c>
      <c r="R148" s="4">
        <v>102</v>
      </c>
      <c r="S148" s="4">
        <v>90</v>
      </c>
      <c r="T148" s="4">
        <v>25</v>
      </c>
      <c r="U148" s="4">
        <v>0</v>
      </c>
      <c r="V148" s="4">
        <v>0</v>
      </c>
      <c r="W148" s="4">
        <v>66</v>
      </c>
      <c r="X148" s="4">
        <v>23.4766292867</v>
      </c>
      <c r="Y148" s="4">
        <v>2394.616187</v>
      </c>
      <c r="Z148" s="4">
        <v>6.019607843735</v>
      </c>
      <c r="AA148" s="4">
        <v>1.509803921658</v>
      </c>
      <c r="AB148" s="4">
        <v>1.500000000208</v>
      </c>
      <c r="AC148" s="4">
        <v>0.284313725387</v>
      </c>
      <c r="AD148" s="4">
        <v>0</v>
      </c>
      <c r="AE148" s="4">
        <v>0</v>
      </c>
      <c r="AF148" s="4">
        <v>4.5</v>
      </c>
      <c r="AG148" s="4">
        <v>0</v>
      </c>
      <c r="AH148" s="4">
        <v>6</v>
      </c>
      <c r="AI148" s="4">
        <v>0</v>
      </c>
      <c r="AJ148" s="3" t="s">
        <v>1036</v>
      </c>
      <c r="AK148" s="4">
        <v>102</v>
      </c>
      <c r="AL148" s="4">
        <v>0</v>
      </c>
      <c r="AM148" s="6">
        <v>46159</v>
      </c>
      <c r="AN148" s="6"/>
      <c r="AO148" s="3" t="s">
        <v>1034</v>
      </c>
      <c r="AP148" s="3" t="s">
        <v>937</v>
      </c>
      <c r="AQ148" s="4"/>
      <c r="AR148" s="4"/>
      <c r="AS148" s="2"/>
    </row>
    <row r="149" ht="16.5" hidden="1" spans="1:45">
      <c r="A149" s="3" t="s">
        <v>900</v>
      </c>
      <c r="B149" s="3" t="s">
        <v>1030</v>
      </c>
      <c r="C149" s="3" t="s">
        <v>935</v>
      </c>
      <c r="D149" s="3" t="s">
        <v>1031</v>
      </c>
      <c r="E149" s="3" t="s">
        <v>1032</v>
      </c>
      <c r="F149" s="4">
        <v>103</v>
      </c>
      <c r="G149" s="4">
        <v>2</v>
      </c>
      <c r="H149" s="4">
        <v>0</v>
      </c>
      <c r="I149" s="4">
        <v>0</v>
      </c>
      <c r="J149" s="4">
        <v>44</v>
      </c>
      <c r="K149" s="4">
        <v>149</v>
      </c>
      <c r="L149" s="4">
        <v>50</v>
      </c>
      <c r="M149" s="5">
        <v>199</v>
      </c>
      <c r="N149" s="4">
        <v>3523.388495</v>
      </c>
      <c r="O149" s="4">
        <v>4705.733628</v>
      </c>
      <c r="P149" s="4">
        <v>13</v>
      </c>
      <c r="Q149" s="4">
        <v>21</v>
      </c>
      <c r="R149" s="4">
        <v>35</v>
      </c>
      <c r="S149" s="4">
        <v>10</v>
      </c>
      <c r="T149" s="4">
        <v>13</v>
      </c>
      <c r="U149" s="4">
        <v>0</v>
      </c>
      <c r="V149" s="4">
        <v>0</v>
      </c>
      <c r="W149" s="4">
        <v>0</v>
      </c>
      <c r="X149" s="4">
        <v>23.646902652</v>
      </c>
      <c r="Y149" s="4">
        <v>827.641593</v>
      </c>
      <c r="Z149" s="4">
        <v>5.685714284782</v>
      </c>
      <c r="AA149" s="4">
        <v>4.257142856038</v>
      </c>
      <c r="AB149" s="4">
        <v>2.999999998791</v>
      </c>
      <c r="AC149" s="4">
        <v>2.942857142028</v>
      </c>
      <c r="AD149" s="4">
        <v>0</v>
      </c>
      <c r="AE149" s="4">
        <v>0</v>
      </c>
      <c r="AF149" s="4">
        <v>4.5</v>
      </c>
      <c r="AG149" s="4">
        <v>0</v>
      </c>
      <c r="AH149" s="4">
        <v>6</v>
      </c>
      <c r="AI149" s="4">
        <v>0</v>
      </c>
      <c r="AJ149" s="3" t="s">
        <v>1033</v>
      </c>
      <c r="AK149" s="4">
        <v>35</v>
      </c>
      <c r="AL149" s="4">
        <v>0</v>
      </c>
      <c r="AM149" s="6">
        <v>46159</v>
      </c>
      <c r="AN149" s="6"/>
      <c r="AO149" s="3" t="s">
        <v>1034</v>
      </c>
      <c r="AP149" s="3" t="s">
        <v>937</v>
      </c>
      <c r="AQ149" s="4"/>
      <c r="AR149" s="4"/>
      <c r="AS149" s="2"/>
    </row>
    <row r="150" ht="16.5" hidden="1" spans="1:45">
      <c r="A150" s="3" t="s">
        <v>896</v>
      </c>
      <c r="B150" s="3" t="s">
        <v>1030</v>
      </c>
      <c r="C150" s="3" t="s">
        <v>935</v>
      </c>
      <c r="D150" s="3" t="s">
        <v>1031</v>
      </c>
      <c r="E150" s="3" t="s">
        <v>1032</v>
      </c>
      <c r="F150" s="4">
        <v>139</v>
      </c>
      <c r="G150" s="4">
        <v>0</v>
      </c>
      <c r="H150" s="4">
        <v>0</v>
      </c>
      <c r="I150" s="4">
        <v>0</v>
      </c>
      <c r="J150" s="4">
        <v>10</v>
      </c>
      <c r="K150" s="4">
        <v>149</v>
      </c>
      <c r="L150" s="4">
        <v>16</v>
      </c>
      <c r="M150" s="5">
        <v>165</v>
      </c>
      <c r="N150" s="4">
        <v>3826.00354</v>
      </c>
      <c r="O150" s="4">
        <v>4236.849557</v>
      </c>
      <c r="P150" s="4">
        <v>0</v>
      </c>
      <c r="Q150" s="4">
        <v>1</v>
      </c>
      <c r="R150" s="4">
        <v>5</v>
      </c>
      <c r="S150" s="4">
        <v>12</v>
      </c>
      <c r="T150" s="4">
        <v>10</v>
      </c>
      <c r="U150" s="4">
        <v>0</v>
      </c>
      <c r="V150" s="4">
        <v>0</v>
      </c>
      <c r="W150" s="4">
        <v>0</v>
      </c>
      <c r="X150" s="4">
        <v>25.677876105</v>
      </c>
      <c r="Y150" s="4">
        <v>128.389381</v>
      </c>
      <c r="Z150" s="4">
        <v>32.999999875379</v>
      </c>
      <c r="AA150" s="4">
        <v>29.799999892514</v>
      </c>
      <c r="AB150" s="4">
        <v>27.799999900303</v>
      </c>
      <c r="AC150" s="4">
        <v>27.799999900303</v>
      </c>
      <c r="AD150" s="4">
        <v>0</v>
      </c>
      <c r="AE150" s="4">
        <v>0</v>
      </c>
      <c r="AF150" s="4">
        <v>4.5</v>
      </c>
      <c r="AG150" s="4">
        <v>119</v>
      </c>
      <c r="AH150" s="4">
        <v>6</v>
      </c>
      <c r="AI150" s="4">
        <v>3055.667256</v>
      </c>
      <c r="AJ150" s="3" t="s">
        <v>1033</v>
      </c>
      <c r="AK150" s="4">
        <v>5</v>
      </c>
      <c r="AL150" s="4">
        <v>0</v>
      </c>
      <c r="AM150" s="6">
        <v>46108</v>
      </c>
      <c r="AN150" s="6"/>
      <c r="AO150" s="3" t="s">
        <v>1034</v>
      </c>
      <c r="AP150" s="3" t="s">
        <v>937</v>
      </c>
      <c r="AQ150" s="4"/>
      <c r="AR150" s="4"/>
      <c r="AS150" s="2"/>
    </row>
    <row r="151" ht="16.5" hidden="1" spans="1:45">
      <c r="A151" s="3" t="s">
        <v>844</v>
      </c>
      <c r="B151" s="3" t="s">
        <v>1030</v>
      </c>
      <c r="C151" s="3" t="s">
        <v>935</v>
      </c>
      <c r="D151" s="3" t="s">
        <v>1031</v>
      </c>
      <c r="E151" s="3" t="s">
        <v>1032</v>
      </c>
      <c r="F151" s="4">
        <v>135</v>
      </c>
      <c r="G151" s="4">
        <v>0</v>
      </c>
      <c r="H151" s="4">
        <v>0</v>
      </c>
      <c r="I151" s="4">
        <v>0</v>
      </c>
      <c r="J151" s="4">
        <v>11</v>
      </c>
      <c r="K151" s="4">
        <v>146</v>
      </c>
      <c r="L151" s="4">
        <v>280</v>
      </c>
      <c r="M151" s="5">
        <v>426</v>
      </c>
      <c r="N151" s="4">
        <v>3865.253097</v>
      </c>
      <c r="O151" s="4">
        <v>11278.067255</v>
      </c>
      <c r="P151" s="4">
        <v>9</v>
      </c>
      <c r="Q151" s="4">
        <v>24</v>
      </c>
      <c r="R151" s="4">
        <v>65</v>
      </c>
      <c r="S151" s="4">
        <v>43</v>
      </c>
      <c r="T151" s="4">
        <v>75</v>
      </c>
      <c r="U151" s="4">
        <v>0</v>
      </c>
      <c r="V151" s="4">
        <v>0</v>
      </c>
      <c r="W151" s="4">
        <v>5</v>
      </c>
      <c r="X151" s="4">
        <v>26.47433628</v>
      </c>
      <c r="Y151" s="4">
        <v>1720.831858</v>
      </c>
      <c r="Z151" s="4">
        <v>6.553846154445</v>
      </c>
      <c r="AA151" s="4">
        <v>2.246153846484</v>
      </c>
      <c r="AB151" s="4">
        <v>2.07692307728</v>
      </c>
      <c r="AC151" s="4">
        <v>2.07692307728</v>
      </c>
      <c r="AD151" s="4">
        <v>0</v>
      </c>
      <c r="AE151" s="4">
        <v>0</v>
      </c>
      <c r="AF151" s="4">
        <v>4.5</v>
      </c>
      <c r="AG151" s="4">
        <v>0</v>
      </c>
      <c r="AH151" s="4">
        <v>6</v>
      </c>
      <c r="AI151" s="4">
        <v>0</v>
      </c>
      <c r="AJ151" s="3" t="s">
        <v>1033</v>
      </c>
      <c r="AK151" s="4">
        <v>65</v>
      </c>
      <c r="AL151" s="4">
        <v>0</v>
      </c>
      <c r="AM151" s="6">
        <v>46098</v>
      </c>
      <c r="AN151" s="6"/>
      <c r="AO151" s="3" t="s">
        <v>1034</v>
      </c>
      <c r="AP151" s="3" t="s">
        <v>937</v>
      </c>
      <c r="AQ151" s="4"/>
      <c r="AR151" s="4"/>
      <c r="AS151" s="2"/>
    </row>
    <row r="152" ht="16.5" hidden="1" spans="1:45">
      <c r="A152" s="3" t="s">
        <v>398</v>
      </c>
      <c r="B152" s="3" t="s">
        <v>1030</v>
      </c>
      <c r="C152" s="3" t="s">
        <v>935</v>
      </c>
      <c r="D152" s="3" t="s">
        <v>1031</v>
      </c>
      <c r="E152" s="3" t="s">
        <v>1032</v>
      </c>
      <c r="F152" s="4">
        <v>18</v>
      </c>
      <c r="G152" s="4">
        <v>120</v>
      </c>
      <c r="H152" s="4">
        <v>0</v>
      </c>
      <c r="I152" s="4">
        <v>6</v>
      </c>
      <c r="J152" s="4">
        <v>0</v>
      </c>
      <c r="K152" s="4">
        <v>144</v>
      </c>
      <c r="L152" s="4">
        <v>328</v>
      </c>
      <c r="M152" s="5">
        <v>472</v>
      </c>
      <c r="N152" s="4">
        <v>2535.80177</v>
      </c>
      <c r="O152" s="4">
        <v>8311.79469</v>
      </c>
      <c r="P152" s="4">
        <v>11</v>
      </c>
      <c r="Q152" s="4">
        <v>27</v>
      </c>
      <c r="R152" s="4">
        <v>62</v>
      </c>
      <c r="S152" s="4">
        <v>72</v>
      </c>
      <c r="T152" s="4">
        <v>72</v>
      </c>
      <c r="U152" s="4">
        <v>0</v>
      </c>
      <c r="V152" s="4">
        <v>0</v>
      </c>
      <c r="W152" s="4">
        <v>119</v>
      </c>
      <c r="X152" s="4">
        <v>17.609734512</v>
      </c>
      <c r="Y152" s="4">
        <v>1091.80354</v>
      </c>
      <c r="Z152" s="4">
        <v>7.612903224329</v>
      </c>
      <c r="AA152" s="4">
        <v>2.322580644865</v>
      </c>
      <c r="AB152" s="4">
        <v>2.322580644865</v>
      </c>
      <c r="AC152" s="4">
        <v>0.290322580379</v>
      </c>
      <c r="AD152" s="4">
        <v>0</v>
      </c>
      <c r="AE152" s="4">
        <v>0.096774193459</v>
      </c>
      <c r="AF152" s="4">
        <v>4.5</v>
      </c>
      <c r="AG152" s="4">
        <v>0</v>
      </c>
      <c r="AH152" s="4">
        <v>6</v>
      </c>
      <c r="AI152" s="4">
        <v>0</v>
      </c>
      <c r="AJ152" s="3" t="s">
        <v>1033</v>
      </c>
      <c r="AK152" s="4">
        <v>62</v>
      </c>
      <c r="AL152" s="4">
        <v>0</v>
      </c>
      <c r="AM152" s="6">
        <v>46101</v>
      </c>
      <c r="AN152" s="6"/>
      <c r="AO152" s="3" t="s">
        <v>1034</v>
      </c>
      <c r="AP152" s="3" t="s">
        <v>937</v>
      </c>
      <c r="AQ152" s="4"/>
      <c r="AR152" s="4"/>
      <c r="AS152" s="2"/>
    </row>
    <row r="153" ht="16.5" spans="1:45">
      <c r="A153" s="3" t="s">
        <v>888</v>
      </c>
      <c r="B153" s="3" t="s">
        <v>1030</v>
      </c>
      <c r="C153" s="3" t="s">
        <v>935</v>
      </c>
      <c r="D153" s="3" t="s">
        <v>1031</v>
      </c>
      <c r="E153" s="3" t="s">
        <v>1032</v>
      </c>
      <c r="F153" s="4">
        <v>122</v>
      </c>
      <c r="G153" s="4">
        <v>3</v>
      </c>
      <c r="H153" s="4">
        <v>0</v>
      </c>
      <c r="I153" s="4">
        <v>8</v>
      </c>
      <c r="J153" s="4">
        <v>10</v>
      </c>
      <c r="K153" s="4">
        <v>143</v>
      </c>
      <c r="L153" s="4">
        <v>241</v>
      </c>
      <c r="M153" s="5">
        <v>384</v>
      </c>
      <c r="N153" s="4">
        <v>3891.751327</v>
      </c>
      <c r="O153" s="4">
        <v>10450.57699</v>
      </c>
      <c r="P153" s="4">
        <v>14</v>
      </c>
      <c r="Q153" s="4">
        <v>25</v>
      </c>
      <c r="R153" s="4">
        <v>51</v>
      </c>
      <c r="S153" s="4">
        <v>54</v>
      </c>
      <c r="T153" s="4">
        <v>73</v>
      </c>
      <c r="U153" s="4">
        <v>0</v>
      </c>
      <c r="V153" s="4">
        <v>0</v>
      </c>
      <c r="W153" s="4">
        <v>9</v>
      </c>
      <c r="X153" s="4">
        <v>27.215044245</v>
      </c>
      <c r="Y153" s="4">
        <v>1387.967256</v>
      </c>
      <c r="Z153" s="4">
        <v>7.529411767333</v>
      </c>
      <c r="AA153" s="4">
        <v>2.803921569602</v>
      </c>
      <c r="AB153" s="4">
        <v>2.607843138483</v>
      </c>
      <c r="AC153" s="4">
        <v>2.392156863677</v>
      </c>
      <c r="AD153" s="4">
        <v>0</v>
      </c>
      <c r="AE153" s="4">
        <v>0.156862745182</v>
      </c>
      <c r="AF153" s="4">
        <v>4.5</v>
      </c>
      <c r="AG153" s="4">
        <v>0</v>
      </c>
      <c r="AH153" s="4">
        <v>6</v>
      </c>
      <c r="AI153" s="4">
        <v>0</v>
      </c>
      <c r="AJ153" s="3" t="s">
        <v>1033</v>
      </c>
      <c r="AK153" s="4">
        <v>51</v>
      </c>
      <c r="AL153" s="4">
        <v>0</v>
      </c>
      <c r="AM153" s="6">
        <v>46139</v>
      </c>
      <c r="AN153" s="6"/>
      <c r="AO153" s="3" t="s">
        <v>1034</v>
      </c>
      <c r="AP153" s="3" t="s">
        <v>937</v>
      </c>
      <c r="AQ153" s="4"/>
      <c r="AR153" s="4"/>
      <c r="AS153" s="2"/>
    </row>
    <row r="154" ht="16.5" hidden="1" spans="1:45">
      <c r="A154" s="3" t="s">
        <v>705</v>
      </c>
      <c r="B154" s="3" t="s">
        <v>1030</v>
      </c>
      <c r="C154" s="3" t="s">
        <v>935</v>
      </c>
      <c r="D154" s="3" t="s">
        <v>1031</v>
      </c>
      <c r="E154" s="3" t="s">
        <v>1032</v>
      </c>
      <c r="F154" s="4">
        <v>25</v>
      </c>
      <c r="G154" s="4">
        <v>70</v>
      </c>
      <c r="H154" s="4">
        <v>0</v>
      </c>
      <c r="I154" s="4">
        <v>0</v>
      </c>
      <c r="J154" s="4">
        <v>46</v>
      </c>
      <c r="K154" s="4">
        <v>141</v>
      </c>
      <c r="L154" s="4">
        <v>150</v>
      </c>
      <c r="M154" s="5">
        <v>291</v>
      </c>
      <c r="N154" s="4">
        <v>5054.606988</v>
      </c>
      <c r="O154" s="4">
        <v>10431.848465</v>
      </c>
      <c r="P154" s="4">
        <v>8</v>
      </c>
      <c r="Q154" s="4">
        <v>19</v>
      </c>
      <c r="R154" s="4">
        <v>48</v>
      </c>
      <c r="S154" s="4">
        <v>28</v>
      </c>
      <c r="T154" s="4">
        <v>7</v>
      </c>
      <c r="U154" s="4">
        <v>0</v>
      </c>
      <c r="V154" s="4">
        <v>0</v>
      </c>
      <c r="W154" s="4">
        <v>39</v>
      </c>
      <c r="X154" s="4">
        <v>35.8482765119</v>
      </c>
      <c r="Y154" s="4">
        <v>1720.717273</v>
      </c>
      <c r="Z154" s="4">
        <v>6.06249999851</v>
      </c>
      <c r="AA154" s="4">
        <v>2.937499999164</v>
      </c>
      <c r="AB154" s="4">
        <v>1.979166665807</v>
      </c>
      <c r="AC154" s="4">
        <v>0.520833333321</v>
      </c>
      <c r="AD154" s="4">
        <v>0</v>
      </c>
      <c r="AE154" s="4">
        <v>0</v>
      </c>
      <c r="AF154" s="4">
        <v>4.5</v>
      </c>
      <c r="AG154" s="4">
        <v>0</v>
      </c>
      <c r="AH154" s="4">
        <v>6</v>
      </c>
      <c r="AI154" s="4">
        <v>0</v>
      </c>
      <c r="AJ154" s="3" t="s">
        <v>1036</v>
      </c>
      <c r="AK154" s="4">
        <v>48</v>
      </c>
      <c r="AL154" s="4">
        <v>0</v>
      </c>
      <c r="AM154" s="6">
        <v>46162</v>
      </c>
      <c r="AN154" s="6"/>
      <c r="AO154" s="3" t="s">
        <v>1034</v>
      </c>
      <c r="AP154" s="3" t="s">
        <v>937</v>
      </c>
      <c r="AQ154" s="4"/>
      <c r="AR154" s="4"/>
      <c r="AS154" s="2"/>
    </row>
    <row r="155" ht="16.5" spans="1:45">
      <c r="A155" s="3" t="s">
        <v>438</v>
      </c>
      <c r="B155" s="3" t="s">
        <v>1030</v>
      </c>
      <c r="C155" s="3" t="s">
        <v>935</v>
      </c>
      <c r="D155" s="3" t="s">
        <v>1031</v>
      </c>
      <c r="E155" s="3" t="s">
        <v>1032</v>
      </c>
      <c r="F155" s="4">
        <v>56</v>
      </c>
      <c r="G155" s="4">
        <v>0</v>
      </c>
      <c r="H155" s="4">
        <v>0</v>
      </c>
      <c r="I155" s="4">
        <v>0</v>
      </c>
      <c r="J155" s="4">
        <v>81</v>
      </c>
      <c r="K155" s="4">
        <v>137</v>
      </c>
      <c r="L155" s="4">
        <v>0</v>
      </c>
      <c r="M155" s="5">
        <v>137</v>
      </c>
      <c r="N155" s="4">
        <v>2293.59823</v>
      </c>
      <c r="O155" s="4">
        <v>2293.59823</v>
      </c>
      <c r="P155" s="4">
        <v>3</v>
      </c>
      <c r="Q155" s="4">
        <v>9</v>
      </c>
      <c r="R155" s="4">
        <v>17</v>
      </c>
      <c r="S155" s="4">
        <v>22</v>
      </c>
      <c r="T155" s="4">
        <v>13</v>
      </c>
      <c r="U155" s="4">
        <v>80</v>
      </c>
      <c r="V155" s="4">
        <v>80</v>
      </c>
      <c r="W155" s="4">
        <v>80</v>
      </c>
      <c r="X155" s="4">
        <v>16.741592919</v>
      </c>
      <c r="Y155" s="4">
        <v>284.60708</v>
      </c>
      <c r="Z155" s="4">
        <v>8.058823519077</v>
      </c>
      <c r="AA155" s="4">
        <v>8.058823519077</v>
      </c>
      <c r="AB155" s="4">
        <v>3.294117644578</v>
      </c>
      <c r="AC155" s="4">
        <v>3.294117641065</v>
      </c>
      <c r="AD155" s="4">
        <v>0</v>
      </c>
      <c r="AE155" s="4">
        <v>0</v>
      </c>
      <c r="AF155" s="4">
        <v>4.5</v>
      </c>
      <c r="AG155" s="4">
        <v>35</v>
      </c>
      <c r="AH155" s="4">
        <v>6</v>
      </c>
      <c r="AI155" s="4">
        <v>585.955752</v>
      </c>
      <c r="AJ155" s="3" t="s">
        <v>1033</v>
      </c>
      <c r="AK155" s="4">
        <v>17</v>
      </c>
      <c r="AL155" s="4">
        <v>0</v>
      </c>
      <c r="AM155" s="6">
        <v>46126</v>
      </c>
      <c r="AN155" s="6"/>
      <c r="AO155" s="3" t="s">
        <v>1034</v>
      </c>
      <c r="AP155" s="3" t="s">
        <v>937</v>
      </c>
      <c r="AQ155" s="4"/>
      <c r="AR155" s="4"/>
      <c r="AS155" s="2"/>
    </row>
    <row r="156" ht="16.5" hidden="1" spans="1:45">
      <c r="A156" s="3" t="s">
        <v>730</v>
      </c>
      <c r="B156" s="3" t="s">
        <v>1030</v>
      </c>
      <c r="C156" s="3" t="s">
        <v>935</v>
      </c>
      <c r="D156" s="3" t="s">
        <v>1031</v>
      </c>
      <c r="E156" s="3" t="s">
        <v>1032</v>
      </c>
      <c r="F156" s="4">
        <v>22</v>
      </c>
      <c r="G156" s="4">
        <v>60</v>
      </c>
      <c r="H156" s="4">
        <v>0</v>
      </c>
      <c r="I156" s="4">
        <v>50</v>
      </c>
      <c r="J156" s="4">
        <v>1</v>
      </c>
      <c r="K156" s="4">
        <v>133</v>
      </c>
      <c r="L156" s="4">
        <v>1059</v>
      </c>
      <c r="M156" s="5">
        <v>1192</v>
      </c>
      <c r="N156" s="4">
        <v>3142.834685</v>
      </c>
      <c r="O156" s="4">
        <v>28167.360488</v>
      </c>
      <c r="P156" s="4">
        <v>1</v>
      </c>
      <c r="Q156" s="4">
        <v>2</v>
      </c>
      <c r="R156" s="4">
        <v>112</v>
      </c>
      <c r="S156" s="4">
        <v>151</v>
      </c>
      <c r="T156" s="4">
        <v>27</v>
      </c>
      <c r="U156" s="4">
        <v>0</v>
      </c>
      <c r="V156" s="4">
        <v>0</v>
      </c>
      <c r="W156" s="4">
        <v>0</v>
      </c>
      <c r="X156" s="4">
        <v>23.6303359796</v>
      </c>
      <c r="Y156" s="4">
        <v>2646.59763</v>
      </c>
      <c r="Z156" s="4">
        <v>10.642857141831</v>
      </c>
      <c r="AA156" s="4">
        <v>1.187499999763</v>
      </c>
      <c r="AB156" s="4">
        <v>1.178571428328</v>
      </c>
      <c r="AC156" s="4">
        <v>0.196428571577</v>
      </c>
      <c r="AD156" s="4">
        <v>0</v>
      </c>
      <c r="AE156" s="4">
        <v>0.446428571388</v>
      </c>
      <c r="AF156" s="4">
        <v>4.5</v>
      </c>
      <c r="AG156" s="4">
        <v>0</v>
      </c>
      <c r="AH156" s="4">
        <v>6</v>
      </c>
      <c r="AI156" s="4">
        <v>0</v>
      </c>
      <c r="AJ156" s="3" t="s">
        <v>1036</v>
      </c>
      <c r="AK156" s="4">
        <v>112</v>
      </c>
      <c r="AL156" s="4">
        <v>0</v>
      </c>
      <c r="AM156" s="6">
        <v>46159</v>
      </c>
      <c r="AN156" s="6"/>
      <c r="AO156" s="3" t="s">
        <v>1034</v>
      </c>
      <c r="AP156" s="3" t="s">
        <v>937</v>
      </c>
      <c r="AQ156" s="4"/>
      <c r="AR156" s="4"/>
      <c r="AS156" s="2"/>
    </row>
    <row r="157" ht="16.5" hidden="1" spans="1:45">
      <c r="A157" s="3" t="s">
        <v>605</v>
      </c>
      <c r="B157" s="3" t="s">
        <v>1030</v>
      </c>
      <c r="C157" s="3" t="s">
        <v>935</v>
      </c>
      <c r="D157" s="3" t="s">
        <v>1031</v>
      </c>
      <c r="E157" s="3" t="s">
        <v>1032</v>
      </c>
      <c r="F157" s="4">
        <v>132</v>
      </c>
      <c r="G157" s="4">
        <v>0</v>
      </c>
      <c r="H157" s="4">
        <v>0</v>
      </c>
      <c r="I157" s="4">
        <v>0</v>
      </c>
      <c r="J157" s="4">
        <v>0</v>
      </c>
      <c r="K157" s="4">
        <v>132</v>
      </c>
      <c r="L157" s="4">
        <v>100</v>
      </c>
      <c r="M157" s="5">
        <v>232</v>
      </c>
      <c r="N157" s="4">
        <v>2479.821537</v>
      </c>
      <c r="O157" s="4">
        <v>4358.474217</v>
      </c>
      <c r="P157" s="4">
        <v>5</v>
      </c>
      <c r="Q157" s="4">
        <v>15</v>
      </c>
      <c r="R157" s="4">
        <v>30</v>
      </c>
      <c r="S157" s="4">
        <v>44</v>
      </c>
      <c r="T157" s="4">
        <v>7</v>
      </c>
      <c r="U157" s="4">
        <v>0</v>
      </c>
      <c r="V157" s="4">
        <v>0</v>
      </c>
      <c r="W157" s="4">
        <v>0</v>
      </c>
      <c r="X157" s="4">
        <v>18.7865267955</v>
      </c>
      <c r="Y157" s="4">
        <v>563.595804</v>
      </c>
      <c r="Z157" s="4">
        <v>7.733333332268</v>
      </c>
      <c r="AA157" s="4">
        <v>4.399999998935</v>
      </c>
      <c r="AB157" s="4">
        <v>4.399999998935</v>
      </c>
      <c r="AC157" s="4">
        <v>4.399999998935</v>
      </c>
      <c r="AD157" s="4">
        <v>0</v>
      </c>
      <c r="AE157" s="4">
        <v>0</v>
      </c>
      <c r="AF157" s="4">
        <v>4.5</v>
      </c>
      <c r="AG157" s="4">
        <v>0</v>
      </c>
      <c r="AH157" s="4">
        <v>6</v>
      </c>
      <c r="AI157" s="4">
        <v>0</v>
      </c>
      <c r="AJ157" s="3" t="s">
        <v>1036</v>
      </c>
      <c r="AK157" s="4">
        <v>30</v>
      </c>
      <c r="AL157" s="4">
        <v>0</v>
      </c>
      <c r="AM157" s="6">
        <v>46101</v>
      </c>
      <c r="AN157" s="6"/>
      <c r="AO157" s="3" t="s">
        <v>1034</v>
      </c>
      <c r="AP157" s="3" t="s">
        <v>937</v>
      </c>
      <c r="AQ157" s="4"/>
      <c r="AR157" s="4"/>
      <c r="AS157" s="2"/>
    </row>
    <row r="158" ht="16.5" hidden="1" spans="1:45">
      <c r="A158" s="3" t="s">
        <v>203</v>
      </c>
      <c r="B158" s="3" t="s">
        <v>1030</v>
      </c>
      <c r="C158" s="3" t="s">
        <v>935</v>
      </c>
      <c r="D158" s="3" t="s">
        <v>1031</v>
      </c>
      <c r="E158" s="3" t="s">
        <v>1032</v>
      </c>
      <c r="F158" s="4">
        <v>43</v>
      </c>
      <c r="G158" s="4">
        <v>54</v>
      </c>
      <c r="H158" s="4">
        <v>0</v>
      </c>
      <c r="I158" s="4">
        <v>2</v>
      </c>
      <c r="J158" s="4">
        <v>32</v>
      </c>
      <c r="K158" s="4">
        <v>131</v>
      </c>
      <c r="L158" s="4">
        <v>294</v>
      </c>
      <c r="M158" s="5">
        <v>425</v>
      </c>
      <c r="N158" s="4">
        <v>2029.340708</v>
      </c>
      <c r="O158" s="4">
        <v>6583.738938</v>
      </c>
      <c r="P158" s="4">
        <v>1</v>
      </c>
      <c r="Q158" s="4">
        <v>2</v>
      </c>
      <c r="R158" s="4">
        <v>4</v>
      </c>
      <c r="S158" s="4">
        <v>52</v>
      </c>
      <c r="T158" s="4">
        <v>78</v>
      </c>
      <c r="U158" s="4">
        <v>0</v>
      </c>
      <c r="V158" s="4">
        <v>0</v>
      </c>
      <c r="W158" s="4">
        <v>114</v>
      </c>
      <c r="X158" s="4">
        <v>15.491150442</v>
      </c>
      <c r="Y158" s="4">
        <v>61.964602</v>
      </c>
      <c r="Z158" s="4">
        <v>106.249999604612</v>
      </c>
      <c r="AA158" s="4">
        <v>32.749999878963</v>
      </c>
      <c r="AB158" s="4">
        <v>24.749999911239</v>
      </c>
      <c r="AC158" s="4">
        <v>10.749999959654</v>
      </c>
      <c r="AD158" s="4">
        <v>0</v>
      </c>
      <c r="AE158" s="4">
        <v>0.5</v>
      </c>
      <c r="AF158" s="4">
        <v>4.5</v>
      </c>
      <c r="AG158" s="4">
        <v>107</v>
      </c>
      <c r="AH158" s="4">
        <v>6</v>
      </c>
      <c r="AI158" s="4">
        <v>1657.553097</v>
      </c>
      <c r="AJ158" s="3" t="s">
        <v>1033</v>
      </c>
      <c r="AK158" s="4">
        <v>4</v>
      </c>
      <c r="AL158" s="4">
        <v>0</v>
      </c>
      <c r="AM158" s="6">
        <v>46101</v>
      </c>
      <c r="AN158" s="6"/>
      <c r="AO158" s="3" t="s">
        <v>1034</v>
      </c>
      <c r="AP158" s="3" t="s">
        <v>937</v>
      </c>
      <c r="AQ158" s="4"/>
      <c r="AR158" s="4"/>
      <c r="AS158" s="2"/>
    </row>
    <row r="159" ht="16.5" hidden="1" spans="1:45">
      <c r="A159" s="3" t="s">
        <v>434</v>
      </c>
      <c r="B159" s="3" t="s">
        <v>1030</v>
      </c>
      <c r="C159" s="3" t="s">
        <v>935</v>
      </c>
      <c r="D159" s="3" t="s">
        <v>1031</v>
      </c>
      <c r="E159" s="3" t="s">
        <v>1032</v>
      </c>
      <c r="F159" s="4">
        <v>23</v>
      </c>
      <c r="G159" s="4">
        <v>100</v>
      </c>
      <c r="H159" s="4">
        <v>0</v>
      </c>
      <c r="I159" s="4">
        <v>2</v>
      </c>
      <c r="J159" s="4">
        <v>3</v>
      </c>
      <c r="K159" s="4">
        <v>128</v>
      </c>
      <c r="L159" s="4">
        <v>190</v>
      </c>
      <c r="M159" s="5">
        <v>318</v>
      </c>
      <c r="N159" s="4">
        <v>2253.026548</v>
      </c>
      <c r="O159" s="4">
        <v>5597.362831</v>
      </c>
      <c r="P159" s="4">
        <v>9</v>
      </c>
      <c r="Q159" s="4">
        <v>20</v>
      </c>
      <c r="R159" s="4">
        <v>35</v>
      </c>
      <c r="S159" s="4">
        <v>52</v>
      </c>
      <c r="T159" s="4">
        <v>41</v>
      </c>
      <c r="U159" s="4">
        <v>0</v>
      </c>
      <c r="V159" s="4">
        <v>0</v>
      </c>
      <c r="W159" s="4">
        <v>0</v>
      </c>
      <c r="X159" s="4">
        <v>17.601769908</v>
      </c>
      <c r="Y159" s="4">
        <v>616.061947</v>
      </c>
      <c r="Z159" s="4">
        <v>9.085714282885</v>
      </c>
      <c r="AA159" s="4">
        <v>3.657142855473</v>
      </c>
      <c r="AB159" s="4">
        <v>3.571428569341</v>
      </c>
      <c r="AC159" s="4">
        <v>0.657142857096</v>
      </c>
      <c r="AD159" s="4">
        <v>0</v>
      </c>
      <c r="AE159" s="4">
        <v>0.057142857421</v>
      </c>
      <c r="AF159" s="4">
        <v>4.5</v>
      </c>
      <c r="AG159" s="4">
        <v>0</v>
      </c>
      <c r="AH159" s="4">
        <v>6</v>
      </c>
      <c r="AI159" s="4">
        <v>0</v>
      </c>
      <c r="AJ159" s="3" t="s">
        <v>1033</v>
      </c>
      <c r="AK159" s="4">
        <v>35</v>
      </c>
      <c r="AL159" s="4">
        <v>0</v>
      </c>
      <c r="AM159" s="6">
        <v>46101</v>
      </c>
      <c r="AN159" s="6"/>
      <c r="AO159" s="3" t="s">
        <v>1034</v>
      </c>
      <c r="AP159" s="3" t="s">
        <v>937</v>
      </c>
      <c r="AQ159" s="4"/>
      <c r="AR159" s="4"/>
      <c r="AS159" s="2"/>
    </row>
    <row r="160" ht="16.5" hidden="1" spans="1:45">
      <c r="A160" s="3" t="s">
        <v>866</v>
      </c>
      <c r="B160" s="3" t="s">
        <v>1030</v>
      </c>
      <c r="C160" s="3" t="s">
        <v>935</v>
      </c>
      <c r="D160" s="3" t="s">
        <v>1031</v>
      </c>
      <c r="E160" s="3" t="s">
        <v>1032</v>
      </c>
      <c r="F160" s="4">
        <v>117</v>
      </c>
      <c r="G160" s="4">
        <v>0</v>
      </c>
      <c r="H160" s="4">
        <v>0</v>
      </c>
      <c r="I160" s="4">
        <v>0</v>
      </c>
      <c r="J160" s="4">
        <v>5</v>
      </c>
      <c r="K160" s="4">
        <v>122</v>
      </c>
      <c r="L160" s="4">
        <v>100</v>
      </c>
      <c r="M160" s="5">
        <v>222</v>
      </c>
      <c r="N160" s="4">
        <v>1728.621239</v>
      </c>
      <c r="O160" s="4">
        <v>3145.523893</v>
      </c>
      <c r="P160" s="4">
        <v>9</v>
      </c>
      <c r="Q160" s="4">
        <v>15</v>
      </c>
      <c r="R160" s="4">
        <v>29</v>
      </c>
      <c r="S160" s="4">
        <v>26</v>
      </c>
      <c r="T160" s="4">
        <v>25</v>
      </c>
      <c r="U160" s="4">
        <v>0</v>
      </c>
      <c r="V160" s="4">
        <v>0</v>
      </c>
      <c r="W160" s="4">
        <v>0</v>
      </c>
      <c r="X160" s="4">
        <v>14.169026547</v>
      </c>
      <c r="Y160" s="4">
        <v>410.90177</v>
      </c>
      <c r="Z160" s="4">
        <v>7.655172410184</v>
      </c>
      <c r="AA160" s="4">
        <v>4.206896550968</v>
      </c>
      <c r="AB160" s="4">
        <v>4.034482757277</v>
      </c>
      <c r="AC160" s="4">
        <v>4.034482757277</v>
      </c>
      <c r="AD160" s="4">
        <v>0</v>
      </c>
      <c r="AE160" s="4">
        <v>0</v>
      </c>
      <c r="AF160" s="4">
        <v>4.5</v>
      </c>
      <c r="AG160" s="4">
        <v>0</v>
      </c>
      <c r="AH160" s="4">
        <v>6</v>
      </c>
      <c r="AI160" s="4">
        <v>0</v>
      </c>
      <c r="AJ160" s="3" t="s">
        <v>1033</v>
      </c>
      <c r="AK160" s="4">
        <v>29</v>
      </c>
      <c r="AL160" s="4">
        <v>0</v>
      </c>
      <c r="AM160" s="6">
        <v>46145</v>
      </c>
      <c r="AN160" s="6"/>
      <c r="AO160" s="3" t="s">
        <v>1034</v>
      </c>
      <c r="AP160" s="3" t="s">
        <v>937</v>
      </c>
      <c r="AQ160" s="4"/>
      <c r="AR160" s="4"/>
      <c r="AS160" s="2"/>
    </row>
    <row r="161" ht="16.5" hidden="1" spans="1:45">
      <c r="A161" s="3" t="s">
        <v>894</v>
      </c>
      <c r="B161" s="3" t="s">
        <v>1030</v>
      </c>
      <c r="C161" s="3" t="s">
        <v>935</v>
      </c>
      <c r="D161" s="3" t="s">
        <v>1031</v>
      </c>
      <c r="E161" s="3" t="s">
        <v>1032</v>
      </c>
      <c r="F161" s="4">
        <v>117</v>
      </c>
      <c r="G161" s="4">
        <v>0</v>
      </c>
      <c r="H161" s="4">
        <v>0</v>
      </c>
      <c r="I161" s="4">
        <v>4</v>
      </c>
      <c r="J161" s="4">
        <v>0</v>
      </c>
      <c r="K161" s="4">
        <v>121</v>
      </c>
      <c r="L161" s="4">
        <v>0</v>
      </c>
      <c r="M161" s="5">
        <v>121</v>
      </c>
      <c r="N161" s="4">
        <v>2071.027434</v>
      </c>
      <c r="O161" s="4">
        <v>2071.027434</v>
      </c>
      <c r="P161" s="4">
        <v>1</v>
      </c>
      <c r="Q161" s="4">
        <v>6</v>
      </c>
      <c r="R161" s="4">
        <v>20</v>
      </c>
      <c r="S161" s="4">
        <v>21</v>
      </c>
      <c r="T161" s="4">
        <v>11</v>
      </c>
      <c r="U161" s="4">
        <v>0</v>
      </c>
      <c r="V161" s="4">
        <v>0</v>
      </c>
      <c r="W161" s="4">
        <v>0</v>
      </c>
      <c r="X161" s="4">
        <v>17.115929208</v>
      </c>
      <c r="Y161" s="4">
        <v>342.318584</v>
      </c>
      <c r="Z161" s="4">
        <v>6.050000002337</v>
      </c>
      <c r="AA161" s="4">
        <v>6.050000002337</v>
      </c>
      <c r="AB161" s="4">
        <v>6.050000002337</v>
      </c>
      <c r="AC161" s="4">
        <v>5.850000001752</v>
      </c>
      <c r="AD161" s="4">
        <v>0</v>
      </c>
      <c r="AE161" s="4">
        <v>0.200000000584</v>
      </c>
      <c r="AF161" s="4">
        <v>4.5</v>
      </c>
      <c r="AG161" s="4">
        <v>1</v>
      </c>
      <c r="AH161" s="4">
        <v>6</v>
      </c>
      <c r="AI161" s="4">
        <v>17.115929</v>
      </c>
      <c r="AJ161" s="3" t="s">
        <v>1033</v>
      </c>
      <c r="AK161" s="4">
        <v>20</v>
      </c>
      <c r="AL161" s="4">
        <v>0</v>
      </c>
      <c r="AM161" s="6">
        <v>46110</v>
      </c>
      <c r="AN161" s="6"/>
      <c r="AO161" s="3" t="s">
        <v>1034</v>
      </c>
      <c r="AP161" s="3" t="s">
        <v>937</v>
      </c>
      <c r="AQ161" s="4"/>
      <c r="AR161" s="4"/>
      <c r="AS161" s="2"/>
    </row>
    <row r="162" ht="16.5" hidden="1" spans="1:45">
      <c r="A162" s="3" t="s">
        <v>898</v>
      </c>
      <c r="B162" s="3" t="s">
        <v>1030</v>
      </c>
      <c r="C162" s="3" t="s">
        <v>935</v>
      </c>
      <c r="D162" s="3" t="s">
        <v>1031</v>
      </c>
      <c r="E162" s="3" t="s">
        <v>1032</v>
      </c>
      <c r="F162" s="4">
        <v>93</v>
      </c>
      <c r="G162" s="4">
        <v>0</v>
      </c>
      <c r="H162" s="4">
        <v>0</v>
      </c>
      <c r="I162" s="4">
        <v>0</v>
      </c>
      <c r="J162" s="4">
        <v>27</v>
      </c>
      <c r="K162" s="4">
        <v>120</v>
      </c>
      <c r="L162" s="4">
        <v>64</v>
      </c>
      <c r="M162" s="5">
        <v>184</v>
      </c>
      <c r="N162" s="4">
        <v>3016.353982</v>
      </c>
      <c r="O162" s="4">
        <v>4625.076106</v>
      </c>
      <c r="P162" s="4">
        <v>3</v>
      </c>
      <c r="Q162" s="4">
        <v>7</v>
      </c>
      <c r="R162" s="4">
        <v>15</v>
      </c>
      <c r="S162" s="4">
        <v>20</v>
      </c>
      <c r="T162" s="4">
        <v>24</v>
      </c>
      <c r="U162" s="4">
        <v>0</v>
      </c>
      <c r="V162" s="4">
        <v>0</v>
      </c>
      <c r="W162" s="4">
        <v>26</v>
      </c>
      <c r="X162" s="4">
        <v>25.136283186</v>
      </c>
      <c r="Y162" s="4">
        <v>377.044248</v>
      </c>
      <c r="Z162" s="4">
        <v>12.26666665924</v>
      </c>
      <c r="AA162" s="4">
        <v>7.999999994695</v>
      </c>
      <c r="AB162" s="4">
        <v>6.199999995756</v>
      </c>
      <c r="AC162" s="4">
        <v>6.199999995756</v>
      </c>
      <c r="AD162" s="4">
        <v>0</v>
      </c>
      <c r="AE162" s="4">
        <v>0</v>
      </c>
      <c r="AF162" s="4">
        <v>4.5</v>
      </c>
      <c r="AG162" s="4">
        <v>30</v>
      </c>
      <c r="AH162" s="4">
        <v>6</v>
      </c>
      <c r="AI162" s="4">
        <v>754.088496</v>
      </c>
      <c r="AJ162" s="3" t="s">
        <v>1033</v>
      </c>
      <c r="AK162" s="4">
        <v>15</v>
      </c>
      <c r="AL162" s="4">
        <v>0</v>
      </c>
      <c r="AM162" s="6">
        <v>46145</v>
      </c>
      <c r="AN162" s="6"/>
      <c r="AO162" s="3" t="s">
        <v>1034</v>
      </c>
      <c r="AP162" s="3" t="s">
        <v>937</v>
      </c>
      <c r="AQ162" s="4"/>
      <c r="AR162" s="4"/>
      <c r="AS162" s="2"/>
    </row>
    <row r="163" ht="16.5" hidden="1" spans="1:45">
      <c r="A163" s="3" t="s">
        <v>770</v>
      </c>
      <c r="B163" s="3" t="s">
        <v>1030</v>
      </c>
      <c r="C163" s="3" t="s">
        <v>935</v>
      </c>
      <c r="D163" s="3" t="s">
        <v>1031</v>
      </c>
      <c r="E163" s="3" t="s">
        <v>1032</v>
      </c>
      <c r="F163" s="4">
        <v>100</v>
      </c>
      <c r="G163" s="4">
        <v>6</v>
      </c>
      <c r="H163" s="4">
        <v>0</v>
      </c>
      <c r="I163" s="4">
        <v>0</v>
      </c>
      <c r="J163" s="4">
        <v>14</v>
      </c>
      <c r="K163" s="4">
        <v>120</v>
      </c>
      <c r="L163" s="4">
        <v>150</v>
      </c>
      <c r="M163" s="5">
        <v>270</v>
      </c>
      <c r="N163" s="4">
        <v>2687.606409</v>
      </c>
      <c r="O163" s="4">
        <v>6047.11442</v>
      </c>
      <c r="P163" s="4">
        <v>8</v>
      </c>
      <c r="Q163" s="4">
        <v>14</v>
      </c>
      <c r="R163" s="4">
        <v>34</v>
      </c>
      <c r="S163" s="4">
        <v>30</v>
      </c>
      <c r="T163" s="4">
        <v>29</v>
      </c>
      <c r="U163" s="4">
        <v>0</v>
      </c>
      <c r="V163" s="4">
        <v>0</v>
      </c>
      <c r="W163" s="4">
        <v>7</v>
      </c>
      <c r="X163" s="4">
        <v>22.3967200751</v>
      </c>
      <c r="Y163" s="4">
        <v>761.488483</v>
      </c>
      <c r="Z163" s="4">
        <v>7.941176465567</v>
      </c>
      <c r="AA163" s="4">
        <v>3.52941176262</v>
      </c>
      <c r="AB163" s="4">
        <v>3.117647057046</v>
      </c>
      <c r="AC163" s="4">
        <v>2.941176469506</v>
      </c>
      <c r="AD163" s="4">
        <v>0</v>
      </c>
      <c r="AE163" s="4">
        <v>0</v>
      </c>
      <c r="AF163" s="4">
        <v>4.5</v>
      </c>
      <c r="AG163" s="4">
        <v>0</v>
      </c>
      <c r="AH163" s="4">
        <v>6</v>
      </c>
      <c r="AI163" s="4">
        <v>0</v>
      </c>
      <c r="AJ163" s="3" t="s">
        <v>1036</v>
      </c>
      <c r="AK163" s="4">
        <v>34</v>
      </c>
      <c r="AL163" s="4">
        <v>0</v>
      </c>
      <c r="AM163" s="6">
        <v>46099</v>
      </c>
      <c r="AN163" s="6"/>
      <c r="AO163" s="3" t="s">
        <v>1034</v>
      </c>
      <c r="AP163" s="3" t="s">
        <v>937</v>
      </c>
      <c r="AQ163" s="4"/>
      <c r="AR163" s="4"/>
      <c r="AS163" s="2"/>
    </row>
    <row r="164" ht="16.5" hidden="1" spans="1:45">
      <c r="A164" s="3" t="s">
        <v>850</v>
      </c>
      <c r="B164" s="3" t="s">
        <v>1030</v>
      </c>
      <c r="C164" s="3" t="s">
        <v>935</v>
      </c>
      <c r="D164" s="3" t="s">
        <v>1031</v>
      </c>
      <c r="E164" s="3" t="s">
        <v>1032</v>
      </c>
      <c r="F164" s="4">
        <v>64</v>
      </c>
      <c r="G164" s="4">
        <v>48</v>
      </c>
      <c r="H164" s="4">
        <v>0</v>
      </c>
      <c r="I164" s="4">
        <v>4</v>
      </c>
      <c r="J164" s="4">
        <v>4</v>
      </c>
      <c r="K164" s="4">
        <v>120</v>
      </c>
      <c r="L164" s="4">
        <v>403</v>
      </c>
      <c r="M164" s="5">
        <v>523</v>
      </c>
      <c r="N164" s="4">
        <v>2409.451327</v>
      </c>
      <c r="O164" s="4">
        <v>10501.192034</v>
      </c>
      <c r="P164" s="4">
        <v>29</v>
      </c>
      <c r="Q164" s="4">
        <v>50</v>
      </c>
      <c r="R164" s="4">
        <v>93</v>
      </c>
      <c r="S164" s="4">
        <v>64</v>
      </c>
      <c r="T164" s="4">
        <v>54</v>
      </c>
      <c r="U164" s="4">
        <v>0</v>
      </c>
      <c r="V164" s="4">
        <v>0</v>
      </c>
      <c r="W164" s="4">
        <v>56</v>
      </c>
      <c r="X164" s="4">
        <v>20.078761059</v>
      </c>
      <c r="Y164" s="4">
        <v>1867.324778</v>
      </c>
      <c r="Z164" s="4">
        <v>5.623655915521</v>
      </c>
      <c r="AA164" s="4">
        <v>1.290322580938</v>
      </c>
      <c r="AB164" s="4">
        <v>1.247311828365</v>
      </c>
      <c r="AC164" s="4">
        <v>0.68817204331</v>
      </c>
      <c r="AD164" s="4">
        <v>0</v>
      </c>
      <c r="AE164" s="4">
        <v>0.043010752573</v>
      </c>
      <c r="AF164" s="4">
        <v>4.5</v>
      </c>
      <c r="AG164" s="4">
        <v>0</v>
      </c>
      <c r="AH164" s="4">
        <v>6</v>
      </c>
      <c r="AI164" s="4">
        <v>0</v>
      </c>
      <c r="AJ164" s="3" t="s">
        <v>1033</v>
      </c>
      <c r="AK164" s="4">
        <v>93</v>
      </c>
      <c r="AL164" s="4">
        <v>0</v>
      </c>
      <c r="AM164" s="6">
        <v>46101</v>
      </c>
      <c r="AN164" s="6"/>
      <c r="AO164" s="3" t="s">
        <v>1034</v>
      </c>
      <c r="AP164" s="3" t="s">
        <v>937</v>
      </c>
      <c r="AQ164" s="4"/>
      <c r="AR164" s="4"/>
      <c r="AS164" s="2"/>
    </row>
    <row r="165" ht="16.5" spans="1:45">
      <c r="A165" s="3" t="s">
        <v>402</v>
      </c>
      <c r="B165" s="3" t="s">
        <v>1030</v>
      </c>
      <c r="C165" s="3" t="s">
        <v>935</v>
      </c>
      <c r="D165" s="3" t="s">
        <v>1031</v>
      </c>
      <c r="E165" s="3" t="s">
        <v>1032</v>
      </c>
      <c r="F165" s="4">
        <v>40</v>
      </c>
      <c r="G165" s="4">
        <v>16</v>
      </c>
      <c r="H165" s="4">
        <v>0</v>
      </c>
      <c r="I165" s="4">
        <v>2</v>
      </c>
      <c r="J165" s="4">
        <v>62</v>
      </c>
      <c r="K165" s="4">
        <v>120</v>
      </c>
      <c r="L165" s="4">
        <v>251</v>
      </c>
      <c r="M165" s="5">
        <v>371</v>
      </c>
      <c r="N165" s="4">
        <v>2192.495576</v>
      </c>
      <c r="O165" s="4">
        <v>6778.465488</v>
      </c>
      <c r="P165" s="4">
        <v>11</v>
      </c>
      <c r="Q165" s="4">
        <v>23</v>
      </c>
      <c r="R165" s="4">
        <v>50</v>
      </c>
      <c r="S165" s="4">
        <v>44</v>
      </c>
      <c r="T165" s="4">
        <v>53</v>
      </c>
      <c r="U165" s="4">
        <v>0</v>
      </c>
      <c r="V165" s="4">
        <v>79</v>
      </c>
      <c r="W165" s="4">
        <v>279</v>
      </c>
      <c r="X165" s="4">
        <v>18.270796464</v>
      </c>
      <c r="Y165" s="4">
        <v>913.539823</v>
      </c>
      <c r="Z165" s="4">
        <v>7.420000001466</v>
      </c>
      <c r="AA165" s="4">
        <v>2.400000000875</v>
      </c>
      <c r="AB165" s="4">
        <v>1.16000000035</v>
      </c>
      <c r="AC165" s="4">
        <v>0.800000000656</v>
      </c>
      <c r="AD165" s="4">
        <v>0</v>
      </c>
      <c r="AE165" s="4">
        <v>0.040000000087</v>
      </c>
      <c r="AF165" s="4">
        <v>4.5</v>
      </c>
      <c r="AG165" s="4">
        <v>0</v>
      </c>
      <c r="AH165" s="4">
        <v>6</v>
      </c>
      <c r="AI165" s="4">
        <v>0</v>
      </c>
      <c r="AJ165" s="3" t="s">
        <v>1033</v>
      </c>
      <c r="AK165" s="4">
        <v>50</v>
      </c>
      <c r="AL165" s="4">
        <v>0</v>
      </c>
      <c r="AM165" s="6">
        <v>46128</v>
      </c>
      <c r="AN165" s="6"/>
      <c r="AO165" s="3" t="s">
        <v>1034</v>
      </c>
      <c r="AP165" s="3" t="s">
        <v>937</v>
      </c>
      <c r="AQ165" s="4"/>
      <c r="AR165" s="4"/>
      <c r="AS165" s="2"/>
    </row>
    <row r="166" ht="16.5" hidden="1" spans="1:45">
      <c r="A166" s="3" t="s">
        <v>362</v>
      </c>
      <c r="B166" s="3" t="s">
        <v>1030</v>
      </c>
      <c r="C166" s="3" t="s">
        <v>935</v>
      </c>
      <c r="D166" s="3" t="s">
        <v>1031</v>
      </c>
      <c r="E166" s="3" t="s">
        <v>1032</v>
      </c>
      <c r="F166" s="4">
        <v>22</v>
      </c>
      <c r="G166" s="4">
        <v>10</v>
      </c>
      <c r="H166" s="4">
        <v>0</v>
      </c>
      <c r="I166" s="4">
        <v>2</v>
      </c>
      <c r="J166" s="4">
        <v>84</v>
      </c>
      <c r="K166" s="4">
        <v>118</v>
      </c>
      <c r="L166" s="4">
        <v>140</v>
      </c>
      <c r="M166" s="5">
        <v>258</v>
      </c>
      <c r="N166" s="4">
        <v>2163.472567</v>
      </c>
      <c r="O166" s="4">
        <v>4730.304426</v>
      </c>
      <c r="P166" s="4">
        <v>5</v>
      </c>
      <c r="Q166" s="4">
        <v>8</v>
      </c>
      <c r="R166" s="4">
        <v>11</v>
      </c>
      <c r="S166" s="4">
        <v>25</v>
      </c>
      <c r="T166" s="4">
        <v>38</v>
      </c>
      <c r="U166" s="4">
        <v>0</v>
      </c>
      <c r="V166" s="4">
        <v>0</v>
      </c>
      <c r="W166" s="4">
        <v>120</v>
      </c>
      <c r="X166" s="4">
        <v>18.334513278</v>
      </c>
      <c r="Y166" s="4">
        <v>201.679646</v>
      </c>
      <c r="Z166" s="4">
        <v>23.454545462659</v>
      </c>
      <c r="AA166" s="4">
        <v>10.727272731329</v>
      </c>
      <c r="AB166" s="4">
        <v>3.090909094515</v>
      </c>
      <c r="AC166" s="4">
        <v>2</v>
      </c>
      <c r="AD166" s="4">
        <v>0</v>
      </c>
      <c r="AE166" s="4">
        <v>0.181818184071</v>
      </c>
      <c r="AF166" s="4">
        <v>4.5</v>
      </c>
      <c r="AG166" s="4">
        <v>52</v>
      </c>
      <c r="AH166" s="4">
        <v>6</v>
      </c>
      <c r="AI166" s="4">
        <v>953.39469</v>
      </c>
      <c r="AJ166" s="3" t="s">
        <v>1033</v>
      </c>
      <c r="AK166" s="4">
        <v>11</v>
      </c>
      <c r="AL166" s="4">
        <v>0</v>
      </c>
      <c r="AM166" s="6">
        <v>46101</v>
      </c>
      <c r="AN166" s="6"/>
      <c r="AO166" s="3" t="s">
        <v>1034</v>
      </c>
      <c r="AP166" s="3" t="s">
        <v>937</v>
      </c>
      <c r="AQ166" s="4"/>
      <c r="AR166" s="4"/>
      <c r="AS166" s="2"/>
    </row>
    <row r="167" ht="16.5" hidden="1" spans="1:45">
      <c r="A167" s="3" t="s">
        <v>962</v>
      </c>
      <c r="B167" s="3" t="s">
        <v>1030</v>
      </c>
      <c r="C167" s="3" t="s">
        <v>935</v>
      </c>
      <c r="D167" s="3" t="s">
        <v>1035</v>
      </c>
      <c r="E167" s="3" t="s">
        <v>1032</v>
      </c>
      <c r="F167" s="4">
        <v>91</v>
      </c>
      <c r="G167" s="4">
        <v>12</v>
      </c>
      <c r="H167" s="4">
        <v>0</v>
      </c>
      <c r="I167" s="4">
        <v>6</v>
      </c>
      <c r="J167" s="4">
        <v>7</v>
      </c>
      <c r="K167" s="4">
        <v>116</v>
      </c>
      <c r="L167" s="4">
        <v>412</v>
      </c>
      <c r="M167" s="5">
        <v>528</v>
      </c>
      <c r="N167" s="4">
        <v>2625.706195</v>
      </c>
      <c r="O167" s="4">
        <v>11951.490266</v>
      </c>
      <c r="P167" s="4">
        <v>9</v>
      </c>
      <c r="Q167" s="4">
        <v>25</v>
      </c>
      <c r="R167" s="4">
        <v>67</v>
      </c>
      <c r="S167" s="4">
        <v>90</v>
      </c>
      <c r="T167" s="4">
        <v>63</v>
      </c>
      <c r="U167" s="4">
        <v>0</v>
      </c>
      <c r="V167" s="4">
        <v>0</v>
      </c>
      <c r="W167" s="4">
        <v>19</v>
      </c>
      <c r="X167" s="4">
        <v>22.635398232</v>
      </c>
      <c r="Y167" s="4">
        <v>1516.571682</v>
      </c>
      <c r="Z167" s="4">
        <v>7.880597012228</v>
      </c>
      <c r="AA167" s="4">
        <v>1.731343283119</v>
      </c>
      <c r="AB167" s="4">
        <v>1.626865670962</v>
      </c>
      <c r="AC167" s="4">
        <v>1.358208954741</v>
      </c>
      <c r="AD167" s="4">
        <v>0</v>
      </c>
      <c r="AE167" s="4">
        <v>0.08955223852</v>
      </c>
      <c r="AF167" s="4">
        <v>4.5</v>
      </c>
      <c r="AG167" s="4">
        <v>0</v>
      </c>
      <c r="AH167" s="4">
        <v>6</v>
      </c>
      <c r="AI167" s="4">
        <v>0</v>
      </c>
      <c r="AJ167" s="3" t="s">
        <v>1036</v>
      </c>
      <c r="AK167" s="4">
        <v>67</v>
      </c>
      <c r="AL167" s="4">
        <v>0</v>
      </c>
      <c r="AM167" s="6">
        <v>45980</v>
      </c>
      <c r="AN167" s="6"/>
      <c r="AO167" s="3" t="s">
        <v>1034</v>
      </c>
      <c r="AP167" s="3" t="s">
        <v>937</v>
      </c>
      <c r="AQ167" s="4"/>
      <c r="AR167" s="4"/>
      <c r="AS167" s="2"/>
    </row>
    <row r="168" ht="16.5" hidden="1" spans="1:45">
      <c r="A168" s="3" t="s">
        <v>904</v>
      </c>
      <c r="B168" s="3" t="s">
        <v>1030</v>
      </c>
      <c r="C168" s="3" t="s">
        <v>935</v>
      </c>
      <c r="D168" s="3" t="s">
        <v>1031</v>
      </c>
      <c r="E168" s="3" t="s">
        <v>1032</v>
      </c>
      <c r="F168" s="4">
        <v>115</v>
      </c>
      <c r="G168" s="4">
        <v>0</v>
      </c>
      <c r="H168" s="4">
        <v>0</v>
      </c>
      <c r="I168" s="4">
        <v>0</v>
      </c>
      <c r="J168" s="4">
        <v>1</v>
      </c>
      <c r="K168" s="4">
        <v>116</v>
      </c>
      <c r="L168" s="4">
        <v>0</v>
      </c>
      <c r="M168" s="5">
        <v>116</v>
      </c>
      <c r="N168" s="4">
        <v>2762.442478</v>
      </c>
      <c r="O168" s="4">
        <v>2762.442478</v>
      </c>
      <c r="P168" s="4">
        <v>5</v>
      </c>
      <c r="Q168" s="4">
        <v>6</v>
      </c>
      <c r="R168" s="4">
        <v>10</v>
      </c>
      <c r="S168" s="4">
        <v>6</v>
      </c>
      <c r="T168" s="4">
        <v>11</v>
      </c>
      <c r="U168" s="4">
        <v>0</v>
      </c>
      <c r="V168" s="4">
        <v>0</v>
      </c>
      <c r="W168" s="4">
        <v>0</v>
      </c>
      <c r="X168" s="4">
        <v>23.814159291</v>
      </c>
      <c r="Y168" s="4">
        <v>238.141593</v>
      </c>
      <c r="Z168" s="4">
        <v>11.59999999664</v>
      </c>
      <c r="AA168" s="4">
        <v>11.59999999664</v>
      </c>
      <c r="AB168" s="4">
        <v>11.4999999979</v>
      </c>
      <c r="AC168" s="4">
        <v>11.499999993701</v>
      </c>
      <c r="AD168" s="4">
        <v>0</v>
      </c>
      <c r="AE168" s="4">
        <v>0</v>
      </c>
      <c r="AF168" s="4">
        <v>4.5</v>
      </c>
      <c r="AG168" s="4">
        <v>56</v>
      </c>
      <c r="AH168" s="4">
        <v>6</v>
      </c>
      <c r="AI168" s="4">
        <v>1333.59292</v>
      </c>
      <c r="AJ168" s="3" t="s">
        <v>1033</v>
      </c>
      <c r="AK168" s="4">
        <v>10</v>
      </c>
      <c r="AL168" s="4">
        <v>0</v>
      </c>
      <c r="AM168" s="6">
        <v>46145</v>
      </c>
      <c r="AN168" s="6"/>
      <c r="AO168" s="3" t="s">
        <v>1034</v>
      </c>
      <c r="AP168" s="3" t="s">
        <v>937</v>
      </c>
      <c r="AQ168" s="4"/>
      <c r="AR168" s="4"/>
      <c r="AS168" s="2"/>
    </row>
    <row r="169" ht="16.5" spans="1:45">
      <c r="A169" s="3" t="s">
        <v>191</v>
      </c>
      <c r="B169" s="3" t="s">
        <v>1030</v>
      </c>
      <c r="C169" s="3" t="s">
        <v>935</v>
      </c>
      <c r="D169" s="3" t="s">
        <v>1031</v>
      </c>
      <c r="E169" s="3" t="s">
        <v>1032</v>
      </c>
      <c r="F169" s="4">
        <v>49</v>
      </c>
      <c r="G169" s="4">
        <v>0</v>
      </c>
      <c r="H169" s="4">
        <v>0</v>
      </c>
      <c r="I169" s="4">
        <v>0</v>
      </c>
      <c r="J169" s="4">
        <v>65</v>
      </c>
      <c r="K169" s="4">
        <v>114</v>
      </c>
      <c r="L169" s="4">
        <v>0</v>
      </c>
      <c r="M169" s="5">
        <v>114</v>
      </c>
      <c r="N169" s="4">
        <v>2388.854867</v>
      </c>
      <c r="O169" s="4">
        <v>2388.854867</v>
      </c>
      <c r="P169" s="4">
        <v>2</v>
      </c>
      <c r="Q169" s="4">
        <v>5</v>
      </c>
      <c r="R169" s="4">
        <v>16</v>
      </c>
      <c r="S169" s="4">
        <v>14</v>
      </c>
      <c r="T169" s="4">
        <v>14</v>
      </c>
      <c r="U169" s="4">
        <v>60</v>
      </c>
      <c r="V169" s="4">
        <v>60</v>
      </c>
      <c r="W169" s="4">
        <v>60</v>
      </c>
      <c r="X169" s="4">
        <v>20.954867256</v>
      </c>
      <c r="Y169" s="4">
        <v>335.277876</v>
      </c>
      <c r="Z169" s="4">
        <v>7.125000001491</v>
      </c>
      <c r="AA169" s="4">
        <v>7.125000001491</v>
      </c>
      <c r="AB169" s="4">
        <v>3.062499999254</v>
      </c>
      <c r="AC169" s="4">
        <v>3.062500002236</v>
      </c>
      <c r="AD169" s="4">
        <v>0</v>
      </c>
      <c r="AE169" s="4">
        <v>0</v>
      </c>
      <c r="AF169" s="4">
        <v>4.5</v>
      </c>
      <c r="AG169" s="4">
        <v>18</v>
      </c>
      <c r="AH169" s="4">
        <v>6</v>
      </c>
      <c r="AI169" s="4">
        <v>377.187611</v>
      </c>
      <c r="AJ169" s="3" t="s">
        <v>1033</v>
      </c>
      <c r="AK169" s="4">
        <v>16</v>
      </c>
      <c r="AL169" s="4">
        <v>0</v>
      </c>
      <c r="AM169" s="6">
        <v>46126</v>
      </c>
      <c r="AN169" s="6"/>
      <c r="AO169" s="3" t="s">
        <v>1034</v>
      </c>
      <c r="AP169" s="3" t="s">
        <v>937</v>
      </c>
      <c r="AQ169" s="4"/>
      <c r="AR169" s="4"/>
      <c r="AS169" s="2"/>
    </row>
    <row r="170" ht="16.5" spans="1:45">
      <c r="A170" s="3" t="s">
        <v>382</v>
      </c>
      <c r="B170" s="3" t="s">
        <v>1030</v>
      </c>
      <c r="C170" s="3" t="s">
        <v>935</v>
      </c>
      <c r="D170" s="3" t="s">
        <v>1031</v>
      </c>
      <c r="E170" s="3" t="s">
        <v>1032</v>
      </c>
      <c r="F170" s="4">
        <v>112</v>
      </c>
      <c r="G170" s="4">
        <v>0</v>
      </c>
      <c r="H170" s="4">
        <v>0</v>
      </c>
      <c r="I170" s="4">
        <v>0</v>
      </c>
      <c r="J170" s="4">
        <v>0</v>
      </c>
      <c r="K170" s="4">
        <v>112</v>
      </c>
      <c r="L170" s="4">
        <v>0</v>
      </c>
      <c r="M170" s="5">
        <v>112</v>
      </c>
      <c r="N170" s="4">
        <v>2054.357522</v>
      </c>
      <c r="O170" s="4">
        <v>2054.357522</v>
      </c>
      <c r="P170" s="4">
        <v>0</v>
      </c>
      <c r="Q170" s="4">
        <v>8</v>
      </c>
      <c r="R170" s="4">
        <v>14</v>
      </c>
      <c r="S170" s="4">
        <v>16</v>
      </c>
      <c r="T170" s="4">
        <v>12</v>
      </c>
      <c r="U170" s="4">
        <v>0</v>
      </c>
      <c r="V170" s="4">
        <v>0</v>
      </c>
      <c r="W170" s="4">
        <v>0</v>
      </c>
      <c r="X170" s="4">
        <v>18.342477873</v>
      </c>
      <c r="Y170" s="4">
        <v>256.79469</v>
      </c>
      <c r="Z170" s="4">
        <v>8.000000007788</v>
      </c>
      <c r="AA170" s="4">
        <v>8.000000007788</v>
      </c>
      <c r="AB170" s="4">
        <v>8.000000007788</v>
      </c>
      <c r="AC170" s="4">
        <v>8.000000007788</v>
      </c>
      <c r="AD170" s="4">
        <v>0</v>
      </c>
      <c r="AE170" s="4">
        <v>0</v>
      </c>
      <c r="AF170" s="4">
        <v>4.5</v>
      </c>
      <c r="AG170" s="4">
        <v>28</v>
      </c>
      <c r="AH170" s="4">
        <v>6</v>
      </c>
      <c r="AI170" s="4">
        <v>513.58938</v>
      </c>
      <c r="AJ170" s="3" t="s">
        <v>1033</v>
      </c>
      <c r="AK170" s="4">
        <v>14</v>
      </c>
      <c r="AL170" s="4">
        <v>0</v>
      </c>
      <c r="AM170" s="6">
        <v>46126</v>
      </c>
      <c r="AN170" s="6"/>
      <c r="AO170" s="3" t="s">
        <v>1034</v>
      </c>
      <c r="AP170" s="3" t="s">
        <v>937</v>
      </c>
      <c r="AQ170" s="4"/>
      <c r="AR170" s="4"/>
      <c r="AS170" s="2"/>
    </row>
    <row r="171" ht="16.5" spans="1:45">
      <c r="A171" s="3" t="s">
        <v>390</v>
      </c>
      <c r="B171" s="3" t="s">
        <v>1030</v>
      </c>
      <c r="C171" s="3" t="s">
        <v>935</v>
      </c>
      <c r="D171" s="3" t="s">
        <v>1031</v>
      </c>
      <c r="E171" s="3" t="s">
        <v>1032</v>
      </c>
      <c r="F171" s="4">
        <v>109</v>
      </c>
      <c r="G171" s="4">
        <v>0</v>
      </c>
      <c r="H171" s="4">
        <v>0</v>
      </c>
      <c r="I171" s="4">
        <v>0</v>
      </c>
      <c r="J171" s="4">
        <v>1</v>
      </c>
      <c r="K171" s="4">
        <v>110</v>
      </c>
      <c r="L171" s="4">
        <v>0</v>
      </c>
      <c r="M171" s="5">
        <v>110</v>
      </c>
      <c r="N171" s="4">
        <v>2179.752213</v>
      </c>
      <c r="O171" s="4">
        <v>2179.752213</v>
      </c>
      <c r="P171" s="4">
        <v>1</v>
      </c>
      <c r="Q171" s="4">
        <v>1</v>
      </c>
      <c r="R171" s="4">
        <v>2</v>
      </c>
      <c r="S171" s="4">
        <v>3</v>
      </c>
      <c r="T171" s="4">
        <v>5</v>
      </c>
      <c r="U171" s="4">
        <v>0</v>
      </c>
      <c r="V171" s="4">
        <v>0</v>
      </c>
      <c r="W171" s="4">
        <v>0</v>
      </c>
      <c r="X171" s="4">
        <v>19.815929208</v>
      </c>
      <c r="Y171" s="4">
        <v>39.631858</v>
      </c>
      <c r="Z171" s="4">
        <v>55.000000580341</v>
      </c>
      <c r="AA171" s="4">
        <v>55.000000580341</v>
      </c>
      <c r="AB171" s="4">
        <v>54.500000580341</v>
      </c>
      <c r="AC171" s="4">
        <v>54.500000580341</v>
      </c>
      <c r="AD171" s="4">
        <v>0</v>
      </c>
      <c r="AE171" s="4">
        <v>0</v>
      </c>
      <c r="AF171" s="4">
        <v>4.5</v>
      </c>
      <c r="AG171" s="4">
        <v>98</v>
      </c>
      <c r="AH171" s="4">
        <v>6</v>
      </c>
      <c r="AI171" s="4">
        <v>1941.961062</v>
      </c>
      <c r="AJ171" s="3" t="s">
        <v>1033</v>
      </c>
      <c r="AK171" s="4">
        <v>2</v>
      </c>
      <c r="AL171" s="4">
        <v>0</v>
      </c>
      <c r="AM171" s="6">
        <v>46126</v>
      </c>
      <c r="AN171" s="6"/>
      <c r="AO171" s="3" t="s">
        <v>1034</v>
      </c>
      <c r="AP171" s="3" t="s">
        <v>937</v>
      </c>
      <c r="AQ171" s="4"/>
      <c r="AR171" s="4"/>
      <c r="AS171" s="2"/>
    </row>
    <row r="172" ht="16.5" hidden="1" spans="1:45">
      <c r="A172" s="3" t="s">
        <v>967</v>
      </c>
      <c r="B172" s="3" t="s">
        <v>1030</v>
      </c>
      <c r="C172" s="3" t="s">
        <v>935</v>
      </c>
      <c r="D172" s="3" t="s">
        <v>1039</v>
      </c>
      <c r="E172" s="3" t="s">
        <v>1032</v>
      </c>
      <c r="F172" s="4">
        <v>109</v>
      </c>
      <c r="G172" s="4">
        <v>0</v>
      </c>
      <c r="H172" s="4">
        <v>0</v>
      </c>
      <c r="I172" s="4">
        <v>0</v>
      </c>
      <c r="J172" s="4">
        <v>0</v>
      </c>
      <c r="K172" s="4">
        <v>109</v>
      </c>
      <c r="L172" s="4">
        <v>300</v>
      </c>
      <c r="M172" s="5">
        <v>409</v>
      </c>
      <c r="N172" s="4">
        <v>2245.014086</v>
      </c>
      <c r="O172" s="4">
        <v>8423.951936</v>
      </c>
      <c r="P172" s="4">
        <v>5</v>
      </c>
      <c r="Q172" s="4">
        <v>17</v>
      </c>
      <c r="R172" s="4">
        <v>35</v>
      </c>
      <c r="S172" s="4">
        <v>51</v>
      </c>
      <c r="T172" s="4">
        <v>86</v>
      </c>
      <c r="U172" s="4">
        <v>0</v>
      </c>
      <c r="V172" s="4">
        <v>0</v>
      </c>
      <c r="W172" s="4">
        <v>0</v>
      </c>
      <c r="X172" s="4">
        <v>20.5964595</v>
      </c>
      <c r="Y172" s="4">
        <v>720.876083</v>
      </c>
      <c r="Z172" s="4">
        <v>11.685714278302</v>
      </c>
      <c r="AA172" s="4">
        <v>3.114285712819</v>
      </c>
      <c r="AB172" s="4">
        <v>3.114285712819</v>
      </c>
      <c r="AC172" s="4">
        <v>3.114285712819</v>
      </c>
      <c r="AD172" s="4">
        <v>0</v>
      </c>
      <c r="AE172" s="4">
        <v>0</v>
      </c>
      <c r="AF172" s="4">
        <v>4.5</v>
      </c>
      <c r="AG172" s="4">
        <v>0</v>
      </c>
      <c r="AH172" s="4">
        <v>6</v>
      </c>
      <c r="AI172" s="4">
        <v>0</v>
      </c>
      <c r="AJ172" s="3" t="s">
        <v>1036</v>
      </c>
      <c r="AK172" s="4">
        <v>35</v>
      </c>
      <c r="AL172" s="4">
        <v>0</v>
      </c>
      <c r="AM172" s="6">
        <v>45980</v>
      </c>
      <c r="AN172" s="6"/>
      <c r="AO172" s="3" t="s">
        <v>1034</v>
      </c>
      <c r="AP172" s="3" t="s">
        <v>937</v>
      </c>
      <c r="AQ172" s="4"/>
      <c r="AR172" s="4"/>
      <c r="AS172" s="2"/>
    </row>
    <row r="173" ht="16.5" hidden="1" spans="1:45">
      <c r="A173" s="3" t="s">
        <v>785</v>
      </c>
      <c r="B173" s="3" t="s">
        <v>1030</v>
      </c>
      <c r="C173" s="3" t="s">
        <v>935</v>
      </c>
      <c r="D173" s="3" t="s">
        <v>1031</v>
      </c>
      <c r="E173" s="3" t="s">
        <v>1032</v>
      </c>
      <c r="F173" s="4">
        <v>108</v>
      </c>
      <c r="G173" s="4">
        <v>0</v>
      </c>
      <c r="H173" s="4">
        <v>0</v>
      </c>
      <c r="I173" s="4">
        <v>0</v>
      </c>
      <c r="J173" s="4">
        <v>0</v>
      </c>
      <c r="K173" s="4">
        <v>108</v>
      </c>
      <c r="L173" s="4">
        <v>50</v>
      </c>
      <c r="M173" s="5">
        <v>158</v>
      </c>
      <c r="N173" s="4">
        <v>1969.989183</v>
      </c>
      <c r="O173" s="4">
        <v>2882.021211</v>
      </c>
      <c r="P173" s="4">
        <v>2</v>
      </c>
      <c r="Q173" s="4">
        <v>7</v>
      </c>
      <c r="R173" s="4">
        <v>16</v>
      </c>
      <c r="S173" s="4">
        <v>12</v>
      </c>
      <c r="T173" s="4">
        <v>24</v>
      </c>
      <c r="U173" s="4">
        <v>0</v>
      </c>
      <c r="V173" s="4">
        <v>0</v>
      </c>
      <c r="W173" s="4">
        <v>0</v>
      </c>
      <c r="X173" s="4">
        <v>18.2406405791</v>
      </c>
      <c r="Y173" s="4">
        <v>291.850249</v>
      </c>
      <c r="Z173" s="4">
        <v>9.875000007281</v>
      </c>
      <c r="AA173" s="4">
        <v>6.750000007709</v>
      </c>
      <c r="AB173" s="4">
        <v>6.750000007709</v>
      </c>
      <c r="AC173" s="4">
        <v>6.750000007709</v>
      </c>
      <c r="AD173" s="4">
        <v>0</v>
      </c>
      <c r="AE173" s="4">
        <v>0</v>
      </c>
      <c r="AF173" s="4">
        <v>4.5</v>
      </c>
      <c r="AG173" s="4">
        <v>12</v>
      </c>
      <c r="AH173" s="4">
        <v>6</v>
      </c>
      <c r="AI173" s="4">
        <v>218.887687</v>
      </c>
      <c r="AJ173" s="3" t="s">
        <v>1036</v>
      </c>
      <c r="AK173" s="4">
        <v>16</v>
      </c>
      <c r="AL173" s="4">
        <v>0</v>
      </c>
      <c r="AM173" s="6">
        <v>46094</v>
      </c>
      <c r="AN173" s="6"/>
      <c r="AO173" s="3" t="s">
        <v>1034</v>
      </c>
      <c r="AP173" s="3" t="s">
        <v>937</v>
      </c>
      <c r="AQ173" s="4"/>
      <c r="AR173" s="4"/>
      <c r="AS173" s="2"/>
    </row>
    <row r="174" ht="16.5" spans="1:45">
      <c r="A174" s="3" t="s">
        <v>864</v>
      </c>
      <c r="B174" s="3" t="s">
        <v>1030</v>
      </c>
      <c r="C174" s="3" t="s">
        <v>935</v>
      </c>
      <c r="D174" s="3" t="s">
        <v>1031</v>
      </c>
      <c r="E174" s="3" t="s">
        <v>1032</v>
      </c>
      <c r="F174" s="4">
        <v>9</v>
      </c>
      <c r="G174" s="4">
        <v>32</v>
      </c>
      <c r="H174" s="4">
        <v>60</v>
      </c>
      <c r="I174" s="4">
        <v>2</v>
      </c>
      <c r="J174" s="4">
        <v>5</v>
      </c>
      <c r="K174" s="4">
        <v>108</v>
      </c>
      <c r="L174" s="4">
        <v>428</v>
      </c>
      <c r="M174" s="5">
        <v>536</v>
      </c>
      <c r="N174" s="4">
        <v>2715.578761</v>
      </c>
      <c r="O174" s="4">
        <v>13477.316815</v>
      </c>
      <c r="P174" s="4">
        <v>8</v>
      </c>
      <c r="Q174" s="4">
        <v>24</v>
      </c>
      <c r="R174" s="4">
        <v>79</v>
      </c>
      <c r="S174" s="4">
        <v>46</v>
      </c>
      <c r="T174" s="4">
        <v>59</v>
      </c>
      <c r="U174" s="4">
        <v>0</v>
      </c>
      <c r="V174" s="4">
        <v>0</v>
      </c>
      <c r="W174" s="4">
        <v>100</v>
      </c>
      <c r="X174" s="4">
        <v>25.14424779</v>
      </c>
      <c r="Y174" s="4">
        <v>1986.395575</v>
      </c>
      <c r="Z174" s="4">
        <v>6.784810127761</v>
      </c>
      <c r="AA174" s="4">
        <v>1.367088607716</v>
      </c>
      <c r="AB174" s="4">
        <v>1.303797468437</v>
      </c>
      <c r="AC174" s="4">
        <v>0.113924050601</v>
      </c>
      <c r="AD174" s="4">
        <v>0.759493670841</v>
      </c>
      <c r="AE174" s="4">
        <v>0.025316455912</v>
      </c>
      <c r="AF174" s="4">
        <v>4.5</v>
      </c>
      <c r="AG174" s="4">
        <v>0</v>
      </c>
      <c r="AH174" s="4">
        <v>6</v>
      </c>
      <c r="AI174" s="4">
        <v>0</v>
      </c>
      <c r="AJ174" s="3" t="s">
        <v>1033</v>
      </c>
      <c r="AK174" s="4">
        <v>79</v>
      </c>
      <c r="AL174" s="4">
        <v>0</v>
      </c>
      <c r="AM174" s="6">
        <v>46128</v>
      </c>
      <c r="AN174" s="6">
        <v>46236</v>
      </c>
      <c r="AO174" s="3" t="s">
        <v>1034</v>
      </c>
      <c r="AP174" s="3" t="s">
        <v>937</v>
      </c>
      <c r="AQ174" s="4"/>
      <c r="AR174" s="4"/>
      <c r="AS174" s="2"/>
    </row>
    <row r="175" ht="16.5" spans="1:45">
      <c r="A175" s="3" t="s">
        <v>846</v>
      </c>
      <c r="B175" s="3" t="s">
        <v>1030</v>
      </c>
      <c r="C175" s="3" t="s">
        <v>935</v>
      </c>
      <c r="D175" s="3" t="s">
        <v>1031</v>
      </c>
      <c r="E175" s="3" t="s">
        <v>1032</v>
      </c>
      <c r="F175" s="4">
        <v>79</v>
      </c>
      <c r="G175" s="4">
        <v>24</v>
      </c>
      <c r="H175" s="4">
        <v>0</v>
      </c>
      <c r="I175" s="4">
        <v>0</v>
      </c>
      <c r="J175" s="4">
        <v>4</v>
      </c>
      <c r="K175" s="4">
        <v>107</v>
      </c>
      <c r="L175" s="4">
        <v>312</v>
      </c>
      <c r="M175" s="5">
        <v>419</v>
      </c>
      <c r="N175" s="4">
        <v>2407.5</v>
      </c>
      <c r="O175" s="4">
        <v>9427.5</v>
      </c>
      <c r="P175" s="4">
        <v>3</v>
      </c>
      <c r="Q175" s="4">
        <v>8</v>
      </c>
      <c r="R175" s="4">
        <v>13</v>
      </c>
      <c r="S175" s="4">
        <v>29</v>
      </c>
      <c r="T175" s="4">
        <v>112</v>
      </c>
      <c r="U175" s="4">
        <v>0</v>
      </c>
      <c r="V175" s="4">
        <v>0</v>
      </c>
      <c r="W175" s="4">
        <v>0</v>
      </c>
      <c r="X175" s="4">
        <v>22.5</v>
      </c>
      <c r="Y175" s="4">
        <v>292.5</v>
      </c>
      <c r="Z175" s="4">
        <v>32.230769230769</v>
      </c>
      <c r="AA175" s="4">
        <v>8.230769230769</v>
      </c>
      <c r="AB175" s="4">
        <v>7.923076923076</v>
      </c>
      <c r="AC175" s="4">
        <v>6.076923076923</v>
      </c>
      <c r="AD175" s="4">
        <v>0</v>
      </c>
      <c r="AE175" s="4">
        <v>0</v>
      </c>
      <c r="AF175" s="4">
        <v>4.5</v>
      </c>
      <c r="AG175" s="4">
        <v>29</v>
      </c>
      <c r="AH175" s="4">
        <v>6</v>
      </c>
      <c r="AI175" s="4">
        <v>652.5</v>
      </c>
      <c r="AJ175" s="3" t="s">
        <v>1033</v>
      </c>
      <c r="AK175" s="4">
        <v>13</v>
      </c>
      <c r="AL175" s="4">
        <v>0</v>
      </c>
      <c r="AM175" s="6">
        <v>46128</v>
      </c>
      <c r="AN175" s="6"/>
      <c r="AO175" s="3" t="s">
        <v>1034</v>
      </c>
      <c r="AP175" s="3" t="s">
        <v>937</v>
      </c>
      <c r="AQ175" s="4"/>
      <c r="AR175" s="4"/>
      <c r="AS175" s="2"/>
    </row>
    <row r="176" ht="16.5" hidden="1" spans="1:45">
      <c r="A176" s="3" t="s">
        <v>824</v>
      </c>
      <c r="B176" s="3" t="s">
        <v>1030</v>
      </c>
      <c r="C176" s="3" t="s">
        <v>935</v>
      </c>
      <c r="D176" s="3" t="s">
        <v>1031</v>
      </c>
      <c r="E176" s="3" t="s">
        <v>1032</v>
      </c>
      <c r="F176" s="4">
        <v>36</v>
      </c>
      <c r="G176" s="4">
        <v>0</v>
      </c>
      <c r="H176" s="4">
        <v>0</v>
      </c>
      <c r="I176" s="4">
        <v>4</v>
      </c>
      <c r="J176" s="4">
        <v>66</v>
      </c>
      <c r="K176" s="4">
        <v>106</v>
      </c>
      <c r="L176" s="4">
        <v>350</v>
      </c>
      <c r="M176" s="5">
        <v>456</v>
      </c>
      <c r="N176" s="4">
        <v>1907.155752</v>
      </c>
      <c r="O176" s="4">
        <v>8204.368141</v>
      </c>
      <c r="P176" s="4">
        <v>23</v>
      </c>
      <c r="Q176" s="4">
        <v>49</v>
      </c>
      <c r="R176" s="4">
        <v>99</v>
      </c>
      <c r="S176" s="4">
        <v>37</v>
      </c>
      <c r="T176" s="4">
        <v>11</v>
      </c>
      <c r="U176" s="4">
        <v>0</v>
      </c>
      <c r="V176" s="4">
        <v>100</v>
      </c>
      <c r="W176" s="4">
        <v>100</v>
      </c>
      <c r="X176" s="4">
        <v>17.992035396</v>
      </c>
      <c r="Y176" s="4">
        <v>1781.211504</v>
      </c>
      <c r="Z176" s="4">
        <v>4.606060606826</v>
      </c>
      <c r="AA176" s="4">
        <v>1.070707070843</v>
      </c>
      <c r="AB176" s="4">
        <v>0.404040404176</v>
      </c>
      <c r="AC176" s="4">
        <v>0.363636363534</v>
      </c>
      <c r="AD176" s="4">
        <v>0</v>
      </c>
      <c r="AE176" s="4">
        <v>0.040404040642</v>
      </c>
      <c r="AF176" s="4">
        <v>4.5</v>
      </c>
      <c r="AG176" s="4">
        <v>0</v>
      </c>
      <c r="AH176" s="4">
        <v>6</v>
      </c>
      <c r="AI176" s="4">
        <v>0</v>
      </c>
      <c r="AJ176" s="3" t="s">
        <v>1033</v>
      </c>
      <c r="AK176" s="4">
        <v>99</v>
      </c>
      <c r="AL176" s="4">
        <v>0</v>
      </c>
      <c r="AM176" s="6">
        <v>46159</v>
      </c>
      <c r="AN176" s="6"/>
      <c r="AO176" s="3" t="s">
        <v>1034</v>
      </c>
      <c r="AP176" s="3" t="s">
        <v>937</v>
      </c>
      <c r="AQ176" s="4"/>
      <c r="AR176" s="4"/>
      <c r="AS176" s="2"/>
    </row>
    <row r="177" ht="16.5" spans="1:45">
      <c r="A177" s="3" t="s">
        <v>466</v>
      </c>
      <c r="B177" s="3" t="s">
        <v>1030</v>
      </c>
      <c r="C177" s="3" t="s">
        <v>935</v>
      </c>
      <c r="D177" s="3" t="s">
        <v>1031</v>
      </c>
      <c r="E177" s="3" t="s">
        <v>1032</v>
      </c>
      <c r="F177" s="4">
        <v>98</v>
      </c>
      <c r="G177" s="4">
        <v>0</v>
      </c>
      <c r="H177" s="4">
        <v>0</v>
      </c>
      <c r="I177" s="4">
        <v>0</v>
      </c>
      <c r="J177" s="4">
        <v>7</v>
      </c>
      <c r="K177" s="4">
        <v>105</v>
      </c>
      <c r="L177" s="4">
        <v>0</v>
      </c>
      <c r="M177" s="5">
        <v>105</v>
      </c>
      <c r="N177" s="4">
        <v>1879.964602</v>
      </c>
      <c r="O177" s="4">
        <v>1879.964602</v>
      </c>
      <c r="P177" s="4">
        <v>6</v>
      </c>
      <c r="Q177" s="4">
        <v>11</v>
      </c>
      <c r="R177" s="4">
        <v>29</v>
      </c>
      <c r="S177" s="4">
        <v>7</v>
      </c>
      <c r="T177" s="4">
        <v>10</v>
      </c>
      <c r="U177" s="4">
        <v>0</v>
      </c>
      <c r="V177" s="4">
        <v>0</v>
      </c>
      <c r="W177" s="4">
        <v>0</v>
      </c>
      <c r="X177" s="4">
        <v>17.904424779</v>
      </c>
      <c r="Y177" s="4">
        <v>519.228319</v>
      </c>
      <c r="Z177" s="4">
        <v>3.620689652715</v>
      </c>
      <c r="AA177" s="4">
        <v>3.620689652715</v>
      </c>
      <c r="AB177" s="4">
        <v>3.379310343432</v>
      </c>
      <c r="AC177" s="4">
        <v>3.379310341507</v>
      </c>
      <c r="AD177" s="4">
        <v>0</v>
      </c>
      <c r="AE177" s="4">
        <v>0</v>
      </c>
      <c r="AF177" s="4">
        <v>4.5</v>
      </c>
      <c r="AG177" s="4">
        <v>0</v>
      </c>
      <c r="AH177" s="4">
        <v>6</v>
      </c>
      <c r="AI177" s="4">
        <v>0</v>
      </c>
      <c r="AJ177" s="3" t="s">
        <v>1033</v>
      </c>
      <c r="AK177" s="4">
        <v>29</v>
      </c>
      <c r="AL177" s="4">
        <v>0</v>
      </c>
      <c r="AM177" s="6">
        <v>46126</v>
      </c>
      <c r="AN177" s="6"/>
      <c r="AO177" s="3" t="s">
        <v>1034</v>
      </c>
      <c r="AP177" s="3" t="s">
        <v>937</v>
      </c>
      <c r="AQ177" s="4"/>
      <c r="AR177" s="4"/>
      <c r="AS177" s="2"/>
    </row>
    <row r="178" ht="16.5" hidden="1" spans="1:45">
      <c r="A178" s="3" t="s">
        <v>555</v>
      </c>
      <c r="B178" s="3" t="s">
        <v>1030</v>
      </c>
      <c r="C178" s="3" t="s">
        <v>935</v>
      </c>
      <c r="D178" s="3" t="s">
        <v>1031</v>
      </c>
      <c r="E178" s="3" t="s">
        <v>1032</v>
      </c>
      <c r="F178" s="4">
        <v>85</v>
      </c>
      <c r="G178" s="4">
        <v>20</v>
      </c>
      <c r="H178" s="4">
        <v>0</v>
      </c>
      <c r="I178" s="4">
        <v>0</v>
      </c>
      <c r="J178" s="4">
        <v>0</v>
      </c>
      <c r="K178" s="4">
        <v>105</v>
      </c>
      <c r="L178" s="4">
        <v>102</v>
      </c>
      <c r="M178" s="5">
        <v>207</v>
      </c>
      <c r="N178" s="4">
        <v>2343.850413</v>
      </c>
      <c r="O178" s="4">
        <v>4620.733672</v>
      </c>
      <c r="P178" s="4">
        <v>3</v>
      </c>
      <c r="Q178" s="4">
        <v>11</v>
      </c>
      <c r="R178" s="4">
        <v>24</v>
      </c>
      <c r="S178" s="4">
        <v>21</v>
      </c>
      <c r="T178" s="4">
        <v>72</v>
      </c>
      <c r="U178" s="4">
        <v>0</v>
      </c>
      <c r="V178" s="4">
        <v>0</v>
      </c>
      <c r="W178" s="4">
        <v>28</v>
      </c>
      <c r="X178" s="4">
        <v>22.3223848888</v>
      </c>
      <c r="Y178" s="4">
        <v>535.737237</v>
      </c>
      <c r="Z178" s="4">
        <v>8.625000005366</v>
      </c>
      <c r="AA178" s="4">
        <v>4.375000002099</v>
      </c>
      <c r="AB178" s="4">
        <v>4.375000002099</v>
      </c>
      <c r="AC178" s="4">
        <v>3.541666669699</v>
      </c>
      <c r="AD178" s="4">
        <v>0</v>
      </c>
      <c r="AE178" s="4">
        <v>0</v>
      </c>
      <c r="AF178" s="4">
        <v>4.5</v>
      </c>
      <c r="AG178" s="4">
        <v>0</v>
      </c>
      <c r="AH178" s="4">
        <v>6</v>
      </c>
      <c r="AI178" s="4">
        <v>0</v>
      </c>
      <c r="AJ178" s="3" t="s">
        <v>1036</v>
      </c>
      <c r="AK178" s="4">
        <v>24</v>
      </c>
      <c r="AL178" s="4">
        <v>0</v>
      </c>
      <c r="AM178" s="6">
        <v>46094</v>
      </c>
      <c r="AN178" s="6"/>
      <c r="AO178" s="3" t="s">
        <v>1034</v>
      </c>
      <c r="AP178" s="3" t="s">
        <v>937</v>
      </c>
      <c r="AQ178" s="4"/>
      <c r="AR178" s="4"/>
      <c r="AS178" s="2"/>
    </row>
    <row r="179" ht="16.5" hidden="1" spans="1:45">
      <c r="A179" s="3" t="s">
        <v>330</v>
      </c>
      <c r="B179" s="3" t="s">
        <v>1030</v>
      </c>
      <c r="C179" s="3" t="s">
        <v>935</v>
      </c>
      <c r="D179" s="3" t="s">
        <v>1031</v>
      </c>
      <c r="E179" s="3" t="s">
        <v>1032</v>
      </c>
      <c r="F179" s="4">
        <v>73</v>
      </c>
      <c r="G179" s="4">
        <v>0</v>
      </c>
      <c r="H179" s="4">
        <v>0</v>
      </c>
      <c r="I179" s="4">
        <v>0</v>
      </c>
      <c r="J179" s="4">
        <v>29</v>
      </c>
      <c r="K179" s="4">
        <v>102</v>
      </c>
      <c r="L179" s="4">
        <v>33</v>
      </c>
      <c r="M179" s="5">
        <v>135</v>
      </c>
      <c r="N179" s="4">
        <v>2095.964602</v>
      </c>
      <c r="O179" s="4">
        <v>2774.070797</v>
      </c>
      <c r="P179" s="4">
        <v>3</v>
      </c>
      <c r="Q179" s="4">
        <v>6</v>
      </c>
      <c r="R179" s="4">
        <v>16</v>
      </c>
      <c r="S179" s="4">
        <v>13</v>
      </c>
      <c r="T179" s="4">
        <v>9</v>
      </c>
      <c r="U179" s="4">
        <v>27</v>
      </c>
      <c r="V179" s="4">
        <v>27</v>
      </c>
      <c r="W179" s="4">
        <v>27</v>
      </c>
      <c r="X179" s="4">
        <v>20.548672569</v>
      </c>
      <c r="Y179" s="4">
        <v>328.778761</v>
      </c>
      <c r="Z179" s="4">
        <v>8.437500003231</v>
      </c>
      <c r="AA179" s="4">
        <v>6.3750000019</v>
      </c>
      <c r="AB179" s="4">
        <v>4.562499999809</v>
      </c>
      <c r="AC179" s="4">
        <v>4.562500002851</v>
      </c>
      <c r="AD179" s="4">
        <v>0</v>
      </c>
      <c r="AE179" s="4">
        <v>0</v>
      </c>
      <c r="AF179" s="4">
        <v>4.5</v>
      </c>
      <c r="AG179" s="4">
        <v>6</v>
      </c>
      <c r="AH179" s="4">
        <v>6</v>
      </c>
      <c r="AI179" s="4">
        <v>123.292035</v>
      </c>
      <c r="AJ179" s="3" t="s">
        <v>1033</v>
      </c>
      <c r="AK179" s="4">
        <v>16</v>
      </c>
      <c r="AL179" s="4">
        <v>0</v>
      </c>
      <c r="AM179" s="6">
        <v>46165</v>
      </c>
      <c r="AN179" s="6"/>
      <c r="AO179" s="3" t="s">
        <v>1034</v>
      </c>
      <c r="AP179" s="3" t="s">
        <v>937</v>
      </c>
      <c r="AQ179" s="4"/>
      <c r="AR179" s="4"/>
      <c r="AS179" s="2"/>
    </row>
    <row r="180" ht="16.5" hidden="1" spans="1:45">
      <c r="A180" s="3" t="s">
        <v>665</v>
      </c>
      <c r="B180" s="3" t="s">
        <v>1030</v>
      </c>
      <c r="C180" s="3" t="s">
        <v>935</v>
      </c>
      <c r="D180" s="3" t="s">
        <v>1031</v>
      </c>
      <c r="E180" s="3" t="s">
        <v>1032</v>
      </c>
      <c r="F180" s="4">
        <v>99</v>
      </c>
      <c r="G180" s="4">
        <v>0</v>
      </c>
      <c r="H180" s="4">
        <v>0</v>
      </c>
      <c r="I180" s="4">
        <v>0</v>
      </c>
      <c r="J180" s="4">
        <v>1</v>
      </c>
      <c r="K180" s="4">
        <v>100</v>
      </c>
      <c r="L180" s="4">
        <v>60</v>
      </c>
      <c r="M180" s="5">
        <v>160</v>
      </c>
      <c r="N180" s="4">
        <v>2585.836208</v>
      </c>
      <c r="O180" s="4">
        <v>4137.337933</v>
      </c>
      <c r="P180" s="4">
        <v>21</v>
      </c>
      <c r="Q180" s="4">
        <v>36</v>
      </c>
      <c r="R180" s="4">
        <v>46</v>
      </c>
      <c r="S180" s="4">
        <v>25</v>
      </c>
      <c r="T180" s="4">
        <v>29</v>
      </c>
      <c r="U180" s="4">
        <v>0</v>
      </c>
      <c r="V180" s="4">
        <v>0</v>
      </c>
      <c r="W180" s="4">
        <v>0</v>
      </c>
      <c r="X180" s="4">
        <v>25.8583620812</v>
      </c>
      <c r="Y180" s="4">
        <v>1189.484656</v>
      </c>
      <c r="Z180" s="4">
        <v>3.478260868797</v>
      </c>
      <c r="AA180" s="4">
        <v>2.173913042893</v>
      </c>
      <c r="AB180" s="4">
        <v>2.152173912531</v>
      </c>
      <c r="AC180" s="4">
        <v>2.152173912531</v>
      </c>
      <c r="AD180" s="4">
        <v>0</v>
      </c>
      <c r="AE180" s="4">
        <v>0</v>
      </c>
      <c r="AF180" s="4">
        <v>4.5</v>
      </c>
      <c r="AG180" s="4">
        <v>0</v>
      </c>
      <c r="AH180" s="4">
        <v>6</v>
      </c>
      <c r="AI180" s="4">
        <v>0</v>
      </c>
      <c r="AJ180" s="3" t="s">
        <v>1036</v>
      </c>
      <c r="AK180" s="4">
        <v>46</v>
      </c>
      <c r="AL180" s="4">
        <v>0</v>
      </c>
      <c r="AM180" s="6">
        <v>46094</v>
      </c>
      <c r="AN180" s="6"/>
      <c r="AO180" s="3" t="s">
        <v>1034</v>
      </c>
      <c r="AP180" s="3" t="s">
        <v>937</v>
      </c>
      <c r="AQ180" s="4"/>
      <c r="AR180" s="4"/>
      <c r="AS180" s="2"/>
    </row>
    <row r="181" ht="16.5" hidden="1" spans="1:45">
      <c r="A181" s="3" t="s">
        <v>478</v>
      </c>
      <c r="B181" s="3" t="s">
        <v>1030</v>
      </c>
      <c r="C181" s="3" t="s">
        <v>935</v>
      </c>
      <c r="D181" s="3" t="s">
        <v>1031</v>
      </c>
      <c r="E181" s="3" t="s">
        <v>1032</v>
      </c>
      <c r="F181" s="4">
        <v>77</v>
      </c>
      <c r="G181" s="4">
        <v>0</v>
      </c>
      <c r="H181" s="4">
        <v>0</v>
      </c>
      <c r="I181" s="4">
        <v>4</v>
      </c>
      <c r="J181" s="4">
        <v>18</v>
      </c>
      <c r="K181" s="4">
        <v>99</v>
      </c>
      <c r="L181" s="4">
        <v>202</v>
      </c>
      <c r="M181" s="5">
        <v>301</v>
      </c>
      <c r="N181" s="4">
        <v>1646.378761</v>
      </c>
      <c r="O181" s="4">
        <v>5005.656638</v>
      </c>
      <c r="P181" s="4">
        <v>15</v>
      </c>
      <c r="Q181" s="4">
        <v>32</v>
      </c>
      <c r="R181" s="4">
        <v>57</v>
      </c>
      <c r="S181" s="4">
        <v>37</v>
      </c>
      <c r="T181" s="4">
        <v>19</v>
      </c>
      <c r="U181" s="4">
        <v>8</v>
      </c>
      <c r="V181" s="4">
        <v>8</v>
      </c>
      <c r="W181" s="4">
        <v>8</v>
      </c>
      <c r="X181" s="4">
        <v>16.630088499</v>
      </c>
      <c r="Y181" s="4">
        <v>947.915044</v>
      </c>
      <c r="Z181" s="4">
        <v>5.280701756643</v>
      </c>
      <c r="AA181" s="4">
        <v>1.736842105651</v>
      </c>
      <c r="AB181" s="4">
        <v>1.421052631801</v>
      </c>
      <c r="AC181" s="4">
        <v>1.350877193167</v>
      </c>
      <c r="AD181" s="4">
        <v>0</v>
      </c>
      <c r="AE181" s="4">
        <v>0.070175438633</v>
      </c>
      <c r="AF181" s="4">
        <v>4.5</v>
      </c>
      <c r="AG181" s="4">
        <v>0</v>
      </c>
      <c r="AH181" s="4">
        <v>6</v>
      </c>
      <c r="AI181" s="4">
        <v>0</v>
      </c>
      <c r="AJ181" s="3" t="s">
        <v>1033</v>
      </c>
      <c r="AK181" s="4">
        <v>57</v>
      </c>
      <c r="AL181" s="4">
        <v>0</v>
      </c>
      <c r="AM181" s="6">
        <v>46145</v>
      </c>
      <c r="AN181" s="6"/>
      <c r="AO181" s="3" t="s">
        <v>1034</v>
      </c>
      <c r="AP181" s="3" t="s">
        <v>937</v>
      </c>
      <c r="AQ181" s="4"/>
      <c r="AR181" s="4"/>
      <c r="AS181" s="2"/>
    </row>
    <row r="182" ht="16.5" spans="1:45">
      <c r="A182" s="3" t="s">
        <v>610</v>
      </c>
      <c r="B182" s="3" t="s">
        <v>1030</v>
      </c>
      <c r="C182" s="3" t="s">
        <v>935</v>
      </c>
      <c r="D182" s="3" t="s">
        <v>1031</v>
      </c>
      <c r="E182" s="3" t="s">
        <v>1032</v>
      </c>
      <c r="F182" s="4">
        <v>14</v>
      </c>
      <c r="G182" s="4">
        <v>84</v>
      </c>
      <c r="H182" s="4">
        <v>0</v>
      </c>
      <c r="I182" s="4">
        <v>0</v>
      </c>
      <c r="J182" s="4">
        <v>1</v>
      </c>
      <c r="K182" s="4">
        <v>99</v>
      </c>
      <c r="L182" s="4">
        <v>380</v>
      </c>
      <c r="M182" s="5">
        <v>479</v>
      </c>
      <c r="N182" s="4">
        <v>2483.096988</v>
      </c>
      <c r="O182" s="4">
        <v>12014.176337</v>
      </c>
      <c r="P182" s="4">
        <v>5</v>
      </c>
      <c r="Q182" s="4">
        <v>13</v>
      </c>
      <c r="R182" s="4">
        <v>55</v>
      </c>
      <c r="S182" s="4">
        <v>73</v>
      </c>
      <c r="T182" s="4">
        <v>57</v>
      </c>
      <c r="U182" s="4">
        <v>0</v>
      </c>
      <c r="V182" s="4">
        <v>0</v>
      </c>
      <c r="W182" s="4">
        <v>100</v>
      </c>
      <c r="X182" s="4">
        <v>25.0817877608</v>
      </c>
      <c r="Y182" s="4">
        <v>1379.498327</v>
      </c>
      <c r="Z182" s="4">
        <v>8.709090907799</v>
      </c>
      <c r="AA182" s="4">
        <v>1.799999999565</v>
      </c>
      <c r="AB182" s="4">
        <v>1.781818181211</v>
      </c>
      <c r="AC182" s="4">
        <v>0.254545454769</v>
      </c>
      <c r="AD182" s="4">
        <v>0</v>
      </c>
      <c r="AE182" s="4">
        <v>0</v>
      </c>
      <c r="AF182" s="4">
        <v>4.5</v>
      </c>
      <c r="AG182" s="4">
        <v>0</v>
      </c>
      <c r="AH182" s="4">
        <v>6</v>
      </c>
      <c r="AI182" s="4">
        <v>0</v>
      </c>
      <c r="AJ182" s="3" t="s">
        <v>1036</v>
      </c>
      <c r="AK182" s="4">
        <v>55</v>
      </c>
      <c r="AL182" s="4">
        <v>0</v>
      </c>
      <c r="AM182" s="6">
        <v>46128</v>
      </c>
      <c r="AN182" s="6"/>
      <c r="AO182" s="3" t="s">
        <v>1034</v>
      </c>
      <c r="AP182" s="3" t="s">
        <v>937</v>
      </c>
      <c r="AQ182" s="4"/>
      <c r="AR182" s="4"/>
      <c r="AS182" s="2"/>
    </row>
    <row r="183" ht="16.5" hidden="1" spans="1:45">
      <c r="A183" s="3" t="s">
        <v>828</v>
      </c>
      <c r="B183" s="3" t="s">
        <v>1030</v>
      </c>
      <c r="C183" s="3" t="s">
        <v>935</v>
      </c>
      <c r="D183" s="3" t="s">
        <v>1031</v>
      </c>
      <c r="E183" s="3" t="s">
        <v>1032</v>
      </c>
      <c r="F183" s="4">
        <v>92</v>
      </c>
      <c r="G183" s="4">
        <v>0</v>
      </c>
      <c r="H183" s="4">
        <v>0</v>
      </c>
      <c r="I183" s="4">
        <v>0</v>
      </c>
      <c r="J183" s="4">
        <v>5</v>
      </c>
      <c r="K183" s="4">
        <v>97</v>
      </c>
      <c r="L183" s="4">
        <v>0</v>
      </c>
      <c r="M183" s="5">
        <v>97</v>
      </c>
      <c r="N183" s="4">
        <v>1842.570796</v>
      </c>
      <c r="O183" s="4">
        <v>1842.570796</v>
      </c>
      <c r="P183" s="4">
        <v>3</v>
      </c>
      <c r="Q183" s="4">
        <v>7</v>
      </c>
      <c r="R183" s="4">
        <v>25</v>
      </c>
      <c r="S183" s="4">
        <v>10</v>
      </c>
      <c r="T183" s="4">
        <v>9</v>
      </c>
      <c r="U183" s="4">
        <v>0</v>
      </c>
      <c r="V183" s="4">
        <v>0</v>
      </c>
      <c r="W183" s="4">
        <v>0</v>
      </c>
      <c r="X183" s="4">
        <v>18.995575221</v>
      </c>
      <c r="Y183" s="4">
        <v>474.889381</v>
      </c>
      <c r="Z183" s="4">
        <v>3.879999995198</v>
      </c>
      <c r="AA183" s="4">
        <v>3.879999995198</v>
      </c>
      <c r="AB183" s="4">
        <v>3.67999999562</v>
      </c>
      <c r="AC183" s="4">
        <v>3.67999999562</v>
      </c>
      <c r="AD183" s="4">
        <v>0</v>
      </c>
      <c r="AE183" s="4">
        <v>0</v>
      </c>
      <c r="AF183" s="4">
        <v>4.5</v>
      </c>
      <c r="AG183" s="4">
        <v>0</v>
      </c>
      <c r="AH183" s="4">
        <v>6</v>
      </c>
      <c r="AI183" s="4">
        <v>0</v>
      </c>
      <c r="AJ183" s="3" t="s">
        <v>1033</v>
      </c>
      <c r="AK183" s="4">
        <v>25</v>
      </c>
      <c r="AL183" s="4">
        <v>0</v>
      </c>
      <c r="AM183" s="6">
        <v>46145</v>
      </c>
      <c r="AN183" s="6"/>
      <c r="AO183" s="3" t="s">
        <v>1034</v>
      </c>
      <c r="AP183" s="3" t="s">
        <v>937</v>
      </c>
      <c r="AQ183" s="4"/>
      <c r="AR183" s="4"/>
      <c r="AS183" s="2"/>
    </row>
    <row r="184" ht="16.5" hidden="1" spans="1:45">
      <c r="A184" s="3" t="s">
        <v>243</v>
      </c>
      <c r="B184" s="3" t="s">
        <v>1030</v>
      </c>
      <c r="C184" s="3" t="s">
        <v>935</v>
      </c>
      <c r="D184" s="3" t="s">
        <v>1031</v>
      </c>
      <c r="E184" s="3" t="s">
        <v>1032</v>
      </c>
      <c r="F184" s="4">
        <v>90</v>
      </c>
      <c r="G184" s="4">
        <v>0</v>
      </c>
      <c r="H184" s="4">
        <v>0</v>
      </c>
      <c r="I184" s="4">
        <v>0</v>
      </c>
      <c r="J184" s="4">
        <v>1</v>
      </c>
      <c r="K184" s="4">
        <v>91</v>
      </c>
      <c r="L184" s="4">
        <v>0</v>
      </c>
      <c r="M184" s="5">
        <v>91</v>
      </c>
      <c r="N184" s="4">
        <v>1762.661947</v>
      </c>
      <c r="O184" s="4">
        <v>1762.661947</v>
      </c>
      <c r="P184" s="4">
        <v>4</v>
      </c>
      <c r="Q184" s="4">
        <v>16</v>
      </c>
      <c r="R184" s="4">
        <v>23</v>
      </c>
      <c r="S184" s="4">
        <v>9</v>
      </c>
      <c r="T184" s="4">
        <v>14</v>
      </c>
      <c r="U184" s="4">
        <v>0</v>
      </c>
      <c r="V184" s="4">
        <v>0</v>
      </c>
      <c r="W184" s="4">
        <v>0</v>
      </c>
      <c r="X184" s="4">
        <v>19.369911501</v>
      </c>
      <c r="Y184" s="4">
        <v>445.507965</v>
      </c>
      <c r="Z184" s="4">
        <v>3.956521735812</v>
      </c>
      <c r="AA184" s="4">
        <v>3.956521735812</v>
      </c>
      <c r="AB184" s="4">
        <v>3.913043473869</v>
      </c>
      <c r="AC184" s="4">
        <v>3.913043473869</v>
      </c>
      <c r="AD184" s="4">
        <v>0</v>
      </c>
      <c r="AE184" s="4">
        <v>0</v>
      </c>
      <c r="AF184" s="4">
        <v>4.5</v>
      </c>
      <c r="AG184" s="4">
        <v>0</v>
      </c>
      <c r="AH184" s="4">
        <v>6</v>
      </c>
      <c r="AI184" s="4">
        <v>0</v>
      </c>
      <c r="AJ184" s="3" t="s">
        <v>1033</v>
      </c>
      <c r="AK184" s="4">
        <v>23</v>
      </c>
      <c r="AL184" s="4">
        <v>0</v>
      </c>
      <c r="AM184" s="6">
        <v>46110</v>
      </c>
      <c r="AN184" s="6"/>
      <c r="AO184" s="3" t="s">
        <v>1034</v>
      </c>
      <c r="AP184" s="3" t="s">
        <v>937</v>
      </c>
      <c r="AQ184" s="4"/>
      <c r="AR184" s="4"/>
      <c r="AS184" s="2"/>
    </row>
    <row r="185" ht="16.5" hidden="1" spans="1:45">
      <c r="A185" s="3" t="s">
        <v>247</v>
      </c>
      <c r="B185" s="3" t="s">
        <v>1030</v>
      </c>
      <c r="C185" s="3" t="s">
        <v>935</v>
      </c>
      <c r="D185" s="3" t="s">
        <v>1031</v>
      </c>
      <c r="E185" s="3" t="s">
        <v>1032</v>
      </c>
      <c r="F185" s="4">
        <v>37</v>
      </c>
      <c r="G185" s="4">
        <v>0</v>
      </c>
      <c r="H185" s="4">
        <v>0</v>
      </c>
      <c r="I185" s="4">
        <v>0</v>
      </c>
      <c r="J185" s="4">
        <v>53</v>
      </c>
      <c r="K185" s="4">
        <v>90</v>
      </c>
      <c r="L185" s="4">
        <v>90</v>
      </c>
      <c r="M185" s="5">
        <v>180</v>
      </c>
      <c r="N185" s="4">
        <v>1524.663717</v>
      </c>
      <c r="O185" s="4">
        <v>3049.327434</v>
      </c>
      <c r="P185" s="4">
        <v>3</v>
      </c>
      <c r="Q185" s="4">
        <v>7</v>
      </c>
      <c r="R185" s="4">
        <v>11</v>
      </c>
      <c r="S185" s="4">
        <v>0</v>
      </c>
      <c r="T185" s="4">
        <v>0</v>
      </c>
      <c r="U185" s="4">
        <v>0</v>
      </c>
      <c r="V185" s="4">
        <v>0</v>
      </c>
      <c r="W185" s="4">
        <v>0</v>
      </c>
      <c r="X185" s="4">
        <v>16.940707965</v>
      </c>
      <c r="Y185" s="4">
        <v>186.347788</v>
      </c>
      <c r="Z185" s="4">
        <v>16.363636331438</v>
      </c>
      <c r="AA185" s="4">
        <v>8.181818165719</v>
      </c>
      <c r="AB185" s="4">
        <v>3.36363635827</v>
      </c>
      <c r="AC185" s="4">
        <v>3.36363635827</v>
      </c>
      <c r="AD185" s="4">
        <v>0</v>
      </c>
      <c r="AE185" s="4">
        <v>0</v>
      </c>
      <c r="AF185" s="4">
        <v>4.5</v>
      </c>
      <c r="AG185" s="4">
        <v>24</v>
      </c>
      <c r="AH185" s="4">
        <v>6</v>
      </c>
      <c r="AI185" s="4">
        <v>406.576991</v>
      </c>
      <c r="AJ185" s="3" t="s">
        <v>1033</v>
      </c>
      <c r="AK185" s="4">
        <v>11</v>
      </c>
      <c r="AL185" s="4">
        <v>0</v>
      </c>
      <c r="AM185" s="6">
        <v>46183</v>
      </c>
      <c r="AN185" s="6"/>
      <c r="AO185" s="3" t="s">
        <v>1034</v>
      </c>
      <c r="AP185" s="3" t="s">
        <v>937</v>
      </c>
      <c r="AQ185" s="4"/>
      <c r="AR185" s="4"/>
      <c r="AS185" s="2"/>
    </row>
    <row r="186" ht="16.5" hidden="1" spans="1:45">
      <c r="A186" s="3" t="s">
        <v>187</v>
      </c>
      <c r="B186" s="3" t="s">
        <v>1030</v>
      </c>
      <c r="C186" s="3" t="s">
        <v>935</v>
      </c>
      <c r="D186" s="3" t="s">
        <v>1031</v>
      </c>
      <c r="E186" s="3" t="s">
        <v>1032</v>
      </c>
      <c r="F186" s="4">
        <v>79</v>
      </c>
      <c r="G186" s="4">
        <v>3</v>
      </c>
      <c r="H186" s="4">
        <v>0</v>
      </c>
      <c r="I186" s="4">
        <v>0</v>
      </c>
      <c r="J186" s="4">
        <v>0</v>
      </c>
      <c r="K186" s="4">
        <v>82</v>
      </c>
      <c r="L186" s="4">
        <v>0</v>
      </c>
      <c r="M186" s="5">
        <v>82</v>
      </c>
      <c r="N186" s="4">
        <v>1655.60177</v>
      </c>
      <c r="O186" s="4">
        <v>1655.60177</v>
      </c>
      <c r="P186" s="4">
        <v>2</v>
      </c>
      <c r="Q186" s="4">
        <v>3</v>
      </c>
      <c r="R186" s="4">
        <v>10</v>
      </c>
      <c r="S186" s="4">
        <v>6</v>
      </c>
      <c r="T186" s="4">
        <v>3</v>
      </c>
      <c r="U186" s="4">
        <v>0</v>
      </c>
      <c r="V186" s="4">
        <v>0</v>
      </c>
      <c r="W186" s="4">
        <v>0</v>
      </c>
      <c r="X186" s="4">
        <v>20.190265488</v>
      </c>
      <c r="Y186" s="4">
        <v>201.902655</v>
      </c>
      <c r="Z186" s="4">
        <v>8.199999995047</v>
      </c>
      <c r="AA186" s="4">
        <v>8.199999995047</v>
      </c>
      <c r="AB186" s="4">
        <v>8.199999995047</v>
      </c>
      <c r="AC186" s="4">
        <v>7.899999997523</v>
      </c>
      <c r="AD186" s="4">
        <v>0</v>
      </c>
      <c r="AE186" s="4">
        <v>0</v>
      </c>
      <c r="AF186" s="4">
        <v>4.5</v>
      </c>
      <c r="AG186" s="4">
        <v>22</v>
      </c>
      <c r="AH186" s="4">
        <v>6</v>
      </c>
      <c r="AI186" s="4">
        <v>444.185841</v>
      </c>
      <c r="AJ186" s="3" t="s">
        <v>1033</v>
      </c>
      <c r="AK186" s="4">
        <v>10</v>
      </c>
      <c r="AL186" s="4">
        <v>0</v>
      </c>
      <c r="AM186" s="6">
        <v>46170</v>
      </c>
      <c r="AN186" s="6"/>
      <c r="AO186" s="3" t="s">
        <v>1034</v>
      </c>
      <c r="AP186" s="3" t="s">
        <v>937</v>
      </c>
      <c r="AQ186" s="4"/>
      <c r="AR186" s="4"/>
      <c r="AS186" s="2"/>
    </row>
    <row r="187" ht="16.5" hidden="1" spans="1:45">
      <c r="A187" s="3" t="s">
        <v>458</v>
      </c>
      <c r="B187" s="3" t="s">
        <v>1030</v>
      </c>
      <c r="C187" s="3" t="s">
        <v>935</v>
      </c>
      <c r="D187" s="3" t="s">
        <v>1031</v>
      </c>
      <c r="E187" s="3" t="s">
        <v>1032</v>
      </c>
      <c r="F187" s="4">
        <v>78</v>
      </c>
      <c r="G187" s="4">
        <v>0</v>
      </c>
      <c r="H187" s="4">
        <v>0</v>
      </c>
      <c r="I187" s="4">
        <v>0</v>
      </c>
      <c r="J187" s="4">
        <v>4</v>
      </c>
      <c r="K187" s="4">
        <v>82</v>
      </c>
      <c r="L187" s="4">
        <v>0</v>
      </c>
      <c r="M187" s="5">
        <v>82</v>
      </c>
      <c r="N187" s="4">
        <v>1391.750443</v>
      </c>
      <c r="O187" s="4">
        <v>1391.750443</v>
      </c>
      <c r="P187" s="4">
        <v>0</v>
      </c>
      <c r="Q187" s="4">
        <v>2</v>
      </c>
      <c r="R187" s="4">
        <v>5</v>
      </c>
      <c r="S187" s="4">
        <v>5</v>
      </c>
      <c r="T187" s="4">
        <v>2</v>
      </c>
      <c r="U187" s="4">
        <v>0</v>
      </c>
      <c r="V187" s="4">
        <v>0</v>
      </c>
      <c r="W187" s="4">
        <v>0</v>
      </c>
      <c r="X187" s="4">
        <v>16.972566372</v>
      </c>
      <c r="Y187" s="4">
        <v>84.862832</v>
      </c>
      <c r="Z187" s="4">
        <v>16.399999978789</v>
      </c>
      <c r="AA187" s="4">
        <v>16.399999978789</v>
      </c>
      <c r="AB187" s="4">
        <v>15.599999985859</v>
      </c>
      <c r="AC187" s="4">
        <v>15.599999974075</v>
      </c>
      <c r="AD187" s="4">
        <v>0</v>
      </c>
      <c r="AE187" s="4">
        <v>0</v>
      </c>
      <c r="AF187" s="4">
        <v>4.5</v>
      </c>
      <c r="AG187" s="4">
        <v>52</v>
      </c>
      <c r="AH187" s="4">
        <v>6</v>
      </c>
      <c r="AI187" s="4">
        <v>882.573451</v>
      </c>
      <c r="AJ187" s="3" t="s">
        <v>1033</v>
      </c>
      <c r="AK187" s="4">
        <v>5</v>
      </c>
      <c r="AL187" s="4">
        <v>0</v>
      </c>
      <c r="AM187" s="6">
        <v>46102</v>
      </c>
      <c r="AN187" s="6"/>
      <c r="AO187" s="3" t="s">
        <v>1034</v>
      </c>
      <c r="AP187" s="3" t="s">
        <v>937</v>
      </c>
      <c r="AQ187" s="4"/>
      <c r="AR187" s="4"/>
      <c r="AS187" s="2"/>
    </row>
    <row r="188" ht="16.5" hidden="1" spans="1:45">
      <c r="A188" s="3" t="s">
        <v>406</v>
      </c>
      <c r="B188" s="3" t="s">
        <v>1030</v>
      </c>
      <c r="C188" s="3" t="s">
        <v>935</v>
      </c>
      <c r="D188" s="3" t="s">
        <v>1031</v>
      </c>
      <c r="E188" s="3" t="s">
        <v>1032</v>
      </c>
      <c r="F188" s="4">
        <v>43</v>
      </c>
      <c r="G188" s="4">
        <v>0</v>
      </c>
      <c r="H188" s="4">
        <v>0</v>
      </c>
      <c r="I188" s="4">
        <v>4</v>
      </c>
      <c r="J188" s="4">
        <v>34</v>
      </c>
      <c r="K188" s="4">
        <v>81</v>
      </c>
      <c r="L188" s="4">
        <v>87</v>
      </c>
      <c r="M188" s="5">
        <v>168</v>
      </c>
      <c r="N188" s="4">
        <v>1925.076106</v>
      </c>
      <c r="O188" s="4">
        <v>3992.750443</v>
      </c>
      <c r="P188" s="4">
        <v>6</v>
      </c>
      <c r="Q188" s="4">
        <v>10</v>
      </c>
      <c r="R188" s="4">
        <v>27</v>
      </c>
      <c r="S188" s="4">
        <v>22</v>
      </c>
      <c r="T188" s="4">
        <v>10</v>
      </c>
      <c r="U188" s="4">
        <v>0</v>
      </c>
      <c r="V188" s="4">
        <v>0</v>
      </c>
      <c r="W188" s="4">
        <v>33</v>
      </c>
      <c r="X188" s="4">
        <v>23.766371685</v>
      </c>
      <c r="Y188" s="4">
        <v>641.692035</v>
      </c>
      <c r="Z188" s="4">
        <v>6.222222226897</v>
      </c>
      <c r="AA188" s="4">
        <v>3.000000001558</v>
      </c>
      <c r="AB188" s="4">
        <v>1.740740741779</v>
      </c>
      <c r="AC188" s="4">
        <v>1.592592593112</v>
      </c>
      <c r="AD188" s="4">
        <v>0</v>
      </c>
      <c r="AE188" s="4">
        <v>0.148148148667</v>
      </c>
      <c r="AF188" s="4">
        <v>4.5</v>
      </c>
      <c r="AG188" s="4">
        <v>0</v>
      </c>
      <c r="AH188" s="4">
        <v>6</v>
      </c>
      <c r="AI188" s="4">
        <v>0</v>
      </c>
      <c r="AJ188" s="3" t="s">
        <v>1033</v>
      </c>
      <c r="AK188" s="4">
        <v>27</v>
      </c>
      <c r="AL188" s="4">
        <v>0</v>
      </c>
      <c r="AM188" s="6">
        <v>46103</v>
      </c>
      <c r="AN188" s="6"/>
      <c r="AO188" s="3" t="s">
        <v>1034</v>
      </c>
      <c r="AP188" s="3" t="s">
        <v>937</v>
      </c>
      <c r="AQ188" s="4"/>
      <c r="AR188" s="4"/>
      <c r="AS188" s="2"/>
    </row>
    <row r="189" ht="16.5" spans="1:45">
      <c r="A189" s="3" t="s">
        <v>310</v>
      </c>
      <c r="B189" s="3" t="s">
        <v>1030</v>
      </c>
      <c r="C189" s="3" t="s">
        <v>935</v>
      </c>
      <c r="D189" s="3" t="s">
        <v>1031</v>
      </c>
      <c r="E189" s="3" t="s">
        <v>1032</v>
      </c>
      <c r="F189" s="4">
        <v>13</v>
      </c>
      <c r="G189" s="4">
        <v>58</v>
      </c>
      <c r="H189" s="4">
        <v>0</v>
      </c>
      <c r="I189" s="4">
        <v>8</v>
      </c>
      <c r="J189" s="4">
        <v>1</v>
      </c>
      <c r="K189" s="4">
        <v>80</v>
      </c>
      <c r="L189" s="4">
        <v>519</v>
      </c>
      <c r="M189" s="5">
        <v>599</v>
      </c>
      <c r="N189" s="4">
        <v>1404.318584</v>
      </c>
      <c r="O189" s="4">
        <v>10514.835399</v>
      </c>
      <c r="P189" s="4">
        <v>2</v>
      </c>
      <c r="Q189" s="4">
        <v>3</v>
      </c>
      <c r="R189" s="4">
        <v>3</v>
      </c>
      <c r="S189" s="4">
        <v>92</v>
      </c>
      <c r="T189" s="4">
        <v>111</v>
      </c>
      <c r="U189" s="4">
        <v>0</v>
      </c>
      <c r="V189" s="4">
        <v>0</v>
      </c>
      <c r="W189" s="4">
        <v>81</v>
      </c>
      <c r="X189" s="4">
        <v>17.553982302</v>
      </c>
      <c r="Y189" s="4">
        <v>52.661947</v>
      </c>
      <c r="Z189" s="4">
        <v>199.666666312204</v>
      </c>
      <c r="AA189" s="4">
        <v>26.666666616029</v>
      </c>
      <c r="AB189" s="4">
        <v>26.333333289025</v>
      </c>
      <c r="AC189" s="4">
        <v>4.333333327003</v>
      </c>
      <c r="AD189" s="4">
        <v>0</v>
      </c>
      <c r="AE189" s="4">
        <v>2.666666654007</v>
      </c>
      <c r="AF189" s="4">
        <v>4.5</v>
      </c>
      <c r="AG189" s="4">
        <v>62</v>
      </c>
      <c r="AH189" s="4">
        <v>6</v>
      </c>
      <c r="AI189" s="4">
        <v>1088.346903</v>
      </c>
      <c r="AJ189" s="3" t="s">
        <v>1033</v>
      </c>
      <c r="AK189" s="4">
        <v>3</v>
      </c>
      <c r="AL189" s="4">
        <v>0</v>
      </c>
      <c r="AM189" s="6">
        <v>46128</v>
      </c>
      <c r="AN189" s="6"/>
      <c r="AO189" s="3" t="s">
        <v>1034</v>
      </c>
      <c r="AP189" s="3" t="s">
        <v>937</v>
      </c>
      <c r="AQ189" s="4"/>
      <c r="AR189" s="4"/>
      <c r="AS189" s="2"/>
    </row>
    <row r="190" ht="16.5" spans="1:45">
      <c r="A190" s="3" t="s">
        <v>274</v>
      </c>
      <c r="B190" s="3" t="s">
        <v>1030</v>
      </c>
      <c r="C190" s="3" t="s">
        <v>935</v>
      </c>
      <c r="D190" s="3" t="s">
        <v>1031</v>
      </c>
      <c r="E190" s="3" t="s">
        <v>1032</v>
      </c>
      <c r="F190" s="4">
        <v>80</v>
      </c>
      <c r="G190" s="4">
        <v>0</v>
      </c>
      <c r="H190" s="4">
        <v>0</v>
      </c>
      <c r="I190" s="4">
        <v>0</v>
      </c>
      <c r="J190" s="4">
        <v>0</v>
      </c>
      <c r="K190" s="4">
        <v>80</v>
      </c>
      <c r="L190" s="4">
        <v>60</v>
      </c>
      <c r="M190" s="5">
        <v>140</v>
      </c>
      <c r="N190" s="4">
        <v>1805.097345</v>
      </c>
      <c r="O190" s="4">
        <v>3158.920354</v>
      </c>
      <c r="P190" s="4">
        <v>5</v>
      </c>
      <c r="Q190" s="4">
        <v>6</v>
      </c>
      <c r="R190" s="4">
        <v>13</v>
      </c>
      <c r="S190" s="4">
        <v>22</v>
      </c>
      <c r="T190" s="4">
        <v>7</v>
      </c>
      <c r="U190" s="4">
        <v>0</v>
      </c>
      <c r="V190" s="4">
        <v>0</v>
      </c>
      <c r="W190" s="4">
        <v>0</v>
      </c>
      <c r="X190" s="4">
        <v>22.563716814</v>
      </c>
      <c r="Y190" s="4">
        <v>293.328319</v>
      </c>
      <c r="Z190" s="4">
        <v>10.76923075402</v>
      </c>
      <c r="AA190" s="4">
        <v>6.153846144667</v>
      </c>
      <c r="AB190" s="4">
        <v>6.153846144667</v>
      </c>
      <c r="AC190" s="4">
        <v>6.153846144667</v>
      </c>
      <c r="AD190" s="4">
        <v>0</v>
      </c>
      <c r="AE190" s="4">
        <v>0</v>
      </c>
      <c r="AF190" s="4">
        <v>4.5</v>
      </c>
      <c r="AG190" s="4">
        <v>2</v>
      </c>
      <c r="AH190" s="4">
        <v>6</v>
      </c>
      <c r="AI190" s="4">
        <v>45.127434</v>
      </c>
      <c r="AJ190" s="3" t="s">
        <v>1033</v>
      </c>
      <c r="AK190" s="4">
        <v>13</v>
      </c>
      <c r="AL190" s="4">
        <v>0</v>
      </c>
      <c r="AM190" s="6">
        <v>46126</v>
      </c>
      <c r="AN190" s="6"/>
      <c r="AO190" s="3" t="s">
        <v>1034</v>
      </c>
      <c r="AP190" s="3" t="s">
        <v>937</v>
      </c>
      <c r="AQ190" s="4"/>
      <c r="AR190" s="4"/>
      <c r="AS190" s="2"/>
    </row>
    <row r="191" ht="16.5" hidden="1" spans="1:45">
      <c r="A191" s="3" t="s">
        <v>346</v>
      </c>
      <c r="B191" s="3" t="s">
        <v>1030</v>
      </c>
      <c r="C191" s="3" t="s">
        <v>935</v>
      </c>
      <c r="D191" s="3" t="s">
        <v>1031</v>
      </c>
      <c r="E191" s="3" t="s">
        <v>1032</v>
      </c>
      <c r="F191" s="4">
        <v>37</v>
      </c>
      <c r="G191" s="4">
        <v>12</v>
      </c>
      <c r="H191" s="4">
        <v>0</v>
      </c>
      <c r="I191" s="4">
        <v>30</v>
      </c>
      <c r="J191" s="4">
        <v>0</v>
      </c>
      <c r="K191" s="4">
        <v>79</v>
      </c>
      <c r="L191" s="4">
        <v>426</v>
      </c>
      <c r="M191" s="5">
        <v>505</v>
      </c>
      <c r="N191" s="4">
        <v>1653.546903</v>
      </c>
      <c r="O191" s="4">
        <v>10570.141594</v>
      </c>
      <c r="P191" s="4">
        <v>0</v>
      </c>
      <c r="Q191" s="4">
        <v>1</v>
      </c>
      <c r="R191" s="4">
        <v>47</v>
      </c>
      <c r="S191" s="4">
        <v>82</v>
      </c>
      <c r="T191" s="4">
        <v>80</v>
      </c>
      <c r="U191" s="4">
        <v>0</v>
      </c>
      <c r="V191" s="4">
        <v>0</v>
      </c>
      <c r="W191" s="4">
        <v>19</v>
      </c>
      <c r="X191" s="4">
        <v>20.930973453</v>
      </c>
      <c r="Y191" s="4">
        <v>983.755752</v>
      </c>
      <c r="Z191" s="4">
        <v>10.744680854481</v>
      </c>
      <c r="AA191" s="4">
        <v>1.680851064543</v>
      </c>
      <c r="AB191" s="4">
        <v>1.680851064543</v>
      </c>
      <c r="AC191" s="4">
        <v>0.787234043029</v>
      </c>
      <c r="AD191" s="4">
        <v>0</v>
      </c>
      <c r="AE191" s="4">
        <v>0.638297872946</v>
      </c>
      <c r="AF191" s="4">
        <v>4.5</v>
      </c>
      <c r="AG191" s="4">
        <v>0</v>
      </c>
      <c r="AH191" s="4">
        <v>6</v>
      </c>
      <c r="AI191" s="4">
        <v>0</v>
      </c>
      <c r="AJ191" s="3" t="s">
        <v>1033</v>
      </c>
      <c r="AK191" s="4">
        <v>47</v>
      </c>
      <c r="AL191" s="4">
        <v>0</v>
      </c>
      <c r="AM191" s="6">
        <v>46110</v>
      </c>
      <c r="AN191" s="6"/>
      <c r="AO191" s="3" t="s">
        <v>1034</v>
      </c>
      <c r="AP191" s="3" t="s">
        <v>937</v>
      </c>
      <c r="AQ191" s="4"/>
      <c r="AR191" s="4"/>
      <c r="AS191" s="2"/>
    </row>
    <row r="192" ht="16.5" spans="1:45">
      <c r="A192" s="3" t="s">
        <v>322</v>
      </c>
      <c r="B192" s="3" t="s">
        <v>1030</v>
      </c>
      <c r="C192" s="3" t="s">
        <v>935</v>
      </c>
      <c r="D192" s="3" t="s">
        <v>1031</v>
      </c>
      <c r="E192" s="3" t="s">
        <v>1032</v>
      </c>
      <c r="F192" s="4">
        <v>43</v>
      </c>
      <c r="G192" s="4">
        <v>30</v>
      </c>
      <c r="H192" s="4">
        <v>0</v>
      </c>
      <c r="I192" s="4">
        <v>4</v>
      </c>
      <c r="J192" s="4">
        <v>1</v>
      </c>
      <c r="K192" s="4">
        <v>78</v>
      </c>
      <c r="L192" s="4">
        <v>530</v>
      </c>
      <c r="M192" s="5">
        <v>608</v>
      </c>
      <c r="N192" s="4">
        <v>1158.61062</v>
      </c>
      <c r="O192" s="4">
        <v>9031.22124</v>
      </c>
      <c r="P192" s="4">
        <v>9</v>
      </c>
      <c r="Q192" s="4">
        <v>26</v>
      </c>
      <c r="R192" s="4">
        <v>79</v>
      </c>
      <c r="S192" s="4">
        <v>83</v>
      </c>
      <c r="T192" s="4">
        <v>80</v>
      </c>
      <c r="U192" s="4">
        <v>0</v>
      </c>
      <c r="V192" s="4">
        <v>0</v>
      </c>
      <c r="W192" s="4">
        <v>40</v>
      </c>
      <c r="X192" s="4">
        <v>14.853982302</v>
      </c>
      <c r="Y192" s="4">
        <v>1173.464602</v>
      </c>
      <c r="Z192" s="4">
        <v>7.696202531041</v>
      </c>
      <c r="AA192" s="4">
        <v>0.98734177241</v>
      </c>
      <c r="AB192" s="4">
        <v>0.974683544821</v>
      </c>
      <c r="AC192" s="4">
        <v>0.544303797414</v>
      </c>
      <c r="AD192" s="4">
        <v>0</v>
      </c>
      <c r="AE192" s="4">
        <v>0.050632911209</v>
      </c>
      <c r="AF192" s="4">
        <v>4.5</v>
      </c>
      <c r="AG192" s="4">
        <v>0</v>
      </c>
      <c r="AH192" s="4">
        <v>6</v>
      </c>
      <c r="AI192" s="4">
        <v>0</v>
      </c>
      <c r="AJ192" s="3" t="s">
        <v>1033</v>
      </c>
      <c r="AK192" s="4">
        <v>79</v>
      </c>
      <c r="AL192" s="4">
        <v>0</v>
      </c>
      <c r="AM192" s="6">
        <v>46138</v>
      </c>
      <c r="AN192" s="6"/>
      <c r="AO192" s="3" t="s">
        <v>1034</v>
      </c>
      <c r="AP192" s="3" t="s">
        <v>937</v>
      </c>
      <c r="AQ192" s="4"/>
      <c r="AR192" s="4"/>
      <c r="AS192" s="2"/>
    </row>
    <row r="193" ht="16.5" hidden="1" spans="1:45">
      <c r="A193" s="3" t="s">
        <v>872</v>
      </c>
      <c r="B193" s="3" t="s">
        <v>1030</v>
      </c>
      <c r="C193" s="3" t="s">
        <v>935</v>
      </c>
      <c r="D193" s="3" t="s">
        <v>1031</v>
      </c>
      <c r="E193" s="3" t="s">
        <v>1032</v>
      </c>
      <c r="F193" s="4">
        <v>71</v>
      </c>
      <c r="G193" s="4">
        <v>0</v>
      </c>
      <c r="H193" s="4">
        <v>0</v>
      </c>
      <c r="I193" s="4">
        <v>0</v>
      </c>
      <c r="J193" s="4">
        <v>6</v>
      </c>
      <c r="K193" s="4">
        <v>77</v>
      </c>
      <c r="L193" s="4">
        <v>0</v>
      </c>
      <c r="M193" s="5">
        <v>77</v>
      </c>
      <c r="N193" s="4">
        <v>1317.926549</v>
      </c>
      <c r="O193" s="4">
        <v>1317.926549</v>
      </c>
      <c r="P193" s="4">
        <v>3</v>
      </c>
      <c r="Q193" s="4">
        <v>5</v>
      </c>
      <c r="R193" s="4">
        <v>10</v>
      </c>
      <c r="S193" s="4">
        <v>9</v>
      </c>
      <c r="T193" s="4">
        <v>19</v>
      </c>
      <c r="U193" s="4">
        <v>0</v>
      </c>
      <c r="V193" s="4">
        <v>0</v>
      </c>
      <c r="W193" s="4">
        <v>0</v>
      </c>
      <c r="X193" s="4">
        <v>17.115929208</v>
      </c>
      <c r="Y193" s="4">
        <v>171.159292</v>
      </c>
      <c r="Z193" s="4">
        <v>7.700000003505</v>
      </c>
      <c r="AA193" s="4">
        <v>7.700000003505</v>
      </c>
      <c r="AB193" s="4">
        <v>7.100000004674</v>
      </c>
      <c r="AC193" s="4">
        <v>7.100000004674</v>
      </c>
      <c r="AD193" s="4">
        <v>0</v>
      </c>
      <c r="AE193" s="4">
        <v>0</v>
      </c>
      <c r="AF193" s="4">
        <v>4.5</v>
      </c>
      <c r="AG193" s="4">
        <v>17</v>
      </c>
      <c r="AH193" s="4">
        <v>6</v>
      </c>
      <c r="AI193" s="4">
        <v>290.970797</v>
      </c>
      <c r="AJ193" s="3" t="s">
        <v>1033</v>
      </c>
      <c r="AK193" s="4">
        <v>10</v>
      </c>
      <c r="AL193" s="4">
        <v>0</v>
      </c>
      <c r="AM193" s="6">
        <v>46098</v>
      </c>
      <c r="AN193" s="6"/>
      <c r="AO193" s="3" t="s">
        <v>1034</v>
      </c>
      <c r="AP193" s="3" t="s">
        <v>937</v>
      </c>
      <c r="AQ193" s="4"/>
      <c r="AR193" s="4"/>
      <c r="AS193" s="2"/>
    </row>
    <row r="194" ht="16.5" hidden="1" spans="1:45">
      <c r="A194" s="3" t="s">
        <v>135</v>
      </c>
      <c r="B194" s="3" t="s">
        <v>1030</v>
      </c>
      <c r="C194" s="3" t="s">
        <v>935</v>
      </c>
      <c r="D194" s="3" t="s">
        <v>1031</v>
      </c>
      <c r="E194" s="3" t="s">
        <v>1032</v>
      </c>
      <c r="F194" s="4">
        <v>12</v>
      </c>
      <c r="G194" s="4">
        <v>1</v>
      </c>
      <c r="H194" s="4">
        <v>0</v>
      </c>
      <c r="I194" s="4">
        <v>64</v>
      </c>
      <c r="J194" s="4">
        <v>0</v>
      </c>
      <c r="K194" s="4">
        <v>77</v>
      </c>
      <c r="L194" s="4">
        <v>434</v>
      </c>
      <c r="M194" s="5">
        <v>511</v>
      </c>
      <c r="N194" s="4">
        <v>1498.842478</v>
      </c>
      <c r="O194" s="4">
        <v>9946.863715</v>
      </c>
      <c r="P194" s="4">
        <v>1</v>
      </c>
      <c r="Q194" s="4">
        <v>2</v>
      </c>
      <c r="R194" s="4">
        <v>7</v>
      </c>
      <c r="S194" s="4">
        <v>41</v>
      </c>
      <c r="T194" s="4">
        <v>175</v>
      </c>
      <c r="U194" s="4">
        <v>0</v>
      </c>
      <c r="V194" s="4">
        <v>0</v>
      </c>
      <c r="W194" s="4">
        <v>0</v>
      </c>
      <c r="X194" s="4">
        <v>19.465486722</v>
      </c>
      <c r="Y194" s="4">
        <v>136.258407</v>
      </c>
      <c r="Z194" s="4">
        <v>73.000000029355</v>
      </c>
      <c r="AA194" s="4">
        <v>11.000000007338</v>
      </c>
      <c r="AB194" s="4">
        <v>11.000000007338</v>
      </c>
      <c r="AC194" s="4">
        <v>1.71428571743</v>
      </c>
      <c r="AD194" s="4">
        <v>0</v>
      </c>
      <c r="AE194" s="4">
        <v>9.142857144953</v>
      </c>
      <c r="AF194" s="4">
        <v>4.5</v>
      </c>
      <c r="AG194" s="4">
        <v>35</v>
      </c>
      <c r="AH194" s="4">
        <v>6</v>
      </c>
      <c r="AI194" s="4">
        <v>681.292035</v>
      </c>
      <c r="AJ194" s="3" t="s">
        <v>1033</v>
      </c>
      <c r="AK194" s="4">
        <v>7</v>
      </c>
      <c r="AL194" s="4">
        <v>0</v>
      </c>
      <c r="AM194" s="6">
        <v>46103</v>
      </c>
      <c r="AN194" s="6"/>
      <c r="AO194" s="3" t="s">
        <v>1034</v>
      </c>
      <c r="AP194" s="3" t="s">
        <v>937</v>
      </c>
      <c r="AQ194" s="4"/>
      <c r="AR194" s="4"/>
      <c r="AS194" s="2"/>
    </row>
    <row r="195" ht="16.5" hidden="1" spans="1:45">
      <c r="A195" s="3" t="s">
        <v>370</v>
      </c>
      <c r="B195" s="3" t="s">
        <v>1030</v>
      </c>
      <c r="C195" s="3" t="s">
        <v>935</v>
      </c>
      <c r="D195" s="3" t="s">
        <v>1031</v>
      </c>
      <c r="E195" s="3" t="s">
        <v>1032</v>
      </c>
      <c r="F195" s="4">
        <v>64</v>
      </c>
      <c r="G195" s="4">
        <v>0</v>
      </c>
      <c r="H195" s="4">
        <v>0</v>
      </c>
      <c r="I195" s="4">
        <v>2</v>
      </c>
      <c r="J195" s="4">
        <v>10</v>
      </c>
      <c r="K195" s="4">
        <v>76</v>
      </c>
      <c r="L195" s="4">
        <v>0</v>
      </c>
      <c r="M195" s="5">
        <v>76</v>
      </c>
      <c r="N195" s="4">
        <v>2410.343363</v>
      </c>
      <c r="O195" s="4">
        <v>2410.343363</v>
      </c>
      <c r="P195" s="4">
        <v>6</v>
      </c>
      <c r="Q195" s="4">
        <v>18</v>
      </c>
      <c r="R195" s="4">
        <v>29</v>
      </c>
      <c r="S195" s="4">
        <v>17</v>
      </c>
      <c r="T195" s="4">
        <v>0</v>
      </c>
      <c r="U195" s="4">
        <v>0</v>
      </c>
      <c r="V195" s="4">
        <v>0</v>
      </c>
      <c r="W195" s="4">
        <v>0</v>
      </c>
      <c r="X195" s="4">
        <v>31.715044245</v>
      </c>
      <c r="Y195" s="4">
        <v>919.736283</v>
      </c>
      <c r="Z195" s="4">
        <v>2.620689655884</v>
      </c>
      <c r="AA195" s="4">
        <v>2.620689655884</v>
      </c>
      <c r="AB195" s="4">
        <v>2.275862070127</v>
      </c>
      <c r="AC195" s="4">
        <v>2.206896552324</v>
      </c>
      <c r="AD195" s="4">
        <v>0</v>
      </c>
      <c r="AE195" s="4">
        <v>0.068965516716</v>
      </c>
      <c r="AF195" s="4">
        <v>4.5</v>
      </c>
      <c r="AG195" s="4">
        <v>0</v>
      </c>
      <c r="AH195" s="4">
        <v>6</v>
      </c>
      <c r="AI195" s="4">
        <v>0</v>
      </c>
      <c r="AJ195" s="3" t="s">
        <v>1033</v>
      </c>
      <c r="AK195" s="4">
        <v>29</v>
      </c>
      <c r="AL195" s="4">
        <v>0</v>
      </c>
      <c r="AM195" s="6">
        <v>46163</v>
      </c>
      <c r="AN195" s="6"/>
      <c r="AO195" s="3" t="s">
        <v>1034</v>
      </c>
      <c r="AP195" s="3" t="s">
        <v>937</v>
      </c>
      <c r="AQ195" s="4"/>
      <c r="AR195" s="4"/>
      <c r="AS195" s="2"/>
    </row>
    <row r="196" ht="16.5" hidden="1" spans="1:45">
      <c r="A196" s="3" t="s">
        <v>854</v>
      </c>
      <c r="B196" s="3" t="s">
        <v>1030</v>
      </c>
      <c r="C196" s="3" t="s">
        <v>935</v>
      </c>
      <c r="D196" s="3" t="s">
        <v>1031</v>
      </c>
      <c r="E196" s="3" t="s">
        <v>1032</v>
      </c>
      <c r="F196" s="4">
        <v>72</v>
      </c>
      <c r="G196" s="4">
        <v>0</v>
      </c>
      <c r="H196" s="4">
        <v>0</v>
      </c>
      <c r="I196" s="4">
        <v>4</v>
      </c>
      <c r="J196" s="4">
        <v>0</v>
      </c>
      <c r="K196" s="4">
        <v>76</v>
      </c>
      <c r="L196" s="4">
        <v>380</v>
      </c>
      <c r="M196" s="5">
        <v>456</v>
      </c>
      <c r="N196" s="4">
        <v>1752.371682</v>
      </c>
      <c r="O196" s="4">
        <v>10514.23009</v>
      </c>
      <c r="P196" s="4">
        <v>18</v>
      </c>
      <c r="Q196" s="4">
        <v>35</v>
      </c>
      <c r="R196" s="4">
        <v>74</v>
      </c>
      <c r="S196" s="4">
        <v>64</v>
      </c>
      <c r="T196" s="4">
        <v>83</v>
      </c>
      <c r="U196" s="4">
        <v>0</v>
      </c>
      <c r="V196" s="4">
        <v>0</v>
      </c>
      <c r="W196" s="4">
        <v>0</v>
      </c>
      <c r="X196" s="4">
        <v>23.057522127</v>
      </c>
      <c r="Y196" s="4">
        <v>1706.256637</v>
      </c>
      <c r="Z196" s="4">
        <v>6.162162163651</v>
      </c>
      <c r="AA196" s="4">
        <v>1.02702702747</v>
      </c>
      <c r="AB196" s="4">
        <v>1.02702702747</v>
      </c>
      <c r="AC196" s="4">
        <v>0.972972973115</v>
      </c>
      <c r="AD196" s="4">
        <v>0</v>
      </c>
      <c r="AE196" s="4">
        <v>0.054054054355</v>
      </c>
      <c r="AF196" s="4">
        <v>4.5</v>
      </c>
      <c r="AG196" s="4">
        <v>0</v>
      </c>
      <c r="AH196" s="4">
        <v>6</v>
      </c>
      <c r="AI196" s="4">
        <v>0</v>
      </c>
      <c r="AJ196" s="3" t="s">
        <v>1033</v>
      </c>
      <c r="AK196" s="4">
        <v>74</v>
      </c>
      <c r="AL196" s="4">
        <v>0</v>
      </c>
      <c r="AM196" s="6">
        <v>46103</v>
      </c>
      <c r="AN196" s="6"/>
      <c r="AO196" s="3" t="s">
        <v>1034</v>
      </c>
      <c r="AP196" s="3" t="s">
        <v>937</v>
      </c>
      <c r="AQ196" s="4"/>
      <c r="AR196" s="4"/>
      <c r="AS196" s="2"/>
    </row>
    <row r="197" ht="16.5" hidden="1" spans="1:45">
      <c r="A197" s="3" t="s">
        <v>878</v>
      </c>
      <c r="B197" s="3" t="s">
        <v>1030</v>
      </c>
      <c r="C197" s="3" t="s">
        <v>935</v>
      </c>
      <c r="D197" s="3" t="s">
        <v>1031</v>
      </c>
      <c r="E197" s="3" t="s">
        <v>1032</v>
      </c>
      <c r="F197" s="4">
        <v>4</v>
      </c>
      <c r="G197" s="4">
        <v>24</v>
      </c>
      <c r="H197" s="4">
        <v>0</v>
      </c>
      <c r="I197" s="4">
        <v>6</v>
      </c>
      <c r="J197" s="4">
        <v>41</v>
      </c>
      <c r="K197" s="4">
        <v>75</v>
      </c>
      <c r="L197" s="4">
        <v>376</v>
      </c>
      <c r="M197" s="5">
        <v>451</v>
      </c>
      <c r="N197" s="4">
        <v>1262.190265</v>
      </c>
      <c r="O197" s="4">
        <v>7589.970795</v>
      </c>
      <c r="P197" s="4">
        <v>0</v>
      </c>
      <c r="Q197" s="4">
        <v>17</v>
      </c>
      <c r="R197" s="4">
        <v>52</v>
      </c>
      <c r="S197" s="4">
        <v>26</v>
      </c>
      <c r="T197" s="4">
        <v>55</v>
      </c>
      <c r="U197" s="4">
        <v>0</v>
      </c>
      <c r="V197" s="4">
        <v>0</v>
      </c>
      <c r="W197" s="4">
        <v>64</v>
      </c>
      <c r="X197" s="4">
        <v>16.829203536</v>
      </c>
      <c r="Y197" s="4">
        <v>875.118584</v>
      </c>
      <c r="Z197" s="4">
        <v>8.67307692211</v>
      </c>
      <c r="AA197" s="4">
        <v>1.442307691868</v>
      </c>
      <c r="AB197" s="4">
        <v>0.653846153494</v>
      </c>
      <c r="AC197" s="4">
        <v>0.076923076747</v>
      </c>
      <c r="AD197" s="4">
        <v>0</v>
      </c>
      <c r="AE197" s="4">
        <v>0.11538461512</v>
      </c>
      <c r="AF197" s="4">
        <v>4.5</v>
      </c>
      <c r="AG197" s="4">
        <v>0</v>
      </c>
      <c r="AH197" s="4">
        <v>6</v>
      </c>
      <c r="AI197" s="4">
        <v>0</v>
      </c>
      <c r="AJ197" s="3" t="s">
        <v>1033</v>
      </c>
      <c r="AK197" s="4">
        <v>52</v>
      </c>
      <c r="AL197" s="4">
        <v>0</v>
      </c>
      <c r="AM197" s="6">
        <v>46110</v>
      </c>
      <c r="AN197" s="6"/>
      <c r="AO197" s="3" t="s">
        <v>1034</v>
      </c>
      <c r="AP197" s="3" t="s">
        <v>937</v>
      </c>
      <c r="AQ197" s="4"/>
      <c r="AR197" s="4"/>
      <c r="AS197" s="2"/>
    </row>
    <row r="198" ht="16.5" spans="1:45">
      <c r="A198" s="3" t="s">
        <v>550</v>
      </c>
      <c r="B198" s="3" t="s">
        <v>1030</v>
      </c>
      <c r="C198" s="3" t="s">
        <v>935</v>
      </c>
      <c r="D198" s="3" t="s">
        <v>1031</v>
      </c>
      <c r="E198" s="3" t="s">
        <v>1032</v>
      </c>
      <c r="F198" s="4">
        <v>74</v>
      </c>
      <c r="G198" s="4">
        <v>0</v>
      </c>
      <c r="H198" s="4">
        <v>0</v>
      </c>
      <c r="I198" s="4">
        <v>0</v>
      </c>
      <c r="J198" s="4">
        <v>0</v>
      </c>
      <c r="K198" s="4">
        <v>74</v>
      </c>
      <c r="L198" s="4">
        <v>280</v>
      </c>
      <c r="M198" s="5">
        <v>354</v>
      </c>
      <c r="N198" s="4">
        <v>1893.785207</v>
      </c>
      <c r="O198" s="4">
        <v>9059.458961</v>
      </c>
      <c r="P198" s="4">
        <v>7</v>
      </c>
      <c r="Q198" s="4">
        <v>26</v>
      </c>
      <c r="R198" s="4">
        <v>64</v>
      </c>
      <c r="S198" s="4">
        <v>50</v>
      </c>
      <c r="T198" s="4">
        <v>13</v>
      </c>
      <c r="U198" s="4">
        <v>0</v>
      </c>
      <c r="V198" s="4">
        <v>0</v>
      </c>
      <c r="W198" s="4">
        <v>0</v>
      </c>
      <c r="X198" s="4">
        <v>25.5916919798</v>
      </c>
      <c r="Y198" s="4">
        <v>1637.868287</v>
      </c>
      <c r="Z198" s="4">
        <v>5.531249999103</v>
      </c>
      <c r="AA198" s="4">
        <v>1.156250000095</v>
      </c>
      <c r="AB198" s="4">
        <v>1.156250000095</v>
      </c>
      <c r="AC198" s="4">
        <v>1.156250000095</v>
      </c>
      <c r="AD198" s="4">
        <v>0</v>
      </c>
      <c r="AE198" s="4">
        <v>0</v>
      </c>
      <c r="AF198" s="4">
        <v>4.5</v>
      </c>
      <c r="AG198" s="4">
        <v>0</v>
      </c>
      <c r="AH198" s="4">
        <v>6</v>
      </c>
      <c r="AI198" s="4">
        <v>0</v>
      </c>
      <c r="AJ198" s="3" t="s">
        <v>1036</v>
      </c>
      <c r="AK198" s="4">
        <v>64</v>
      </c>
      <c r="AL198" s="4">
        <v>0</v>
      </c>
      <c r="AM198" s="6">
        <v>46126</v>
      </c>
      <c r="AN198" s="6"/>
      <c r="AO198" s="3" t="s">
        <v>1034</v>
      </c>
      <c r="AP198" s="3" t="s">
        <v>937</v>
      </c>
      <c r="AQ198" s="4"/>
      <c r="AR198" s="4"/>
      <c r="AS198" s="2"/>
    </row>
    <row r="199" ht="16.5" hidden="1" spans="1:45">
      <c r="A199" s="3" t="s">
        <v>270</v>
      </c>
      <c r="B199" s="3" t="s">
        <v>1030</v>
      </c>
      <c r="C199" s="3" t="s">
        <v>935</v>
      </c>
      <c r="D199" s="3" t="s">
        <v>1031</v>
      </c>
      <c r="E199" s="3" t="s">
        <v>1032</v>
      </c>
      <c r="F199" s="4">
        <v>36</v>
      </c>
      <c r="G199" s="4">
        <v>12</v>
      </c>
      <c r="H199" s="4">
        <v>0</v>
      </c>
      <c r="I199" s="4">
        <v>14</v>
      </c>
      <c r="J199" s="4">
        <v>8</v>
      </c>
      <c r="K199" s="4">
        <v>70</v>
      </c>
      <c r="L199" s="4">
        <v>260</v>
      </c>
      <c r="M199" s="5">
        <v>330</v>
      </c>
      <c r="N199" s="4">
        <v>1464.053097</v>
      </c>
      <c r="O199" s="4">
        <v>6901.964601</v>
      </c>
      <c r="P199" s="4">
        <v>8</v>
      </c>
      <c r="Q199" s="4">
        <v>18</v>
      </c>
      <c r="R199" s="4">
        <v>44</v>
      </c>
      <c r="S199" s="4">
        <v>46</v>
      </c>
      <c r="T199" s="4">
        <v>50</v>
      </c>
      <c r="U199" s="4">
        <v>0</v>
      </c>
      <c r="V199" s="4">
        <v>0</v>
      </c>
      <c r="W199" s="4">
        <v>20</v>
      </c>
      <c r="X199" s="4">
        <v>20.915044245</v>
      </c>
      <c r="Y199" s="4">
        <v>920.261947</v>
      </c>
      <c r="Z199" s="4">
        <v>7.49999999837</v>
      </c>
      <c r="AA199" s="4">
        <v>1.590909090365</v>
      </c>
      <c r="AB199" s="4">
        <v>1.409090908547</v>
      </c>
      <c r="AC199" s="4">
        <v>0.818181818181</v>
      </c>
      <c r="AD199" s="4">
        <v>0</v>
      </c>
      <c r="AE199" s="4">
        <v>0.318181817638</v>
      </c>
      <c r="AF199" s="4">
        <v>4.5</v>
      </c>
      <c r="AG199" s="4">
        <v>0</v>
      </c>
      <c r="AH199" s="4">
        <v>6</v>
      </c>
      <c r="AI199" s="4">
        <v>0</v>
      </c>
      <c r="AJ199" s="3" t="s">
        <v>1033</v>
      </c>
      <c r="AK199" s="4">
        <v>44</v>
      </c>
      <c r="AL199" s="4">
        <v>0</v>
      </c>
      <c r="AM199" s="6">
        <v>46102</v>
      </c>
      <c r="AN199" s="6"/>
      <c r="AO199" s="3" t="s">
        <v>1034</v>
      </c>
      <c r="AP199" s="3" t="s">
        <v>937</v>
      </c>
      <c r="AQ199" s="4"/>
      <c r="AR199" s="4"/>
      <c r="AS199" s="2"/>
    </row>
    <row r="200" ht="16.5" hidden="1" spans="1:45">
      <c r="A200" s="3" t="s">
        <v>163</v>
      </c>
      <c r="B200" s="3" t="s">
        <v>1030</v>
      </c>
      <c r="C200" s="3" t="s">
        <v>935</v>
      </c>
      <c r="D200" s="3" t="s">
        <v>1031</v>
      </c>
      <c r="E200" s="3" t="s">
        <v>1032</v>
      </c>
      <c r="F200" s="4">
        <v>67</v>
      </c>
      <c r="G200" s="4">
        <v>0</v>
      </c>
      <c r="H200" s="4">
        <v>0</v>
      </c>
      <c r="I200" s="4">
        <v>0</v>
      </c>
      <c r="J200" s="4">
        <v>1</v>
      </c>
      <c r="K200" s="4">
        <v>68</v>
      </c>
      <c r="L200" s="4">
        <v>130</v>
      </c>
      <c r="M200" s="5">
        <v>198</v>
      </c>
      <c r="N200" s="4">
        <v>1163.341593</v>
      </c>
      <c r="O200" s="4">
        <v>3387.376992</v>
      </c>
      <c r="P200" s="4">
        <v>11</v>
      </c>
      <c r="Q200" s="4">
        <v>24</v>
      </c>
      <c r="R200" s="4">
        <v>40</v>
      </c>
      <c r="S200" s="4">
        <v>10</v>
      </c>
      <c r="T200" s="4">
        <v>13</v>
      </c>
      <c r="U200" s="4">
        <v>0</v>
      </c>
      <c r="V200" s="4">
        <v>0</v>
      </c>
      <c r="W200" s="4">
        <v>0</v>
      </c>
      <c r="X200" s="4">
        <v>17.107964604</v>
      </c>
      <c r="Y200" s="4">
        <v>684.318584</v>
      </c>
      <c r="Z200" s="4">
        <v>4.950000001753</v>
      </c>
      <c r="AA200" s="4">
        <v>1.700000000292</v>
      </c>
      <c r="AB200" s="4">
        <v>1.674999999707</v>
      </c>
      <c r="AC200" s="4">
        <v>1.674999999707</v>
      </c>
      <c r="AD200" s="4">
        <v>0</v>
      </c>
      <c r="AE200" s="4">
        <v>0</v>
      </c>
      <c r="AF200" s="4">
        <v>4.5</v>
      </c>
      <c r="AG200" s="4">
        <v>0</v>
      </c>
      <c r="AH200" s="4">
        <v>6</v>
      </c>
      <c r="AI200" s="4">
        <v>0</v>
      </c>
      <c r="AJ200" s="3" t="s">
        <v>1033</v>
      </c>
      <c r="AK200" s="4">
        <v>40</v>
      </c>
      <c r="AL200" s="4">
        <v>0</v>
      </c>
      <c r="AM200" s="6">
        <v>46163</v>
      </c>
      <c r="AN200" s="6"/>
      <c r="AO200" s="3" t="s">
        <v>1034</v>
      </c>
      <c r="AP200" s="3" t="s">
        <v>937</v>
      </c>
      <c r="AQ200" s="4"/>
      <c r="AR200" s="4"/>
      <c r="AS200" s="2"/>
    </row>
    <row r="201" ht="16.5" hidden="1" spans="1:45">
      <c r="A201" s="3" t="s">
        <v>760</v>
      </c>
      <c r="B201" s="3" t="s">
        <v>1030</v>
      </c>
      <c r="C201" s="3" t="s">
        <v>935</v>
      </c>
      <c r="D201" s="3" t="s">
        <v>1031</v>
      </c>
      <c r="E201" s="3" t="s">
        <v>1032</v>
      </c>
      <c r="F201" s="4">
        <v>56</v>
      </c>
      <c r="G201" s="4">
        <v>0</v>
      </c>
      <c r="H201" s="4">
        <v>0</v>
      </c>
      <c r="I201" s="4">
        <v>0</v>
      </c>
      <c r="J201" s="4">
        <v>11</v>
      </c>
      <c r="K201" s="4">
        <v>67</v>
      </c>
      <c r="L201" s="4">
        <v>340</v>
      </c>
      <c r="M201" s="5">
        <v>407</v>
      </c>
      <c r="N201" s="4">
        <v>1677.570726</v>
      </c>
      <c r="O201" s="4">
        <v>10190.616198</v>
      </c>
      <c r="P201" s="4">
        <v>26</v>
      </c>
      <c r="Q201" s="4">
        <v>60</v>
      </c>
      <c r="R201" s="4">
        <v>120</v>
      </c>
      <c r="S201" s="4">
        <v>30</v>
      </c>
      <c r="T201" s="4">
        <v>5</v>
      </c>
      <c r="U201" s="4">
        <v>0</v>
      </c>
      <c r="V201" s="4">
        <v>0</v>
      </c>
      <c r="W201" s="4">
        <v>0</v>
      </c>
      <c r="X201" s="4">
        <v>25.0383690376</v>
      </c>
      <c r="Y201" s="4">
        <v>3004.604285</v>
      </c>
      <c r="Z201" s="4">
        <v>3.391666666014</v>
      </c>
      <c r="AA201" s="4">
        <v>0.558333333402</v>
      </c>
      <c r="AB201" s="4">
        <v>0.466666666888</v>
      </c>
      <c r="AC201" s="4">
        <v>0.466666666555</v>
      </c>
      <c r="AD201" s="4">
        <v>0</v>
      </c>
      <c r="AE201" s="4">
        <v>0</v>
      </c>
      <c r="AF201" s="4">
        <v>4.5</v>
      </c>
      <c r="AG201" s="4">
        <v>0</v>
      </c>
      <c r="AH201" s="4">
        <v>6</v>
      </c>
      <c r="AI201" s="4">
        <v>0</v>
      </c>
      <c r="AJ201" s="3" t="s">
        <v>1036</v>
      </c>
      <c r="AK201" s="4">
        <v>120</v>
      </c>
      <c r="AL201" s="4">
        <v>0</v>
      </c>
      <c r="AM201" s="6">
        <v>46164</v>
      </c>
      <c r="AN201" s="6"/>
      <c r="AO201" s="3" t="s">
        <v>1034</v>
      </c>
      <c r="AP201" s="3" t="s">
        <v>937</v>
      </c>
      <c r="AQ201" s="4"/>
      <c r="AR201" s="4"/>
      <c r="AS201" s="2"/>
    </row>
    <row r="202" ht="16.5" hidden="1" spans="1:45">
      <c r="A202" s="3" t="s">
        <v>804</v>
      </c>
      <c r="B202" s="3" t="s">
        <v>1030</v>
      </c>
      <c r="C202" s="3" t="s">
        <v>935</v>
      </c>
      <c r="D202" s="3" t="s">
        <v>1031</v>
      </c>
      <c r="E202" s="3" t="s">
        <v>1032</v>
      </c>
      <c r="F202" s="4">
        <v>61</v>
      </c>
      <c r="G202" s="4">
        <v>0</v>
      </c>
      <c r="H202" s="4">
        <v>0</v>
      </c>
      <c r="I202" s="4">
        <v>2</v>
      </c>
      <c r="J202" s="4">
        <v>1</v>
      </c>
      <c r="K202" s="4">
        <v>64</v>
      </c>
      <c r="L202" s="4">
        <v>355</v>
      </c>
      <c r="M202" s="5">
        <v>419</v>
      </c>
      <c r="N202" s="4">
        <v>1800.892036</v>
      </c>
      <c r="O202" s="4">
        <v>11790.215046</v>
      </c>
      <c r="P202" s="4">
        <v>19</v>
      </c>
      <c r="Q202" s="4">
        <v>39</v>
      </c>
      <c r="R202" s="4">
        <v>76</v>
      </c>
      <c r="S202" s="4">
        <v>54</v>
      </c>
      <c r="T202" s="4">
        <v>101</v>
      </c>
      <c r="U202" s="4">
        <v>0</v>
      </c>
      <c r="V202" s="4">
        <v>0</v>
      </c>
      <c r="W202" s="4">
        <v>0</v>
      </c>
      <c r="X202" s="4">
        <v>28.138938057</v>
      </c>
      <c r="Y202" s="4">
        <v>2138.559292</v>
      </c>
      <c r="Z202" s="4">
        <v>5.513157895647</v>
      </c>
      <c r="AA202" s="4">
        <v>0.842105263453</v>
      </c>
      <c r="AB202" s="4">
        <v>0.82894736874</v>
      </c>
      <c r="AC202" s="4">
        <v>0.802631578848</v>
      </c>
      <c r="AD202" s="4">
        <v>0</v>
      </c>
      <c r="AE202" s="4">
        <v>0.026315789424</v>
      </c>
      <c r="AF202" s="4">
        <v>4.5</v>
      </c>
      <c r="AG202" s="4">
        <v>0</v>
      </c>
      <c r="AH202" s="4">
        <v>6</v>
      </c>
      <c r="AI202" s="4">
        <v>0</v>
      </c>
      <c r="AJ202" s="3" t="s">
        <v>1033</v>
      </c>
      <c r="AK202" s="4">
        <v>76</v>
      </c>
      <c r="AL202" s="4">
        <v>0</v>
      </c>
      <c r="AM202" s="6">
        <v>46103</v>
      </c>
      <c r="AN202" s="6"/>
      <c r="AO202" s="3" t="s">
        <v>1034</v>
      </c>
      <c r="AP202" s="3" t="s">
        <v>937</v>
      </c>
      <c r="AQ202" s="4"/>
      <c r="AR202" s="4"/>
      <c r="AS202" s="2"/>
    </row>
    <row r="203" ht="16.5" hidden="1" spans="1:45">
      <c r="A203" s="3" t="s">
        <v>239</v>
      </c>
      <c r="B203" s="3" t="s">
        <v>1030</v>
      </c>
      <c r="C203" s="3" t="s">
        <v>935</v>
      </c>
      <c r="D203" s="3" t="s">
        <v>1031</v>
      </c>
      <c r="E203" s="3" t="s">
        <v>1032</v>
      </c>
      <c r="F203" s="4">
        <v>44</v>
      </c>
      <c r="G203" s="4">
        <v>12</v>
      </c>
      <c r="H203" s="4">
        <v>0</v>
      </c>
      <c r="I203" s="4">
        <v>0</v>
      </c>
      <c r="J203" s="4">
        <v>5</v>
      </c>
      <c r="K203" s="4">
        <v>61</v>
      </c>
      <c r="L203" s="4">
        <v>114</v>
      </c>
      <c r="M203" s="5">
        <v>175</v>
      </c>
      <c r="N203" s="4">
        <v>1218.974336</v>
      </c>
      <c r="O203" s="4">
        <v>3497.057522</v>
      </c>
      <c r="P203" s="4">
        <v>7</v>
      </c>
      <c r="Q203" s="4">
        <v>11</v>
      </c>
      <c r="R203" s="4">
        <v>21</v>
      </c>
      <c r="S203" s="4">
        <v>22</v>
      </c>
      <c r="T203" s="4">
        <v>15</v>
      </c>
      <c r="U203" s="4">
        <v>0</v>
      </c>
      <c r="V203" s="4">
        <v>0</v>
      </c>
      <c r="W203" s="4">
        <v>16</v>
      </c>
      <c r="X203" s="4">
        <v>19.983185838</v>
      </c>
      <c r="Y203" s="4">
        <v>419.646903</v>
      </c>
      <c r="Z203" s="4">
        <v>8.333333326184</v>
      </c>
      <c r="AA203" s="4">
        <v>2.904761901698</v>
      </c>
      <c r="AB203" s="4">
        <v>2.666666664283</v>
      </c>
      <c r="AC203" s="4">
        <v>2.095238093535</v>
      </c>
      <c r="AD203" s="4">
        <v>0</v>
      </c>
      <c r="AE203" s="4">
        <v>0</v>
      </c>
      <c r="AF203" s="4">
        <v>4.5</v>
      </c>
      <c r="AG203" s="4">
        <v>0</v>
      </c>
      <c r="AH203" s="4">
        <v>6</v>
      </c>
      <c r="AI203" s="4">
        <v>0</v>
      </c>
      <c r="AJ203" s="3" t="s">
        <v>1033</v>
      </c>
      <c r="AK203" s="4">
        <v>21</v>
      </c>
      <c r="AL203" s="4">
        <v>0</v>
      </c>
      <c r="AM203" s="6">
        <v>46094</v>
      </c>
      <c r="AN203" s="6"/>
      <c r="AO203" s="3" t="s">
        <v>1034</v>
      </c>
      <c r="AP203" s="3" t="s">
        <v>937</v>
      </c>
      <c r="AQ203" s="4"/>
      <c r="AR203" s="4"/>
      <c r="AS203" s="2"/>
    </row>
    <row r="204" ht="16.5" spans="1:45">
      <c r="A204" s="3" t="s">
        <v>255</v>
      </c>
      <c r="B204" s="3" t="s">
        <v>1030</v>
      </c>
      <c r="C204" s="3" t="s">
        <v>935</v>
      </c>
      <c r="D204" s="3" t="s">
        <v>1031</v>
      </c>
      <c r="E204" s="3" t="s">
        <v>1032</v>
      </c>
      <c r="F204" s="4">
        <v>50</v>
      </c>
      <c r="G204" s="4">
        <v>0</v>
      </c>
      <c r="H204" s="4">
        <v>0</v>
      </c>
      <c r="I204" s="4">
        <v>0</v>
      </c>
      <c r="J204" s="4">
        <v>10</v>
      </c>
      <c r="K204" s="4">
        <v>60</v>
      </c>
      <c r="L204" s="4">
        <v>104</v>
      </c>
      <c r="M204" s="5">
        <v>164</v>
      </c>
      <c r="N204" s="4">
        <v>1306.035398</v>
      </c>
      <c r="O204" s="4">
        <v>3569.830089</v>
      </c>
      <c r="P204" s="4">
        <v>2</v>
      </c>
      <c r="Q204" s="4">
        <v>5</v>
      </c>
      <c r="R204" s="4">
        <v>15</v>
      </c>
      <c r="S204" s="4">
        <v>30</v>
      </c>
      <c r="T204" s="4">
        <v>12</v>
      </c>
      <c r="U204" s="4">
        <v>0</v>
      </c>
      <c r="V204" s="4">
        <v>0</v>
      </c>
      <c r="W204" s="4">
        <v>0</v>
      </c>
      <c r="X204" s="4">
        <v>21.767256639</v>
      </c>
      <c r="Y204" s="4">
        <v>326.50885</v>
      </c>
      <c r="Z204" s="4">
        <v>10.933333320061</v>
      </c>
      <c r="AA204" s="4">
        <v>3.999999993874</v>
      </c>
      <c r="AB204" s="4">
        <v>3.333333329249</v>
      </c>
      <c r="AC204" s="4">
        <v>3.333333329249</v>
      </c>
      <c r="AD204" s="4">
        <v>0</v>
      </c>
      <c r="AE204" s="4">
        <v>0</v>
      </c>
      <c r="AF204" s="4">
        <v>4.5</v>
      </c>
      <c r="AG204" s="4">
        <v>0</v>
      </c>
      <c r="AH204" s="4">
        <v>6</v>
      </c>
      <c r="AI204" s="4">
        <v>0</v>
      </c>
      <c r="AJ204" s="3" t="s">
        <v>1033</v>
      </c>
      <c r="AK204" s="4">
        <v>15</v>
      </c>
      <c r="AL204" s="4">
        <v>0</v>
      </c>
      <c r="AM204" s="6">
        <v>46126</v>
      </c>
      <c r="AN204" s="6"/>
      <c r="AO204" s="3" t="s">
        <v>1034</v>
      </c>
      <c r="AP204" s="3" t="s">
        <v>937</v>
      </c>
      <c r="AQ204" s="4"/>
      <c r="AR204" s="4"/>
      <c r="AS204" s="2"/>
    </row>
    <row r="205" ht="16.5" hidden="1" spans="1:45">
      <c r="A205" s="3" t="s">
        <v>620</v>
      </c>
      <c r="B205" s="3" t="s">
        <v>1030</v>
      </c>
      <c r="C205" s="3" t="s">
        <v>935</v>
      </c>
      <c r="D205" s="3" t="s">
        <v>1031</v>
      </c>
      <c r="E205" s="3" t="s">
        <v>1032</v>
      </c>
      <c r="F205" s="4">
        <v>35</v>
      </c>
      <c r="G205" s="4">
        <v>12</v>
      </c>
      <c r="H205" s="4">
        <v>0</v>
      </c>
      <c r="I205" s="4">
        <v>0</v>
      </c>
      <c r="J205" s="4">
        <v>12</v>
      </c>
      <c r="K205" s="4">
        <v>59</v>
      </c>
      <c r="L205" s="4">
        <v>240</v>
      </c>
      <c r="M205" s="5">
        <v>299</v>
      </c>
      <c r="N205" s="4">
        <v>1285.451412</v>
      </c>
      <c r="O205" s="4">
        <v>6514.40631</v>
      </c>
      <c r="P205" s="4">
        <v>15</v>
      </c>
      <c r="Q205" s="4">
        <v>31</v>
      </c>
      <c r="R205" s="4">
        <v>82</v>
      </c>
      <c r="S205" s="4">
        <v>25</v>
      </c>
      <c r="T205" s="4">
        <v>22</v>
      </c>
      <c r="U205" s="4">
        <v>0</v>
      </c>
      <c r="V205" s="4">
        <v>0</v>
      </c>
      <c r="W205" s="4">
        <v>0</v>
      </c>
      <c r="X205" s="4">
        <v>21.7873120743</v>
      </c>
      <c r="Y205" s="4">
        <v>1786.55959</v>
      </c>
      <c r="Z205" s="4">
        <v>3.646341463482</v>
      </c>
      <c r="AA205" s="4">
        <v>0.719512194944</v>
      </c>
      <c r="AB205" s="4">
        <v>0.573170731461</v>
      </c>
      <c r="AC205" s="4">
        <v>0.426829268538</v>
      </c>
      <c r="AD205" s="4">
        <v>0</v>
      </c>
      <c r="AE205" s="4">
        <v>0</v>
      </c>
      <c r="AF205" s="4">
        <v>4.5</v>
      </c>
      <c r="AG205" s="4">
        <v>0</v>
      </c>
      <c r="AH205" s="4">
        <v>6</v>
      </c>
      <c r="AI205" s="4">
        <v>0</v>
      </c>
      <c r="AJ205" s="3" t="s">
        <v>1036</v>
      </c>
      <c r="AK205" s="4">
        <v>82</v>
      </c>
      <c r="AL205" s="4">
        <v>0</v>
      </c>
      <c r="AM205" s="6">
        <v>46101</v>
      </c>
      <c r="AN205" s="6"/>
      <c r="AO205" s="3" t="s">
        <v>1034</v>
      </c>
      <c r="AP205" s="3" t="s">
        <v>937</v>
      </c>
      <c r="AQ205" s="4"/>
      <c r="AR205" s="4"/>
      <c r="AS205" s="2"/>
    </row>
    <row r="206" ht="16.5" spans="1:45">
      <c r="A206" s="3" t="s">
        <v>892</v>
      </c>
      <c r="B206" s="3" t="s">
        <v>1030</v>
      </c>
      <c r="C206" s="3" t="s">
        <v>935</v>
      </c>
      <c r="D206" s="3" t="s">
        <v>1031</v>
      </c>
      <c r="E206" s="3" t="s">
        <v>1032</v>
      </c>
      <c r="F206" s="4">
        <v>50</v>
      </c>
      <c r="G206" s="4">
        <v>5</v>
      </c>
      <c r="H206" s="4">
        <v>0</v>
      </c>
      <c r="I206" s="4">
        <v>2</v>
      </c>
      <c r="J206" s="4">
        <v>0</v>
      </c>
      <c r="K206" s="4">
        <v>57</v>
      </c>
      <c r="L206" s="4">
        <v>80</v>
      </c>
      <c r="M206" s="5">
        <v>137</v>
      </c>
      <c r="N206" s="4">
        <v>1080.023894</v>
      </c>
      <c r="O206" s="4">
        <v>2595.846903</v>
      </c>
      <c r="P206" s="4">
        <v>1</v>
      </c>
      <c r="Q206" s="4">
        <v>2</v>
      </c>
      <c r="R206" s="4">
        <v>7</v>
      </c>
      <c r="S206" s="4">
        <v>20</v>
      </c>
      <c r="T206" s="4">
        <v>20</v>
      </c>
      <c r="U206" s="4">
        <v>0</v>
      </c>
      <c r="V206" s="4">
        <v>0</v>
      </c>
      <c r="W206" s="4">
        <v>0</v>
      </c>
      <c r="X206" s="4">
        <v>18.947787615</v>
      </c>
      <c r="Y206" s="4">
        <v>132.634513</v>
      </c>
      <c r="Z206" s="4">
        <v>19.571428614511</v>
      </c>
      <c r="AA206" s="4">
        <v>8.142857161167</v>
      </c>
      <c r="AB206" s="4">
        <v>8.142857161167</v>
      </c>
      <c r="AC206" s="4">
        <v>7.142857161167</v>
      </c>
      <c r="AD206" s="4">
        <v>0</v>
      </c>
      <c r="AE206" s="4">
        <v>0.285714284637</v>
      </c>
      <c r="AF206" s="4">
        <v>4.5</v>
      </c>
      <c r="AG206" s="4">
        <v>15</v>
      </c>
      <c r="AH206" s="4">
        <v>6</v>
      </c>
      <c r="AI206" s="4">
        <v>284.216814</v>
      </c>
      <c r="AJ206" s="3" t="s">
        <v>1033</v>
      </c>
      <c r="AK206" s="4">
        <v>7</v>
      </c>
      <c r="AL206" s="4">
        <v>0</v>
      </c>
      <c r="AM206" s="6">
        <v>46126</v>
      </c>
      <c r="AN206" s="6"/>
      <c r="AO206" s="3" t="s">
        <v>1034</v>
      </c>
      <c r="AP206" s="3" t="s">
        <v>937</v>
      </c>
      <c r="AQ206" s="4"/>
      <c r="AR206" s="4"/>
      <c r="AS206" s="2"/>
    </row>
    <row r="207" ht="16.5" hidden="1" spans="1:45">
      <c r="A207" s="3" t="s">
        <v>267</v>
      </c>
      <c r="B207" s="3" t="s">
        <v>1030</v>
      </c>
      <c r="C207" s="3" t="s">
        <v>935</v>
      </c>
      <c r="D207" s="3" t="s">
        <v>1031</v>
      </c>
      <c r="E207" s="3" t="s">
        <v>1032</v>
      </c>
      <c r="F207" s="4">
        <v>53</v>
      </c>
      <c r="G207" s="4">
        <v>0</v>
      </c>
      <c r="H207" s="4">
        <v>0</v>
      </c>
      <c r="I207" s="4">
        <v>0</v>
      </c>
      <c r="J207" s="4">
        <v>3</v>
      </c>
      <c r="K207" s="4">
        <v>56</v>
      </c>
      <c r="L207" s="4">
        <v>0</v>
      </c>
      <c r="M207" s="5">
        <v>56</v>
      </c>
      <c r="N207" s="4">
        <v>1682.824779</v>
      </c>
      <c r="O207" s="4">
        <v>1682.824779</v>
      </c>
      <c r="P207" s="4">
        <v>4</v>
      </c>
      <c r="Q207" s="4">
        <v>13</v>
      </c>
      <c r="R207" s="4">
        <v>33</v>
      </c>
      <c r="S207" s="4">
        <v>23</v>
      </c>
      <c r="T207" s="4">
        <v>7</v>
      </c>
      <c r="U207" s="4">
        <v>0</v>
      </c>
      <c r="V207" s="4">
        <v>0</v>
      </c>
      <c r="W207" s="4">
        <v>0</v>
      </c>
      <c r="X207" s="4">
        <v>30.050442477</v>
      </c>
      <c r="Y207" s="4">
        <v>991.664602</v>
      </c>
      <c r="Z207" s="4">
        <v>1.696969696816</v>
      </c>
      <c r="AA207" s="4">
        <v>1.696969696816</v>
      </c>
      <c r="AB207" s="4">
        <v>1.606060606366</v>
      </c>
      <c r="AC207" s="4">
        <v>1.606060605357</v>
      </c>
      <c r="AD207" s="4">
        <v>0</v>
      </c>
      <c r="AE207" s="4">
        <v>0</v>
      </c>
      <c r="AF207" s="4">
        <v>4.5</v>
      </c>
      <c r="AG207" s="4">
        <v>0</v>
      </c>
      <c r="AH207" s="4">
        <v>6</v>
      </c>
      <c r="AI207" s="4">
        <v>0</v>
      </c>
      <c r="AJ207" s="3" t="s">
        <v>1033</v>
      </c>
      <c r="AK207" s="4">
        <v>33</v>
      </c>
      <c r="AL207" s="4">
        <v>0</v>
      </c>
      <c r="AM207" s="6">
        <v>46164</v>
      </c>
      <c r="AN207" s="6"/>
      <c r="AO207" s="3" t="s">
        <v>1034</v>
      </c>
      <c r="AP207" s="3" t="s">
        <v>937</v>
      </c>
      <c r="AQ207" s="4"/>
      <c r="AR207" s="4"/>
      <c r="AS207" s="2"/>
    </row>
    <row r="208" ht="16.5" hidden="1" spans="1:45">
      <c r="A208" s="3" t="s">
        <v>798</v>
      </c>
      <c r="B208" s="3" t="s">
        <v>1030</v>
      </c>
      <c r="C208" s="3" t="s">
        <v>935</v>
      </c>
      <c r="D208" s="3" t="s">
        <v>1031</v>
      </c>
      <c r="E208" s="3" t="s">
        <v>1032</v>
      </c>
      <c r="F208" s="4">
        <v>48</v>
      </c>
      <c r="G208" s="4">
        <v>0</v>
      </c>
      <c r="H208" s="4">
        <v>0</v>
      </c>
      <c r="I208" s="4">
        <v>6</v>
      </c>
      <c r="J208" s="4">
        <v>0</v>
      </c>
      <c r="K208" s="4">
        <v>54</v>
      </c>
      <c r="L208" s="4">
        <v>320</v>
      </c>
      <c r="M208" s="5">
        <v>374</v>
      </c>
      <c r="N208" s="4">
        <v>965.548673</v>
      </c>
      <c r="O208" s="4">
        <v>6687.318585</v>
      </c>
      <c r="P208" s="4">
        <v>11</v>
      </c>
      <c r="Q208" s="4">
        <v>25</v>
      </c>
      <c r="R208" s="4">
        <v>122</v>
      </c>
      <c r="S208" s="4">
        <v>33</v>
      </c>
      <c r="T208" s="4">
        <v>26</v>
      </c>
      <c r="U208" s="4">
        <v>0</v>
      </c>
      <c r="V208" s="4">
        <v>0</v>
      </c>
      <c r="W208" s="4">
        <v>0</v>
      </c>
      <c r="X208" s="4">
        <v>17.880530976</v>
      </c>
      <c r="Y208" s="4">
        <v>2181.424779</v>
      </c>
      <c r="Z208" s="4">
        <v>3.065573770581</v>
      </c>
      <c r="AA208" s="4">
        <v>0.442622950969</v>
      </c>
      <c r="AB208" s="4">
        <v>0.442622950969</v>
      </c>
      <c r="AC208" s="4">
        <v>0.393442623033</v>
      </c>
      <c r="AD208" s="4">
        <v>0</v>
      </c>
      <c r="AE208" s="4">
        <v>0.049180327936</v>
      </c>
      <c r="AF208" s="4">
        <v>4.5</v>
      </c>
      <c r="AG208" s="4">
        <v>0</v>
      </c>
      <c r="AH208" s="4">
        <v>6</v>
      </c>
      <c r="AI208" s="4">
        <v>0</v>
      </c>
      <c r="AJ208" s="3" t="s">
        <v>1033</v>
      </c>
      <c r="AK208" s="4">
        <v>122</v>
      </c>
      <c r="AL208" s="4">
        <v>0</v>
      </c>
      <c r="AM208" s="6">
        <v>46102</v>
      </c>
      <c r="AN208" s="6"/>
      <c r="AO208" s="3" t="s">
        <v>1034</v>
      </c>
      <c r="AP208" s="3" t="s">
        <v>937</v>
      </c>
      <c r="AQ208" s="4"/>
      <c r="AR208" s="4"/>
      <c r="AS208" s="2"/>
    </row>
    <row r="209" ht="16.5" hidden="1" spans="1:45">
      <c r="A209" s="3" t="s">
        <v>545</v>
      </c>
      <c r="B209" s="3" t="s">
        <v>1030</v>
      </c>
      <c r="C209" s="3" t="s">
        <v>935</v>
      </c>
      <c r="D209" s="3" t="s">
        <v>1031</v>
      </c>
      <c r="E209" s="3" t="s">
        <v>1032</v>
      </c>
      <c r="F209" s="4">
        <v>3</v>
      </c>
      <c r="G209" s="4">
        <v>50</v>
      </c>
      <c r="H209" s="4">
        <v>0</v>
      </c>
      <c r="I209" s="4">
        <v>0</v>
      </c>
      <c r="J209" s="4">
        <v>0</v>
      </c>
      <c r="K209" s="4">
        <v>53</v>
      </c>
      <c r="L209" s="4">
        <v>384</v>
      </c>
      <c r="M209" s="5">
        <v>437</v>
      </c>
      <c r="N209" s="4">
        <v>1033.785152</v>
      </c>
      <c r="O209" s="4">
        <v>8523.851155</v>
      </c>
      <c r="P209" s="4">
        <v>1</v>
      </c>
      <c r="Q209" s="4">
        <v>16</v>
      </c>
      <c r="R209" s="4">
        <v>94</v>
      </c>
      <c r="S209" s="4">
        <v>45</v>
      </c>
      <c r="T209" s="4">
        <v>39</v>
      </c>
      <c r="U209" s="4">
        <v>0</v>
      </c>
      <c r="V209" s="4">
        <v>0</v>
      </c>
      <c r="W209" s="4">
        <v>56</v>
      </c>
      <c r="X209" s="4">
        <v>19.505380217</v>
      </c>
      <c r="Y209" s="4">
        <v>1833.50574</v>
      </c>
      <c r="Z209" s="4">
        <v>4.648936171315</v>
      </c>
      <c r="AA209" s="4">
        <v>0.563829787628</v>
      </c>
      <c r="AB209" s="4">
        <v>0.563829787628</v>
      </c>
      <c r="AC209" s="4">
        <v>0.031914893814</v>
      </c>
      <c r="AD209" s="4">
        <v>0</v>
      </c>
      <c r="AE209" s="4">
        <v>0</v>
      </c>
      <c r="AF209" s="4">
        <v>4.5</v>
      </c>
      <c r="AG209" s="4">
        <v>0</v>
      </c>
      <c r="AH209" s="4">
        <v>6</v>
      </c>
      <c r="AI209" s="4">
        <v>0</v>
      </c>
      <c r="AJ209" s="3" t="s">
        <v>1036</v>
      </c>
      <c r="AK209" s="4">
        <v>94</v>
      </c>
      <c r="AL209" s="4">
        <v>0</v>
      </c>
      <c r="AM209" s="6">
        <v>46110</v>
      </c>
      <c r="AN209" s="6"/>
      <c r="AO209" s="3" t="s">
        <v>1034</v>
      </c>
      <c r="AP209" s="3" t="s">
        <v>937</v>
      </c>
      <c r="AQ209" s="4"/>
      <c r="AR209" s="4"/>
      <c r="AS209" s="2"/>
    </row>
    <row r="210" ht="16.5" hidden="1" spans="1:45">
      <c r="A210" s="3" t="s">
        <v>890</v>
      </c>
      <c r="B210" s="3" t="s">
        <v>1030</v>
      </c>
      <c r="C210" s="3" t="s">
        <v>935</v>
      </c>
      <c r="D210" s="3" t="s">
        <v>1031</v>
      </c>
      <c r="E210" s="3" t="s">
        <v>1032</v>
      </c>
      <c r="F210" s="4">
        <v>46</v>
      </c>
      <c r="G210" s="4">
        <v>5</v>
      </c>
      <c r="H210" s="4">
        <v>0</v>
      </c>
      <c r="I210" s="4">
        <v>0</v>
      </c>
      <c r="J210" s="4">
        <v>1</v>
      </c>
      <c r="K210" s="4">
        <v>52</v>
      </c>
      <c r="L210" s="4">
        <v>70</v>
      </c>
      <c r="M210" s="5">
        <v>122</v>
      </c>
      <c r="N210" s="4">
        <v>1037.469026</v>
      </c>
      <c r="O210" s="4">
        <v>2434.061947</v>
      </c>
      <c r="P210" s="4">
        <v>2</v>
      </c>
      <c r="Q210" s="4">
        <v>8</v>
      </c>
      <c r="R210" s="4">
        <v>15</v>
      </c>
      <c r="S210" s="4">
        <v>14</v>
      </c>
      <c r="T210" s="4">
        <v>28</v>
      </c>
      <c r="U210" s="4">
        <v>0</v>
      </c>
      <c r="V210" s="4">
        <v>0</v>
      </c>
      <c r="W210" s="4">
        <v>0</v>
      </c>
      <c r="X210" s="4">
        <v>19.951327431</v>
      </c>
      <c r="Y210" s="4">
        <v>299.269911</v>
      </c>
      <c r="Z210" s="4">
        <v>8.133333347367</v>
      </c>
      <c r="AA210" s="4">
        <v>3.466666670676</v>
      </c>
      <c r="AB210" s="4">
        <v>3.400000005346</v>
      </c>
      <c r="AC210" s="4">
        <v>3.066666672013</v>
      </c>
      <c r="AD210" s="4">
        <v>0</v>
      </c>
      <c r="AE210" s="4">
        <v>0</v>
      </c>
      <c r="AF210" s="4">
        <v>4.5</v>
      </c>
      <c r="AG210" s="4">
        <v>0</v>
      </c>
      <c r="AH210" s="4">
        <v>6</v>
      </c>
      <c r="AI210" s="4">
        <v>0</v>
      </c>
      <c r="AJ210" s="3" t="s">
        <v>1033</v>
      </c>
      <c r="AK210" s="4">
        <v>15</v>
      </c>
      <c r="AL210" s="4">
        <v>0</v>
      </c>
      <c r="AM210" s="6">
        <v>46108</v>
      </c>
      <c r="AN210" s="6"/>
      <c r="AO210" s="3" t="s">
        <v>1034</v>
      </c>
      <c r="AP210" s="3" t="s">
        <v>937</v>
      </c>
      <c r="AQ210" s="4"/>
      <c r="AR210" s="4"/>
      <c r="AS210" s="2"/>
    </row>
    <row r="211" ht="16.5" hidden="1" spans="1:45">
      <c r="A211" s="3" t="s">
        <v>358</v>
      </c>
      <c r="B211" s="3" t="s">
        <v>1030</v>
      </c>
      <c r="C211" s="3" t="s">
        <v>935</v>
      </c>
      <c r="D211" s="3" t="s">
        <v>1031</v>
      </c>
      <c r="E211" s="3" t="s">
        <v>1032</v>
      </c>
      <c r="F211" s="4">
        <v>43</v>
      </c>
      <c r="G211" s="4">
        <v>0</v>
      </c>
      <c r="H211" s="4">
        <v>0</v>
      </c>
      <c r="I211" s="4">
        <v>0</v>
      </c>
      <c r="J211" s="4">
        <v>9</v>
      </c>
      <c r="K211" s="4">
        <v>52</v>
      </c>
      <c r="L211" s="4">
        <v>380</v>
      </c>
      <c r="M211" s="5">
        <v>432</v>
      </c>
      <c r="N211" s="4">
        <v>720.637168</v>
      </c>
      <c r="O211" s="4">
        <v>5986.831859</v>
      </c>
      <c r="P211" s="4">
        <v>12</v>
      </c>
      <c r="Q211" s="4">
        <v>26</v>
      </c>
      <c r="R211" s="4">
        <v>67</v>
      </c>
      <c r="S211" s="4">
        <v>79</v>
      </c>
      <c r="T211" s="4">
        <v>38</v>
      </c>
      <c r="U211" s="4">
        <v>0</v>
      </c>
      <c r="V211" s="4">
        <v>0</v>
      </c>
      <c r="W211" s="4">
        <v>0</v>
      </c>
      <c r="X211" s="4">
        <v>13.858407081</v>
      </c>
      <c r="Y211" s="4">
        <v>928.513274</v>
      </c>
      <c r="Z211" s="4">
        <v>6.447761197003</v>
      </c>
      <c r="AA211" s="4">
        <v>0.776119403113</v>
      </c>
      <c r="AB211" s="4">
        <v>0.641791044551</v>
      </c>
      <c r="AC211" s="4">
        <v>0.641791044551</v>
      </c>
      <c r="AD211" s="4">
        <v>0</v>
      </c>
      <c r="AE211" s="4">
        <v>0</v>
      </c>
      <c r="AF211" s="4">
        <v>4.5</v>
      </c>
      <c r="AG211" s="4">
        <v>0</v>
      </c>
      <c r="AH211" s="4">
        <v>6</v>
      </c>
      <c r="AI211" s="4">
        <v>0</v>
      </c>
      <c r="AJ211" s="3" t="s">
        <v>1033</v>
      </c>
      <c r="AK211" s="4">
        <v>67</v>
      </c>
      <c r="AL211" s="4">
        <v>0</v>
      </c>
      <c r="AM211" s="6">
        <v>46101</v>
      </c>
      <c r="AN211" s="6"/>
      <c r="AO211" s="3" t="s">
        <v>1034</v>
      </c>
      <c r="AP211" s="3" t="s">
        <v>937</v>
      </c>
      <c r="AQ211" s="4"/>
      <c r="AR211" s="4"/>
      <c r="AS211" s="2"/>
    </row>
    <row r="212" ht="16.5" hidden="1" spans="1:45">
      <c r="A212" s="3" t="s">
        <v>155</v>
      </c>
      <c r="B212" s="3" t="s">
        <v>1030</v>
      </c>
      <c r="C212" s="3" t="s">
        <v>935</v>
      </c>
      <c r="D212" s="3" t="s">
        <v>1031</v>
      </c>
      <c r="E212" s="3" t="s">
        <v>1032</v>
      </c>
      <c r="F212" s="4">
        <v>43</v>
      </c>
      <c r="G212" s="4">
        <v>0</v>
      </c>
      <c r="H212" s="4">
        <v>0</v>
      </c>
      <c r="I212" s="4">
        <v>4</v>
      </c>
      <c r="J212" s="4">
        <v>4</v>
      </c>
      <c r="K212" s="4">
        <v>51</v>
      </c>
      <c r="L212" s="4">
        <v>0</v>
      </c>
      <c r="M212" s="5">
        <v>51</v>
      </c>
      <c r="N212" s="4">
        <v>832.29292</v>
      </c>
      <c r="O212" s="4">
        <v>832.29292</v>
      </c>
      <c r="P212" s="4">
        <v>5</v>
      </c>
      <c r="Q212" s="4">
        <v>5</v>
      </c>
      <c r="R212" s="4">
        <v>5</v>
      </c>
      <c r="S212" s="4">
        <v>1</v>
      </c>
      <c r="T212" s="4">
        <v>2</v>
      </c>
      <c r="U212" s="4">
        <v>0</v>
      </c>
      <c r="V212" s="4">
        <v>0</v>
      </c>
      <c r="W212" s="4">
        <v>0</v>
      </c>
      <c r="X212" s="4">
        <v>16.319469024</v>
      </c>
      <c r="Y212" s="4">
        <v>81.597345</v>
      </c>
      <c r="Z212" s="4">
        <v>10.200000012255</v>
      </c>
      <c r="AA212" s="4">
        <v>10.200000012255</v>
      </c>
      <c r="AB212" s="4">
        <v>9.400000012255</v>
      </c>
      <c r="AC212" s="4">
        <v>8.600000012255</v>
      </c>
      <c r="AD212" s="4">
        <v>0</v>
      </c>
      <c r="AE212" s="4">
        <v>0.8</v>
      </c>
      <c r="AF212" s="4">
        <v>4.5</v>
      </c>
      <c r="AG212" s="4">
        <v>21</v>
      </c>
      <c r="AH212" s="4">
        <v>6</v>
      </c>
      <c r="AI212" s="4">
        <v>342.70885</v>
      </c>
      <c r="AJ212" s="3" t="s">
        <v>1033</v>
      </c>
      <c r="AK212" s="4">
        <v>5</v>
      </c>
      <c r="AL212" s="4">
        <v>0</v>
      </c>
      <c r="AM212" s="6">
        <v>46102</v>
      </c>
      <c r="AN212" s="6"/>
      <c r="AO212" s="3" t="s">
        <v>1034</v>
      </c>
      <c r="AP212" s="3" t="s">
        <v>937</v>
      </c>
      <c r="AQ212" s="4"/>
      <c r="AR212" s="4"/>
      <c r="AS212" s="2"/>
    </row>
    <row r="213" ht="16.5" hidden="1" spans="1:45">
      <c r="A213" s="3" t="s">
        <v>314</v>
      </c>
      <c r="B213" s="3" t="s">
        <v>1030</v>
      </c>
      <c r="C213" s="3" t="s">
        <v>935</v>
      </c>
      <c r="D213" s="3" t="s">
        <v>1031</v>
      </c>
      <c r="E213" s="3" t="s">
        <v>1032</v>
      </c>
      <c r="F213" s="4">
        <v>41</v>
      </c>
      <c r="G213" s="4">
        <v>0</v>
      </c>
      <c r="H213" s="4">
        <v>0</v>
      </c>
      <c r="I213" s="4">
        <v>0</v>
      </c>
      <c r="J213" s="4">
        <v>1</v>
      </c>
      <c r="K213" s="4">
        <v>42</v>
      </c>
      <c r="L213" s="4">
        <v>260</v>
      </c>
      <c r="M213" s="5">
        <v>302</v>
      </c>
      <c r="N213" s="4">
        <v>894.153982</v>
      </c>
      <c r="O213" s="4">
        <v>6429.392921</v>
      </c>
      <c r="P213" s="4">
        <v>10</v>
      </c>
      <c r="Q213" s="4">
        <v>25</v>
      </c>
      <c r="R213" s="4">
        <v>44</v>
      </c>
      <c r="S213" s="4">
        <v>59</v>
      </c>
      <c r="T213" s="4">
        <v>15</v>
      </c>
      <c r="U213" s="4">
        <v>0</v>
      </c>
      <c r="V213" s="4">
        <v>0</v>
      </c>
      <c r="W213" s="4">
        <v>0</v>
      </c>
      <c r="X213" s="4">
        <v>21.289380534</v>
      </c>
      <c r="Y213" s="4">
        <v>936.732743</v>
      </c>
      <c r="Z213" s="4">
        <v>6.863636366984</v>
      </c>
      <c r="AA213" s="4">
        <v>0.954545454593</v>
      </c>
      <c r="AB213" s="4">
        <v>0.931818181357</v>
      </c>
      <c r="AC213" s="4">
        <v>0.931818182424</v>
      </c>
      <c r="AD213" s="4">
        <v>0</v>
      </c>
      <c r="AE213" s="4">
        <v>0</v>
      </c>
      <c r="AF213" s="4">
        <v>4.5</v>
      </c>
      <c r="AG213" s="4">
        <v>0</v>
      </c>
      <c r="AH213" s="4">
        <v>6</v>
      </c>
      <c r="AI213" s="4">
        <v>0</v>
      </c>
      <c r="AJ213" s="3" t="s">
        <v>1033</v>
      </c>
      <c r="AK213" s="4">
        <v>44</v>
      </c>
      <c r="AL213" s="4">
        <v>0</v>
      </c>
      <c r="AM213" s="6">
        <v>46159</v>
      </c>
      <c r="AN213" s="6"/>
      <c r="AO213" s="3" t="s">
        <v>1034</v>
      </c>
      <c r="AP213" s="3" t="s">
        <v>937</v>
      </c>
      <c r="AQ213" s="4"/>
      <c r="AR213" s="4"/>
      <c r="AS213" s="2"/>
    </row>
    <row r="214" ht="16.5" spans="1:45">
      <c r="A214" s="3" t="s">
        <v>874</v>
      </c>
      <c r="B214" s="3" t="s">
        <v>1030</v>
      </c>
      <c r="C214" s="3" t="s">
        <v>935</v>
      </c>
      <c r="D214" s="3" t="s">
        <v>1031</v>
      </c>
      <c r="E214" s="3" t="s">
        <v>1032</v>
      </c>
      <c r="F214" s="4">
        <v>3</v>
      </c>
      <c r="G214" s="4">
        <v>26</v>
      </c>
      <c r="H214" s="4">
        <v>0</v>
      </c>
      <c r="I214" s="4">
        <v>6</v>
      </c>
      <c r="J214" s="4">
        <v>5</v>
      </c>
      <c r="K214" s="4">
        <v>40</v>
      </c>
      <c r="L214" s="4">
        <v>457</v>
      </c>
      <c r="M214" s="5">
        <v>497</v>
      </c>
      <c r="N214" s="4">
        <v>805.699115</v>
      </c>
      <c r="O214" s="4">
        <v>10010.811503</v>
      </c>
      <c r="P214" s="4">
        <v>8</v>
      </c>
      <c r="Q214" s="4">
        <v>22</v>
      </c>
      <c r="R214" s="4">
        <v>51</v>
      </c>
      <c r="S214" s="4">
        <v>106</v>
      </c>
      <c r="T214" s="4">
        <v>122</v>
      </c>
      <c r="U214" s="4">
        <v>0</v>
      </c>
      <c r="V214" s="4">
        <v>0</v>
      </c>
      <c r="W214" s="4">
        <v>29</v>
      </c>
      <c r="X214" s="4">
        <v>20.142477873</v>
      </c>
      <c r="Y214" s="4">
        <v>1027.266372</v>
      </c>
      <c r="Z214" s="4">
        <v>9.745098034806</v>
      </c>
      <c r="AA214" s="4">
        <v>0.784313725203</v>
      </c>
      <c r="AB214" s="4">
        <v>0.686274509918</v>
      </c>
      <c r="AC214" s="4">
        <v>0.058823529755</v>
      </c>
      <c r="AD214" s="4">
        <v>0</v>
      </c>
      <c r="AE214" s="4">
        <v>0.117647058537</v>
      </c>
      <c r="AF214" s="4">
        <v>4.5</v>
      </c>
      <c r="AG214" s="4">
        <v>0</v>
      </c>
      <c r="AH214" s="4">
        <v>6</v>
      </c>
      <c r="AI214" s="4">
        <v>0</v>
      </c>
      <c r="AJ214" s="3" t="s">
        <v>1033</v>
      </c>
      <c r="AK214" s="4">
        <v>51</v>
      </c>
      <c r="AL214" s="4">
        <v>0</v>
      </c>
      <c r="AM214" s="6">
        <v>46126</v>
      </c>
      <c r="AN214" s="6"/>
      <c r="AO214" s="3" t="s">
        <v>1034</v>
      </c>
      <c r="AP214" s="3" t="s">
        <v>937</v>
      </c>
      <c r="AQ214" s="4"/>
      <c r="AR214" s="4"/>
      <c r="AS214" s="2"/>
    </row>
    <row r="215" ht="16.5" spans="1:45">
      <c r="A215" s="3" t="s">
        <v>454</v>
      </c>
      <c r="B215" s="3" t="s">
        <v>1030</v>
      </c>
      <c r="C215" s="3" t="s">
        <v>935</v>
      </c>
      <c r="D215" s="3" t="s">
        <v>1031</v>
      </c>
      <c r="E215" s="3" t="s">
        <v>1032</v>
      </c>
      <c r="F215" s="4">
        <v>17</v>
      </c>
      <c r="G215" s="4">
        <v>10</v>
      </c>
      <c r="H215" s="4">
        <v>0</v>
      </c>
      <c r="I215" s="4">
        <v>0</v>
      </c>
      <c r="J215" s="4">
        <v>10</v>
      </c>
      <c r="K215" s="4">
        <v>37</v>
      </c>
      <c r="L215" s="4">
        <v>207</v>
      </c>
      <c r="M215" s="5">
        <v>244</v>
      </c>
      <c r="N215" s="4">
        <v>750.576106</v>
      </c>
      <c r="O215" s="4">
        <v>4949.745133</v>
      </c>
      <c r="P215" s="4">
        <v>15</v>
      </c>
      <c r="Q215" s="4">
        <v>25</v>
      </c>
      <c r="R215" s="4">
        <v>46</v>
      </c>
      <c r="S215" s="4">
        <v>36</v>
      </c>
      <c r="T215" s="4">
        <v>42</v>
      </c>
      <c r="U215" s="4">
        <v>0</v>
      </c>
      <c r="V215" s="4">
        <v>0</v>
      </c>
      <c r="W215" s="4">
        <v>29</v>
      </c>
      <c r="X215" s="4">
        <v>20.285840709</v>
      </c>
      <c r="Y215" s="4">
        <v>933.148673</v>
      </c>
      <c r="Z215" s="4">
        <v>5.304347823897</v>
      </c>
      <c r="AA215" s="4">
        <v>0.804347825504</v>
      </c>
      <c r="AB215" s="4">
        <v>0.586956521343</v>
      </c>
      <c r="AC215" s="4">
        <v>0.369565217181</v>
      </c>
      <c r="AD215" s="4">
        <v>0</v>
      </c>
      <c r="AE215" s="4">
        <v>0</v>
      </c>
      <c r="AF215" s="4">
        <v>4.5</v>
      </c>
      <c r="AG215" s="4">
        <v>0</v>
      </c>
      <c r="AH215" s="4">
        <v>6</v>
      </c>
      <c r="AI215" s="4">
        <v>0</v>
      </c>
      <c r="AJ215" s="3" t="s">
        <v>1033</v>
      </c>
      <c r="AK215" s="4">
        <v>46</v>
      </c>
      <c r="AL215" s="4">
        <v>0</v>
      </c>
      <c r="AM215" s="6">
        <v>46126</v>
      </c>
      <c r="AN215" s="6"/>
      <c r="AO215" s="3" t="s">
        <v>1034</v>
      </c>
      <c r="AP215" s="3" t="s">
        <v>937</v>
      </c>
      <c r="AQ215" s="4"/>
      <c r="AR215" s="4"/>
      <c r="AS215" s="2"/>
    </row>
    <row r="216" ht="16.5" hidden="1" spans="1:45">
      <c r="A216" s="3" t="s">
        <v>886</v>
      </c>
      <c r="B216" s="3" t="s">
        <v>1030</v>
      </c>
      <c r="C216" s="3" t="s">
        <v>935</v>
      </c>
      <c r="D216" s="3" t="s">
        <v>1031</v>
      </c>
      <c r="E216" s="3" t="s">
        <v>1032</v>
      </c>
      <c r="F216" s="4">
        <v>19</v>
      </c>
      <c r="G216" s="4">
        <v>0</v>
      </c>
      <c r="H216" s="4">
        <v>0</v>
      </c>
      <c r="I216" s="4">
        <v>0</v>
      </c>
      <c r="J216" s="4">
        <v>17</v>
      </c>
      <c r="K216" s="4">
        <v>36</v>
      </c>
      <c r="L216" s="4">
        <v>209</v>
      </c>
      <c r="M216" s="5">
        <v>245</v>
      </c>
      <c r="N216" s="4">
        <v>844.40708</v>
      </c>
      <c r="O216" s="4">
        <v>5746.659291</v>
      </c>
      <c r="P216" s="4">
        <v>16</v>
      </c>
      <c r="Q216" s="4">
        <v>36</v>
      </c>
      <c r="R216" s="4">
        <v>54</v>
      </c>
      <c r="S216" s="4">
        <v>34</v>
      </c>
      <c r="T216" s="4">
        <v>13</v>
      </c>
      <c r="U216" s="4">
        <v>0</v>
      </c>
      <c r="V216" s="4">
        <v>0</v>
      </c>
      <c r="W216" s="4">
        <v>16</v>
      </c>
      <c r="X216" s="4">
        <v>23.45575221</v>
      </c>
      <c r="Y216" s="4">
        <v>1266.610619</v>
      </c>
      <c r="Z216" s="4">
        <v>4.537037037899</v>
      </c>
      <c r="AA216" s="4">
        <v>0.666666667193</v>
      </c>
      <c r="AB216" s="4">
        <v>0.351851851954</v>
      </c>
      <c r="AC216" s="4">
        <v>0.351851851954</v>
      </c>
      <c r="AD216" s="4">
        <v>0</v>
      </c>
      <c r="AE216" s="4">
        <v>0</v>
      </c>
      <c r="AF216" s="4">
        <v>4.5</v>
      </c>
      <c r="AG216" s="4">
        <v>0</v>
      </c>
      <c r="AH216" s="4">
        <v>6</v>
      </c>
      <c r="AI216" s="4">
        <v>0</v>
      </c>
      <c r="AJ216" s="3" t="s">
        <v>1033</v>
      </c>
      <c r="AK216" s="4">
        <v>54</v>
      </c>
      <c r="AL216" s="4">
        <v>0</v>
      </c>
      <c r="AM216" s="6">
        <v>46159</v>
      </c>
      <c r="AN216" s="6"/>
      <c r="AO216" s="3" t="s">
        <v>1034</v>
      </c>
      <c r="AP216" s="3" t="s">
        <v>937</v>
      </c>
      <c r="AQ216" s="4"/>
      <c r="AR216" s="4"/>
      <c r="AS216" s="2"/>
    </row>
    <row r="217" ht="16.5" hidden="1" spans="1:45">
      <c r="A217" s="3" t="s">
        <v>908</v>
      </c>
      <c r="B217" s="3" t="s">
        <v>1030</v>
      </c>
      <c r="C217" s="3" t="s">
        <v>935</v>
      </c>
      <c r="D217" s="3" t="s">
        <v>1031</v>
      </c>
      <c r="E217" s="3" t="s">
        <v>1032</v>
      </c>
      <c r="F217" s="4">
        <v>30</v>
      </c>
      <c r="G217" s="4">
        <v>5</v>
      </c>
      <c r="H217" s="4">
        <v>0</v>
      </c>
      <c r="I217" s="4">
        <v>0</v>
      </c>
      <c r="J217" s="4">
        <v>0</v>
      </c>
      <c r="K217" s="4">
        <v>35</v>
      </c>
      <c r="L217" s="4">
        <v>300</v>
      </c>
      <c r="M217" s="5">
        <v>335</v>
      </c>
      <c r="N217" s="4">
        <v>637.247788</v>
      </c>
      <c r="O217" s="4">
        <v>6099.371683</v>
      </c>
      <c r="P217" s="4">
        <v>12</v>
      </c>
      <c r="Q217" s="4">
        <v>31</v>
      </c>
      <c r="R217" s="4">
        <v>62</v>
      </c>
      <c r="S217" s="4">
        <v>37</v>
      </c>
      <c r="T217" s="4">
        <v>40</v>
      </c>
      <c r="U217" s="4">
        <v>0</v>
      </c>
      <c r="V217" s="4">
        <v>0</v>
      </c>
      <c r="W217" s="4">
        <v>0</v>
      </c>
      <c r="X217" s="4">
        <v>18.20707965</v>
      </c>
      <c r="Y217" s="4">
        <v>1128.838938</v>
      </c>
      <c r="Z217" s="4">
        <v>5.403225808109</v>
      </c>
      <c r="AA217" s="4">
        <v>0.564516129403</v>
      </c>
      <c r="AB217" s="4">
        <v>0.564516129403</v>
      </c>
      <c r="AC217" s="4">
        <v>0.483870968313</v>
      </c>
      <c r="AD217" s="4">
        <v>0</v>
      </c>
      <c r="AE217" s="4">
        <v>0</v>
      </c>
      <c r="AF217" s="4">
        <v>4.5</v>
      </c>
      <c r="AG217" s="4">
        <v>0</v>
      </c>
      <c r="AH217" s="4">
        <v>6</v>
      </c>
      <c r="AI217" s="4">
        <v>0</v>
      </c>
      <c r="AJ217" s="3" t="s">
        <v>1033</v>
      </c>
      <c r="AK217" s="4">
        <v>62</v>
      </c>
      <c r="AL217" s="4">
        <v>0</v>
      </c>
      <c r="AM217" s="6">
        <v>46110</v>
      </c>
      <c r="AN217" s="6"/>
      <c r="AO217" s="3" t="s">
        <v>1034</v>
      </c>
      <c r="AP217" s="3" t="s">
        <v>937</v>
      </c>
      <c r="AQ217" s="4"/>
      <c r="AR217" s="4"/>
      <c r="AS217" s="2"/>
    </row>
    <row r="218" ht="16.5" hidden="1" spans="1:45">
      <c r="A218" s="3" t="s">
        <v>286</v>
      </c>
      <c r="B218" s="3" t="s">
        <v>1030</v>
      </c>
      <c r="C218" s="3" t="s">
        <v>935</v>
      </c>
      <c r="D218" s="3" t="s">
        <v>1031</v>
      </c>
      <c r="E218" s="3" t="s">
        <v>1032</v>
      </c>
      <c r="F218" s="4">
        <v>15</v>
      </c>
      <c r="G218" s="4">
        <v>0</v>
      </c>
      <c r="H218" s="4">
        <v>0</v>
      </c>
      <c r="I218" s="4">
        <v>20</v>
      </c>
      <c r="J218" s="4">
        <v>0</v>
      </c>
      <c r="K218" s="4">
        <v>35</v>
      </c>
      <c r="L218" s="4">
        <v>566</v>
      </c>
      <c r="M218" s="5">
        <v>601</v>
      </c>
      <c r="N218" s="4">
        <v>623.588496</v>
      </c>
      <c r="O218" s="4">
        <v>10707.905311</v>
      </c>
      <c r="P218" s="4">
        <v>3</v>
      </c>
      <c r="Q218" s="4">
        <v>8</v>
      </c>
      <c r="R218" s="4">
        <v>55</v>
      </c>
      <c r="S218" s="4">
        <v>102</v>
      </c>
      <c r="T218" s="4">
        <v>87</v>
      </c>
      <c r="U218" s="4">
        <v>0</v>
      </c>
      <c r="V218" s="4">
        <v>0</v>
      </c>
      <c r="W218" s="4">
        <v>0</v>
      </c>
      <c r="X218" s="4">
        <v>17.816814162</v>
      </c>
      <c r="Y218" s="4">
        <v>979.924779</v>
      </c>
      <c r="Z218" s="4">
        <v>10.927272725899</v>
      </c>
      <c r="AA218" s="4">
        <v>0.636363636641</v>
      </c>
      <c r="AB218" s="4">
        <v>0.636363636641</v>
      </c>
      <c r="AC218" s="4">
        <v>0.272727272263</v>
      </c>
      <c r="AD218" s="4">
        <v>0</v>
      </c>
      <c r="AE218" s="4">
        <v>0.363636363358</v>
      </c>
      <c r="AF218" s="4">
        <v>4.5</v>
      </c>
      <c r="AG218" s="4">
        <v>0</v>
      </c>
      <c r="AH218" s="4">
        <v>6</v>
      </c>
      <c r="AI218" s="4">
        <v>0</v>
      </c>
      <c r="AJ218" s="3" t="s">
        <v>1033</v>
      </c>
      <c r="AK218" s="4">
        <v>55</v>
      </c>
      <c r="AL218" s="4">
        <v>0</v>
      </c>
      <c r="AM218" s="6">
        <v>46101</v>
      </c>
      <c r="AN218" s="6"/>
      <c r="AO218" s="3" t="s">
        <v>1034</v>
      </c>
      <c r="AP218" s="3" t="s">
        <v>937</v>
      </c>
      <c r="AQ218" s="4"/>
      <c r="AR218" s="4"/>
      <c r="AS218" s="2"/>
    </row>
    <row r="219" ht="16.5" hidden="1" spans="1:45">
      <c r="A219" s="3" t="s">
        <v>183</v>
      </c>
      <c r="B219" s="3" t="s">
        <v>1030</v>
      </c>
      <c r="C219" s="3" t="s">
        <v>935</v>
      </c>
      <c r="D219" s="3" t="s">
        <v>1031</v>
      </c>
      <c r="E219" s="3" t="s">
        <v>1032</v>
      </c>
      <c r="F219" s="4">
        <v>31</v>
      </c>
      <c r="G219" s="4">
        <v>0</v>
      </c>
      <c r="H219" s="4">
        <v>0</v>
      </c>
      <c r="I219" s="4">
        <v>0</v>
      </c>
      <c r="J219" s="4">
        <v>1</v>
      </c>
      <c r="K219" s="4">
        <v>32</v>
      </c>
      <c r="L219" s="4">
        <v>412</v>
      </c>
      <c r="M219" s="5">
        <v>444</v>
      </c>
      <c r="N219" s="4">
        <v>563.00177</v>
      </c>
      <c r="O219" s="4">
        <v>7811.649559</v>
      </c>
      <c r="P219" s="4">
        <v>27</v>
      </c>
      <c r="Q219" s="4">
        <v>41</v>
      </c>
      <c r="R219" s="4">
        <v>84</v>
      </c>
      <c r="S219" s="4">
        <v>56</v>
      </c>
      <c r="T219" s="4">
        <v>19</v>
      </c>
      <c r="U219" s="4">
        <v>0</v>
      </c>
      <c r="V219" s="4">
        <v>0</v>
      </c>
      <c r="W219" s="4">
        <v>0</v>
      </c>
      <c r="X219" s="4">
        <v>17.593805313</v>
      </c>
      <c r="Y219" s="4">
        <v>1477.879646</v>
      </c>
      <c r="Z219" s="4">
        <v>5.285714286777</v>
      </c>
      <c r="AA219" s="4">
        <v>0.380952381016</v>
      </c>
      <c r="AB219" s="4">
        <v>0.369047619321</v>
      </c>
      <c r="AC219" s="4">
        <v>0.369047619321</v>
      </c>
      <c r="AD219" s="4">
        <v>0</v>
      </c>
      <c r="AE219" s="4">
        <v>0</v>
      </c>
      <c r="AF219" s="4">
        <v>4.5</v>
      </c>
      <c r="AG219" s="4">
        <v>0</v>
      </c>
      <c r="AH219" s="4">
        <v>6</v>
      </c>
      <c r="AI219" s="4">
        <v>0</v>
      </c>
      <c r="AJ219" s="3" t="s">
        <v>1033</v>
      </c>
      <c r="AK219" s="4">
        <v>84</v>
      </c>
      <c r="AL219" s="4">
        <v>0</v>
      </c>
      <c r="AM219" s="6">
        <v>46162</v>
      </c>
      <c r="AN219" s="6"/>
      <c r="AO219" s="3" t="s">
        <v>1034</v>
      </c>
      <c r="AP219" s="3" t="s">
        <v>937</v>
      </c>
      <c r="AQ219" s="4"/>
      <c r="AR219" s="4"/>
      <c r="AS219" s="2"/>
    </row>
    <row r="220" ht="16.5" hidden="1" spans="1:45">
      <c r="A220" s="3" t="s">
        <v>227</v>
      </c>
      <c r="B220" s="3" t="s">
        <v>1030</v>
      </c>
      <c r="C220" s="3" t="s">
        <v>935</v>
      </c>
      <c r="D220" s="3" t="s">
        <v>1031</v>
      </c>
      <c r="E220" s="3" t="s">
        <v>1032</v>
      </c>
      <c r="F220" s="4">
        <v>17</v>
      </c>
      <c r="G220" s="4">
        <v>0</v>
      </c>
      <c r="H220" s="4">
        <v>0</v>
      </c>
      <c r="I220" s="4">
        <v>10</v>
      </c>
      <c r="J220" s="4">
        <v>0</v>
      </c>
      <c r="K220" s="4">
        <v>27</v>
      </c>
      <c r="L220" s="4">
        <v>530</v>
      </c>
      <c r="M220" s="5">
        <v>557</v>
      </c>
      <c r="N220" s="4">
        <v>453.528318</v>
      </c>
      <c r="O220" s="4">
        <v>9356.121237</v>
      </c>
      <c r="P220" s="4">
        <v>19</v>
      </c>
      <c r="Q220" s="4">
        <v>44</v>
      </c>
      <c r="R220" s="4">
        <v>100</v>
      </c>
      <c r="S220" s="4">
        <v>70</v>
      </c>
      <c r="T220" s="4">
        <v>59</v>
      </c>
      <c r="U220" s="4">
        <v>0</v>
      </c>
      <c r="V220" s="4">
        <v>0</v>
      </c>
      <c r="W220" s="4">
        <v>0</v>
      </c>
      <c r="X220" s="4">
        <v>16.797345129</v>
      </c>
      <c r="Y220" s="4">
        <v>1679.734513</v>
      </c>
      <c r="Z220" s="4">
        <v>5.569999999755</v>
      </c>
      <c r="AA220" s="4">
        <v>0.269999999696</v>
      </c>
      <c r="AB220" s="4">
        <v>0.269999999696</v>
      </c>
      <c r="AC220" s="4">
        <v>0.169999999874</v>
      </c>
      <c r="AD220" s="4">
        <v>0</v>
      </c>
      <c r="AE220" s="4">
        <v>0.099999999821</v>
      </c>
      <c r="AF220" s="4">
        <v>4.5</v>
      </c>
      <c r="AG220" s="4">
        <v>0</v>
      </c>
      <c r="AH220" s="4">
        <v>6</v>
      </c>
      <c r="AI220" s="4">
        <v>0</v>
      </c>
      <c r="AJ220" s="3" t="s">
        <v>1033</v>
      </c>
      <c r="AK220" s="4">
        <v>100</v>
      </c>
      <c r="AL220" s="4">
        <v>0</v>
      </c>
      <c r="AM220" s="6">
        <v>46110</v>
      </c>
      <c r="AN220" s="6"/>
      <c r="AO220" s="3" t="s">
        <v>1034</v>
      </c>
      <c r="AP220" s="3" t="s">
        <v>937</v>
      </c>
      <c r="AQ220" s="4"/>
      <c r="AR220" s="4"/>
      <c r="AS220" s="2"/>
    </row>
    <row r="221" ht="16.5" hidden="1" spans="1:45">
      <c r="A221" s="3" t="s">
        <v>278</v>
      </c>
      <c r="B221" s="3" t="s">
        <v>1030</v>
      </c>
      <c r="C221" s="3" t="s">
        <v>935</v>
      </c>
      <c r="D221" s="3" t="s">
        <v>1031</v>
      </c>
      <c r="E221" s="3" t="s">
        <v>1032</v>
      </c>
      <c r="F221" s="4">
        <v>20</v>
      </c>
      <c r="G221" s="4">
        <v>0</v>
      </c>
      <c r="H221" s="4">
        <v>0</v>
      </c>
      <c r="I221" s="4">
        <v>4</v>
      </c>
      <c r="J221" s="4">
        <v>0</v>
      </c>
      <c r="K221" s="4">
        <v>24</v>
      </c>
      <c r="L221" s="4">
        <v>140</v>
      </c>
      <c r="M221" s="5">
        <v>164</v>
      </c>
      <c r="N221" s="4">
        <v>476.346903</v>
      </c>
      <c r="O221" s="4">
        <v>3255.037169</v>
      </c>
      <c r="P221" s="4">
        <v>3</v>
      </c>
      <c r="Q221" s="4">
        <v>9</v>
      </c>
      <c r="R221" s="4">
        <v>22</v>
      </c>
      <c r="S221" s="4">
        <v>15</v>
      </c>
      <c r="T221" s="4">
        <v>28</v>
      </c>
      <c r="U221" s="4">
        <v>0</v>
      </c>
      <c r="V221" s="4">
        <v>0</v>
      </c>
      <c r="W221" s="4">
        <v>0</v>
      </c>
      <c r="X221" s="4">
        <v>19.847787615</v>
      </c>
      <c r="Y221" s="4">
        <v>436.651328</v>
      </c>
      <c r="Z221" s="4">
        <v>7.454545446842</v>
      </c>
      <c r="AA221" s="4">
        <v>1.090909090284</v>
      </c>
      <c r="AB221" s="4">
        <v>1.090909090284</v>
      </c>
      <c r="AC221" s="4">
        <v>0.909090907425</v>
      </c>
      <c r="AD221" s="4">
        <v>0</v>
      </c>
      <c r="AE221" s="4">
        <v>0.181818180569</v>
      </c>
      <c r="AF221" s="4">
        <v>4.5</v>
      </c>
      <c r="AG221" s="4">
        <v>0</v>
      </c>
      <c r="AH221" s="4">
        <v>6</v>
      </c>
      <c r="AI221" s="4">
        <v>0</v>
      </c>
      <c r="AJ221" s="3" t="s">
        <v>1033</v>
      </c>
      <c r="AK221" s="4">
        <v>22</v>
      </c>
      <c r="AL221" s="4">
        <v>0</v>
      </c>
      <c r="AM221" s="6">
        <v>46110</v>
      </c>
      <c r="AN221" s="6"/>
      <c r="AO221" s="3" t="s">
        <v>1034</v>
      </c>
      <c r="AP221" s="3" t="s">
        <v>937</v>
      </c>
      <c r="AQ221" s="4"/>
      <c r="AR221" s="4"/>
      <c r="AS221" s="2"/>
    </row>
    <row r="222" ht="16.5" hidden="1" spans="1:45">
      <c r="A222" s="3" t="s">
        <v>378</v>
      </c>
      <c r="B222" s="3" t="s">
        <v>1030</v>
      </c>
      <c r="C222" s="3" t="s">
        <v>935</v>
      </c>
      <c r="D222" s="3" t="s">
        <v>1031</v>
      </c>
      <c r="E222" s="3" t="s">
        <v>1032</v>
      </c>
      <c r="F222" s="4">
        <v>16</v>
      </c>
      <c r="G222" s="4">
        <v>0</v>
      </c>
      <c r="H222" s="4">
        <v>0</v>
      </c>
      <c r="I222" s="4">
        <v>6</v>
      </c>
      <c r="J222" s="4">
        <v>1</v>
      </c>
      <c r="K222" s="4">
        <v>23</v>
      </c>
      <c r="L222" s="4">
        <v>370</v>
      </c>
      <c r="M222" s="5">
        <v>393</v>
      </c>
      <c r="N222" s="4">
        <v>356.113274</v>
      </c>
      <c r="O222" s="4">
        <v>6084.892034</v>
      </c>
      <c r="P222" s="4">
        <v>10</v>
      </c>
      <c r="Q222" s="4">
        <v>19</v>
      </c>
      <c r="R222" s="4">
        <v>51</v>
      </c>
      <c r="S222" s="4">
        <v>65</v>
      </c>
      <c r="T222" s="4">
        <v>78</v>
      </c>
      <c r="U222" s="4">
        <v>0</v>
      </c>
      <c r="V222" s="4">
        <v>0</v>
      </c>
      <c r="W222" s="4">
        <v>0</v>
      </c>
      <c r="X222" s="4">
        <v>15.483185838</v>
      </c>
      <c r="Y222" s="4">
        <v>789.642478</v>
      </c>
      <c r="Z222" s="4">
        <v>7.705882349961</v>
      </c>
      <c r="AA222" s="4">
        <v>0.45098039166</v>
      </c>
      <c r="AB222" s="4">
        <v>0.431372548324</v>
      </c>
      <c r="AC222" s="4">
        <v>0.313725489575</v>
      </c>
      <c r="AD222" s="4">
        <v>0</v>
      </c>
      <c r="AE222" s="4">
        <v>0.117647058749</v>
      </c>
      <c r="AF222" s="4">
        <v>4.5</v>
      </c>
      <c r="AG222" s="4">
        <v>0</v>
      </c>
      <c r="AH222" s="4">
        <v>6</v>
      </c>
      <c r="AI222" s="4">
        <v>0</v>
      </c>
      <c r="AJ222" s="3" t="s">
        <v>1033</v>
      </c>
      <c r="AK222" s="4">
        <v>51</v>
      </c>
      <c r="AL222" s="4">
        <v>0</v>
      </c>
      <c r="AM222" s="6">
        <v>46103</v>
      </c>
      <c r="AN222" s="6"/>
      <c r="AO222" s="3" t="s">
        <v>1034</v>
      </c>
      <c r="AP222" s="3" t="s">
        <v>937</v>
      </c>
      <c r="AQ222" s="4"/>
      <c r="AR222" s="4"/>
      <c r="AS222" s="2"/>
    </row>
    <row r="223" ht="16.5" hidden="1" spans="1:45">
      <c r="A223" s="3" t="s">
        <v>302</v>
      </c>
      <c r="B223" s="3" t="s">
        <v>1030</v>
      </c>
      <c r="C223" s="3" t="s">
        <v>935</v>
      </c>
      <c r="D223" s="3" t="s">
        <v>1031</v>
      </c>
      <c r="E223" s="3" t="s">
        <v>1032</v>
      </c>
      <c r="F223" s="4">
        <v>8</v>
      </c>
      <c r="G223" s="4">
        <v>10</v>
      </c>
      <c r="H223" s="4">
        <v>0</v>
      </c>
      <c r="I223" s="4">
        <v>2</v>
      </c>
      <c r="J223" s="4">
        <v>1</v>
      </c>
      <c r="K223" s="4">
        <v>21</v>
      </c>
      <c r="L223" s="4">
        <v>422</v>
      </c>
      <c r="M223" s="5">
        <v>443</v>
      </c>
      <c r="N223" s="4">
        <v>310.563905</v>
      </c>
      <c r="O223" s="4">
        <v>6551.419525</v>
      </c>
      <c r="P223" s="4">
        <v>0</v>
      </c>
      <c r="Q223" s="4">
        <v>11</v>
      </c>
      <c r="R223" s="4">
        <v>54</v>
      </c>
      <c r="S223" s="4">
        <v>75</v>
      </c>
      <c r="T223" s="4">
        <v>16</v>
      </c>
      <c r="U223" s="4">
        <v>0</v>
      </c>
      <c r="V223" s="4">
        <v>0</v>
      </c>
      <c r="W223" s="4">
        <v>18</v>
      </c>
      <c r="X223" s="4">
        <v>14.7887573934</v>
      </c>
      <c r="Y223" s="4">
        <v>798.592899</v>
      </c>
      <c r="Z223" s="4">
        <v>8.20370370586</v>
      </c>
      <c r="AA223" s="4">
        <v>0.38888888868</v>
      </c>
      <c r="AB223" s="4">
        <v>0.370370370648</v>
      </c>
      <c r="AC223" s="4">
        <v>0.148148148009</v>
      </c>
      <c r="AD223" s="4">
        <v>0</v>
      </c>
      <c r="AE223" s="4">
        <v>0.037037037315</v>
      </c>
      <c r="AF223" s="4">
        <v>4.5</v>
      </c>
      <c r="AG223" s="4">
        <v>0</v>
      </c>
      <c r="AH223" s="4">
        <v>6</v>
      </c>
      <c r="AI223" s="4">
        <v>0</v>
      </c>
      <c r="AJ223" s="3" t="s">
        <v>1033</v>
      </c>
      <c r="AK223" s="4">
        <v>54</v>
      </c>
      <c r="AL223" s="4">
        <v>0</v>
      </c>
      <c r="AM223" s="6">
        <v>46165</v>
      </c>
      <c r="AN223" s="6"/>
      <c r="AO223" s="3" t="s">
        <v>1034</v>
      </c>
      <c r="AP223" s="3" t="s">
        <v>937</v>
      </c>
      <c r="AQ223" s="4"/>
      <c r="AR223" s="4"/>
      <c r="AS223" s="2"/>
    </row>
    <row r="224" ht="16.5" hidden="1" spans="1:45">
      <c r="A224" s="3" t="s">
        <v>139</v>
      </c>
      <c r="B224" s="3" t="s">
        <v>1030</v>
      </c>
      <c r="C224" s="3" t="s">
        <v>935</v>
      </c>
      <c r="D224" s="3" t="s">
        <v>1031</v>
      </c>
      <c r="E224" s="3" t="s">
        <v>1032</v>
      </c>
      <c r="F224" s="4">
        <v>1</v>
      </c>
      <c r="G224" s="4">
        <v>16</v>
      </c>
      <c r="H224" s="4">
        <v>0</v>
      </c>
      <c r="I224" s="4">
        <v>2</v>
      </c>
      <c r="J224" s="4">
        <v>1</v>
      </c>
      <c r="K224" s="4">
        <v>20</v>
      </c>
      <c r="L224" s="4">
        <v>442</v>
      </c>
      <c r="M224" s="5">
        <v>462</v>
      </c>
      <c r="N224" s="4">
        <v>302.017699</v>
      </c>
      <c r="O224" s="4">
        <v>6976.608849</v>
      </c>
      <c r="P224" s="4">
        <v>5</v>
      </c>
      <c r="Q224" s="4">
        <v>28</v>
      </c>
      <c r="R224" s="4">
        <v>76</v>
      </c>
      <c r="S224" s="4">
        <v>74</v>
      </c>
      <c r="T224" s="4">
        <v>40</v>
      </c>
      <c r="U224" s="4">
        <v>0</v>
      </c>
      <c r="V224" s="4">
        <v>0</v>
      </c>
      <c r="W224" s="4">
        <v>8</v>
      </c>
      <c r="X224" s="4">
        <v>15.100884954</v>
      </c>
      <c r="Y224" s="4">
        <v>1147.667257</v>
      </c>
      <c r="Z224" s="4">
        <v>6.078947366013</v>
      </c>
      <c r="AA224" s="4">
        <v>0.263157894553</v>
      </c>
      <c r="AB224" s="4">
        <v>0.249999999782</v>
      </c>
      <c r="AC224" s="4">
        <v>0.013157894771</v>
      </c>
      <c r="AD224" s="4">
        <v>0</v>
      </c>
      <c r="AE224" s="4">
        <v>0.026315789542</v>
      </c>
      <c r="AF224" s="4">
        <v>4.5</v>
      </c>
      <c r="AG224" s="4">
        <v>0</v>
      </c>
      <c r="AH224" s="4">
        <v>6</v>
      </c>
      <c r="AI224" s="4">
        <v>0</v>
      </c>
      <c r="AJ224" s="3" t="s">
        <v>1033</v>
      </c>
      <c r="AK224" s="4">
        <v>76</v>
      </c>
      <c r="AL224" s="4">
        <v>0</v>
      </c>
      <c r="AM224" s="6">
        <v>46145</v>
      </c>
      <c r="AN224" s="6"/>
      <c r="AO224" s="3" t="s">
        <v>1034</v>
      </c>
      <c r="AP224" s="3" t="s">
        <v>937</v>
      </c>
      <c r="AQ224" s="4"/>
      <c r="AR224" s="4"/>
      <c r="AS224" s="2"/>
    </row>
    <row r="225" ht="16.5" spans="1:45">
      <c r="A225" s="3" t="s">
        <v>482</v>
      </c>
      <c r="B225" s="3" t="s">
        <v>1030</v>
      </c>
      <c r="C225" s="3" t="s">
        <v>935</v>
      </c>
      <c r="D225" s="3" t="s">
        <v>1031</v>
      </c>
      <c r="E225" s="3" t="s">
        <v>1032</v>
      </c>
      <c r="F225" s="4">
        <v>15</v>
      </c>
      <c r="G225" s="4">
        <v>3</v>
      </c>
      <c r="H225" s="4">
        <v>0</v>
      </c>
      <c r="I225" s="4">
        <v>0</v>
      </c>
      <c r="J225" s="4">
        <v>0</v>
      </c>
      <c r="K225" s="4">
        <v>18</v>
      </c>
      <c r="L225" s="4">
        <v>230</v>
      </c>
      <c r="M225" s="5">
        <v>248</v>
      </c>
      <c r="N225" s="4">
        <v>305.936283</v>
      </c>
      <c r="O225" s="4">
        <v>4215.122123</v>
      </c>
      <c r="P225" s="4">
        <v>1</v>
      </c>
      <c r="Q225" s="4">
        <v>8</v>
      </c>
      <c r="R225" s="4">
        <v>25</v>
      </c>
      <c r="S225" s="4">
        <v>32</v>
      </c>
      <c r="T225" s="4">
        <v>24</v>
      </c>
      <c r="U225" s="4">
        <v>0</v>
      </c>
      <c r="V225" s="4">
        <v>0</v>
      </c>
      <c r="W225" s="4">
        <v>0</v>
      </c>
      <c r="X225" s="4">
        <v>16.996460175</v>
      </c>
      <c r="Y225" s="4">
        <v>424.911504</v>
      </c>
      <c r="Z225" s="4">
        <v>9.920000007813</v>
      </c>
      <c r="AA225" s="4">
        <v>0.720000000282</v>
      </c>
      <c r="AB225" s="4">
        <v>0.720000000282</v>
      </c>
      <c r="AC225" s="4">
        <v>0.600000001412</v>
      </c>
      <c r="AD225" s="4">
        <v>0</v>
      </c>
      <c r="AE225" s="4">
        <v>0</v>
      </c>
      <c r="AF225" s="4">
        <v>4.5</v>
      </c>
      <c r="AG225" s="4">
        <v>0</v>
      </c>
      <c r="AH225" s="4">
        <v>6</v>
      </c>
      <c r="AI225" s="4">
        <v>0</v>
      </c>
      <c r="AJ225" s="3" t="s">
        <v>1033</v>
      </c>
      <c r="AK225" s="4">
        <v>25</v>
      </c>
      <c r="AL225" s="4">
        <v>0</v>
      </c>
      <c r="AM225" s="6">
        <v>46126</v>
      </c>
      <c r="AN225" s="6"/>
      <c r="AO225" s="3" t="s">
        <v>1034</v>
      </c>
      <c r="AP225" s="3" t="s">
        <v>937</v>
      </c>
      <c r="AQ225" s="4"/>
      <c r="AR225" s="4"/>
      <c r="AS225" s="2"/>
    </row>
    <row r="226" ht="16.5" hidden="1" spans="1:45">
      <c r="A226" s="3" t="s">
        <v>263</v>
      </c>
      <c r="B226" s="3" t="s">
        <v>1030</v>
      </c>
      <c r="C226" s="3" t="s">
        <v>935</v>
      </c>
      <c r="D226" s="3" t="s">
        <v>1037</v>
      </c>
      <c r="E226" s="3" t="s">
        <v>1032</v>
      </c>
      <c r="F226" s="4">
        <v>9</v>
      </c>
      <c r="G226" s="4">
        <v>0</v>
      </c>
      <c r="H226" s="4">
        <v>0</v>
      </c>
      <c r="I226" s="4">
        <v>8</v>
      </c>
      <c r="J226" s="4">
        <v>0</v>
      </c>
      <c r="K226" s="4">
        <v>17</v>
      </c>
      <c r="L226" s="4">
        <v>0</v>
      </c>
      <c r="M226" s="5">
        <v>17</v>
      </c>
      <c r="N226" s="4">
        <v>342.69292</v>
      </c>
      <c r="O226" s="4">
        <v>342.69292</v>
      </c>
      <c r="P226" s="4">
        <v>0</v>
      </c>
      <c r="Q226" s="4">
        <v>0</v>
      </c>
      <c r="R226" s="4">
        <v>0</v>
      </c>
      <c r="S226" s="4">
        <v>4</v>
      </c>
      <c r="T226" s="4">
        <v>38</v>
      </c>
      <c r="U226" s="4">
        <v>0</v>
      </c>
      <c r="V226" s="4">
        <v>0</v>
      </c>
      <c r="W226" s="4">
        <v>0</v>
      </c>
      <c r="X226" s="4">
        <v>20.158407081</v>
      </c>
      <c r="Y226" s="4">
        <v>0</v>
      </c>
      <c r="Z226" s="4"/>
      <c r="AA226" s="4"/>
      <c r="AB226" s="4"/>
      <c r="AC226" s="4"/>
      <c r="AD226" s="4"/>
      <c r="AE226" s="4"/>
      <c r="AF226" s="4">
        <v>4.5</v>
      </c>
      <c r="AG226" s="4">
        <v>17</v>
      </c>
      <c r="AH226" s="4">
        <v>6</v>
      </c>
      <c r="AI226" s="4">
        <v>342.69292</v>
      </c>
      <c r="AJ226" s="3" t="s">
        <v>1033</v>
      </c>
      <c r="AK226" s="4">
        <v>0</v>
      </c>
      <c r="AL226" s="4">
        <v>0</v>
      </c>
      <c r="AM226" s="6">
        <v>46094</v>
      </c>
      <c r="AN226" s="6"/>
      <c r="AO226" s="3" t="s">
        <v>1034</v>
      </c>
      <c r="AP226" s="3" t="s">
        <v>937</v>
      </c>
      <c r="AQ226" s="4"/>
      <c r="AR226" s="4"/>
      <c r="AS226" s="2"/>
    </row>
    <row r="227" ht="16.5" hidden="1" spans="1:45">
      <c r="A227" s="3" t="s">
        <v>251</v>
      </c>
      <c r="B227" s="3" t="s">
        <v>1030</v>
      </c>
      <c r="C227" s="3" t="s">
        <v>935</v>
      </c>
      <c r="D227" s="3" t="s">
        <v>1031</v>
      </c>
      <c r="E227" s="3" t="s">
        <v>1032</v>
      </c>
      <c r="F227" s="4">
        <v>12</v>
      </c>
      <c r="G227" s="4">
        <v>0</v>
      </c>
      <c r="H227" s="4">
        <v>0</v>
      </c>
      <c r="I227" s="4">
        <v>4</v>
      </c>
      <c r="J227" s="4">
        <v>0</v>
      </c>
      <c r="K227" s="4">
        <v>16</v>
      </c>
      <c r="L227" s="4">
        <v>230</v>
      </c>
      <c r="M227" s="5">
        <v>246</v>
      </c>
      <c r="N227" s="4">
        <v>354.39292</v>
      </c>
      <c r="O227" s="4">
        <v>5448.791151</v>
      </c>
      <c r="P227" s="4">
        <v>0</v>
      </c>
      <c r="Q227" s="4">
        <v>0</v>
      </c>
      <c r="R227" s="4">
        <v>0</v>
      </c>
      <c r="S227" s="4">
        <v>28</v>
      </c>
      <c r="T227" s="4">
        <v>43</v>
      </c>
      <c r="U227" s="4">
        <v>0</v>
      </c>
      <c r="V227" s="4">
        <v>0</v>
      </c>
      <c r="W227" s="4">
        <v>0</v>
      </c>
      <c r="X227" s="4">
        <v>22.149557523</v>
      </c>
      <c r="Y227" s="4">
        <v>0</v>
      </c>
      <c r="Z227" s="4"/>
      <c r="AA227" s="4"/>
      <c r="AB227" s="4"/>
      <c r="AC227" s="4"/>
      <c r="AD227" s="4"/>
      <c r="AE227" s="4"/>
      <c r="AF227" s="4">
        <v>4.5</v>
      </c>
      <c r="AG227" s="4">
        <v>16</v>
      </c>
      <c r="AH227" s="4">
        <v>6</v>
      </c>
      <c r="AI227" s="4">
        <v>354.39292</v>
      </c>
      <c r="AJ227" s="3" t="s">
        <v>1033</v>
      </c>
      <c r="AK227" s="4">
        <v>0</v>
      </c>
      <c r="AL227" s="4">
        <v>0</v>
      </c>
      <c r="AM227" s="6">
        <v>46094</v>
      </c>
      <c r="AN227" s="6"/>
      <c r="AO227" s="3" t="s">
        <v>1034</v>
      </c>
      <c r="AP227" s="3" t="s">
        <v>937</v>
      </c>
      <c r="AQ227" s="4"/>
      <c r="AR227" s="4"/>
      <c r="AS227" s="2"/>
    </row>
    <row r="228" ht="16.5" spans="1:45">
      <c r="A228" s="3" t="s">
        <v>119</v>
      </c>
      <c r="B228" s="3" t="s">
        <v>1030</v>
      </c>
      <c r="C228" s="3" t="s">
        <v>935</v>
      </c>
      <c r="D228" s="3" t="s">
        <v>1031</v>
      </c>
      <c r="E228" s="3" t="s">
        <v>1032</v>
      </c>
      <c r="F228" s="4">
        <v>1</v>
      </c>
      <c r="G228" s="4">
        <v>0</v>
      </c>
      <c r="H228" s="4">
        <v>0</v>
      </c>
      <c r="I228" s="4">
        <v>6</v>
      </c>
      <c r="J228" s="4">
        <v>8</v>
      </c>
      <c r="K228" s="4">
        <v>15</v>
      </c>
      <c r="L228" s="4">
        <v>721</v>
      </c>
      <c r="M228" s="5">
        <v>736</v>
      </c>
      <c r="N228" s="4">
        <v>341.20354</v>
      </c>
      <c r="O228" s="4">
        <v>16741.720352</v>
      </c>
      <c r="P228" s="4">
        <v>2</v>
      </c>
      <c r="Q228" s="4">
        <v>4</v>
      </c>
      <c r="R228" s="4">
        <v>34</v>
      </c>
      <c r="S228" s="4">
        <v>141</v>
      </c>
      <c r="T228" s="4">
        <v>123</v>
      </c>
      <c r="U228" s="4">
        <v>0</v>
      </c>
      <c r="V228" s="4">
        <v>0</v>
      </c>
      <c r="W228" s="4">
        <v>19</v>
      </c>
      <c r="X228" s="4">
        <v>22.746902652</v>
      </c>
      <c r="Y228" s="4">
        <v>773.39469</v>
      </c>
      <c r="Z228" s="4">
        <v>21.647058828397</v>
      </c>
      <c r="AA228" s="4">
        <v>0.441176470968</v>
      </c>
      <c r="AB228" s="4">
        <v>0.205882353549</v>
      </c>
      <c r="AC228" s="4">
        <v>0.029411765162</v>
      </c>
      <c r="AD228" s="4">
        <v>0</v>
      </c>
      <c r="AE228" s="4">
        <v>0.176470588387</v>
      </c>
      <c r="AF228" s="4">
        <v>4.5</v>
      </c>
      <c r="AG228" s="4">
        <v>0</v>
      </c>
      <c r="AH228" s="4">
        <v>6</v>
      </c>
      <c r="AI228" s="4">
        <v>0</v>
      </c>
      <c r="AJ228" s="3" t="s">
        <v>1033</v>
      </c>
      <c r="AK228" s="4">
        <v>34</v>
      </c>
      <c r="AL228" s="4">
        <v>0</v>
      </c>
      <c r="AM228" s="6">
        <v>46139</v>
      </c>
      <c r="AN228" s="6"/>
      <c r="AO228" s="3" t="s">
        <v>1034</v>
      </c>
      <c r="AP228" s="3" t="s">
        <v>937</v>
      </c>
      <c r="AQ228" s="4"/>
      <c r="AR228" s="4"/>
      <c r="AS228" s="2"/>
    </row>
    <row r="229" ht="16.5" hidden="1" spans="1:45">
      <c r="A229" s="3" t="s">
        <v>199</v>
      </c>
      <c r="B229" s="3" t="s">
        <v>1030</v>
      </c>
      <c r="C229" s="3" t="s">
        <v>935</v>
      </c>
      <c r="D229" s="3" t="s">
        <v>1031</v>
      </c>
      <c r="E229" s="3" t="s">
        <v>1032</v>
      </c>
      <c r="F229" s="4">
        <v>8</v>
      </c>
      <c r="G229" s="4">
        <v>0</v>
      </c>
      <c r="H229" s="4">
        <v>0</v>
      </c>
      <c r="I229" s="4">
        <v>6</v>
      </c>
      <c r="J229" s="4">
        <v>0</v>
      </c>
      <c r="K229" s="4">
        <v>14</v>
      </c>
      <c r="L229" s="4">
        <v>286</v>
      </c>
      <c r="M229" s="5">
        <v>300</v>
      </c>
      <c r="N229" s="4">
        <v>242.522124</v>
      </c>
      <c r="O229" s="4">
        <v>5196.902655</v>
      </c>
      <c r="P229" s="4">
        <v>1</v>
      </c>
      <c r="Q229" s="4">
        <v>3</v>
      </c>
      <c r="R229" s="4">
        <v>5</v>
      </c>
      <c r="S229" s="4">
        <v>15</v>
      </c>
      <c r="T229" s="4">
        <v>66</v>
      </c>
      <c r="U229" s="4">
        <v>0</v>
      </c>
      <c r="V229" s="4">
        <v>0</v>
      </c>
      <c r="W229" s="4">
        <v>0</v>
      </c>
      <c r="X229" s="4">
        <v>17.323008849</v>
      </c>
      <c r="Y229" s="4">
        <v>86.615044</v>
      </c>
      <c r="Z229" s="4">
        <v>60.00000017318</v>
      </c>
      <c r="AA229" s="4">
        <v>2.800000009236</v>
      </c>
      <c r="AB229" s="4">
        <v>2.800000009236</v>
      </c>
      <c r="AC229" s="4">
        <v>1.600000006927</v>
      </c>
      <c r="AD229" s="4">
        <v>0</v>
      </c>
      <c r="AE229" s="4">
        <v>1.200000002309</v>
      </c>
      <c r="AF229" s="4">
        <v>4.5</v>
      </c>
      <c r="AG229" s="4">
        <v>0</v>
      </c>
      <c r="AH229" s="4">
        <v>6</v>
      </c>
      <c r="AI229" s="4">
        <v>0</v>
      </c>
      <c r="AJ229" s="3" t="s">
        <v>1033</v>
      </c>
      <c r="AK229" s="4">
        <v>5</v>
      </c>
      <c r="AL229" s="4">
        <v>0</v>
      </c>
      <c r="AM229" s="6">
        <v>46101</v>
      </c>
      <c r="AN229" s="6"/>
      <c r="AO229" s="3" t="s">
        <v>1034</v>
      </c>
      <c r="AP229" s="3" t="s">
        <v>937</v>
      </c>
      <c r="AQ229" s="4"/>
      <c r="AR229" s="4"/>
      <c r="AS229" s="2"/>
    </row>
    <row r="230" ht="16.5" hidden="1" spans="1:45">
      <c r="A230" s="3" t="s">
        <v>306</v>
      </c>
      <c r="B230" s="3" t="s">
        <v>1030</v>
      </c>
      <c r="C230" s="3" t="s">
        <v>935</v>
      </c>
      <c r="D230" s="3" t="s">
        <v>1031</v>
      </c>
      <c r="E230" s="3" t="s">
        <v>1032</v>
      </c>
      <c r="F230" s="4">
        <v>1</v>
      </c>
      <c r="G230" s="4">
        <v>0</v>
      </c>
      <c r="H230" s="4">
        <v>0</v>
      </c>
      <c r="I230" s="4">
        <v>12</v>
      </c>
      <c r="J230" s="4">
        <v>0</v>
      </c>
      <c r="K230" s="4">
        <v>13</v>
      </c>
      <c r="L230" s="4">
        <v>255</v>
      </c>
      <c r="M230" s="5">
        <v>268</v>
      </c>
      <c r="N230" s="4">
        <v>235.346018</v>
      </c>
      <c r="O230" s="4">
        <v>4851.748673</v>
      </c>
      <c r="P230" s="4">
        <v>4</v>
      </c>
      <c r="Q230" s="4">
        <v>6</v>
      </c>
      <c r="R230" s="4">
        <v>22</v>
      </c>
      <c r="S230" s="4">
        <v>47</v>
      </c>
      <c r="T230" s="4">
        <v>46</v>
      </c>
      <c r="U230" s="4">
        <v>0</v>
      </c>
      <c r="V230" s="4">
        <v>0</v>
      </c>
      <c r="W230" s="4">
        <v>0</v>
      </c>
      <c r="X230" s="4">
        <v>18.103539825</v>
      </c>
      <c r="Y230" s="4">
        <v>398.277876</v>
      </c>
      <c r="Z230" s="4">
        <v>12.181818186155</v>
      </c>
      <c r="AA230" s="4">
        <v>0.590909091822</v>
      </c>
      <c r="AB230" s="4">
        <v>0.590909091822</v>
      </c>
      <c r="AC230" s="4">
        <v>0.045454545911</v>
      </c>
      <c r="AD230" s="4">
        <v>0</v>
      </c>
      <c r="AE230" s="4">
        <v>0.545454545911</v>
      </c>
      <c r="AF230" s="4">
        <v>4.5</v>
      </c>
      <c r="AG230" s="4">
        <v>0</v>
      </c>
      <c r="AH230" s="4">
        <v>6</v>
      </c>
      <c r="AI230" s="4">
        <v>0</v>
      </c>
      <c r="AJ230" s="3" t="s">
        <v>1033</v>
      </c>
      <c r="AK230" s="4">
        <v>22</v>
      </c>
      <c r="AL230" s="4">
        <v>0</v>
      </c>
      <c r="AM230" s="6">
        <v>46103</v>
      </c>
      <c r="AN230" s="6"/>
      <c r="AO230" s="3" t="s">
        <v>1034</v>
      </c>
      <c r="AP230" s="3" t="s">
        <v>937</v>
      </c>
      <c r="AQ230" s="4"/>
      <c r="AR230" s="4"/>
      <c r="AS230" s="2"/>
    </row>
    <row r="231" ht="16.5" hidden="1" spans="1:45">
      <c r="A231" s="3" t="s">
        <v>151</v>
      </c>
      <c r="B231" s="3" t="s">
        <v>1030</v>
      </c>
      <c r="C231" s="3" t="s">
        <v>935</v>
      </c>
      <c r="D231" s="3" t="s">
        <v>1031</v>
      </c>
      <c r="E231" s="3" t="s">
        <v>1032</v>
      </c>
      <c r="F231" s="4">
        <v>3</v>
      </c>
      <c r="G231" s="4">
        <v>0</v>
      </c>
      <c r="H231" s="4">
        <v>0</v>
      </c>
      <c r="I231" s="4">
        <v>10</v>
      </c>
      <c r="J231" s="4">
        <v>0</v>
      </c>
      <c r="K231" s="4">
        <v>13</v>
      </c>
      <c r="L231" s="4">
        <v>620</v>
      </c>
      <c r="M231" s="5">
        <v>633</v>
      </c>
      <c r="N231" s="4">
        <v>201.384956</v>
      </c>
      <c r="O231" s="4">
        <v>9805.89823</v>
      </c>
      <c r="P231" s="4">
        <v>0</v>
      </c>
      <c r="Q231" s="4">
        <v>2</v>
      </c>
      <c r="R231" s="4">
        <v>12</v>
      </c>
      <c r="S231" s="4">
        <v>107</v>
      </c>
      <c r="T231" s="4">
        <v>158</v>
      </c>
      <c r="U231" s="4">
        <v>0</v>
      </c>
      <c r="V231" s="4">
        <v>0</v>
      </c>
      <c r="W231" s="4">
        <v>0</v>
      </c>
      <c r="X231" s="4">
        <v>15.491150442</v>
      </c>
      <c r="Y231" s="4">
        <v>185.893805</v>
      </c>
      <c r="Z231" s="4">
        <v>52.750000087415</v>
      </c>
      <c r="AA231" s="4">
        <v>1.083333336471</v>
      </c>
      <c r="AB231" s="4">
        <v>1.083333336471</v>
      </c>
      <c r="AC231" s="4">
        <v>0.249999998655</v>
      </c>
      <c r="AD231" s="4">
        <v>0</v>
      </c>
      <c r="AE231" s="4">
        <v>0.833333332436</v>
      </c>
      <c r="AF231" s="4">
        <v>4.5</v>
      </c>
      <c r="AG231" s="4">
        <v>0</v>
      </c>
      <c r="AH231" s="4">
        <v>6</v>
      </c>
      <c r="AI231" s="4">
        <v>0</v>
      </c>
      <c r="AJ231" s="3" t="s">
        <v>1033</v>
      </c>
      <c r="AK231" s="4">
        <v>12</v>
      </c>
      <c r="AL231" s="4">
        <v>0</v>
      </c>
      <c r="AM231" s="6">
        <v>46101</v>
      </c>
      <c r="AN231" s="6"/>
      <c r="AO231" s="3" t="s">
        <v>1034</v>
      </c>
      <c r="AP231" s="3" t="s">
        <v>937</v>
      </c>
      <c r="AQ231" s="4"/>
      <c r="AR231" s="4"/>
      <c r="AS231" s="2"/>
    </row>
    <row r="232" ht="16.5" hidden="1" spans="1:45">
      <c r="A232" s="3" t="s">
        <v>171</v>
      </c>
      <c r="B232" s="3" t="s">
        <v>1030</v>
      </c>
      <c r="C232" s="3" t="s">
        <v>935</v>
      </c>
      <c r="D232" s="3" t="s">
        <v>1031</v>
      </c>
      <c r="E232" s="3" t="s">
        <v>1032</v>
      </c>
      <c r="F232" s="4">
        <v>1</v>
      </c>
      <c r="G232" s="4">
        <v>0</v>
      </c>
      <c r="H232" s="4">
        <v>0</v>
      </c>
      <c r="I232" s="4">
        <v>2</v>
      </c>
      <c r="J232" s="4">
        <v>8</v>
      </c>
      <c r="K232" s="4">
        <v>11</v>
      </c>
      <c r="L232" s="4">
        <v>528</v>
      </c>
      <c r="M232" s="5">
        <v>539</v>
      </c>
      <c r="N232" s="4">
        <v>203.60708</v>
      </c>
      <c r="O232" s="4">
        <v>9976.746902</v>
      </c>
      <c r="P232" s="4">
        <v>0</v>
      </c>
      <c r="Q232" s="4">
        <v>0</v>
      </c>
      <c r="R232" s="4">
        <v>18</v>
      </c>
      <c r="S232" s="4">
        <v>116</v>
      </c>
      <c r="T232" s="4">
        <v>58</v>
      </c>
      <c r="U232" s="4">
        <v>0</v>
      </c>
      <c r="V232" s="4">
        <v>0</v>
      </c>
      <c r="W232" s="4">
        <v>0</v>
      </c>
      <c r="X232" s="4">
        <v>18.509734512</v>
      </c>
      <c r="Y232" s="4">
        <v>333.175221</v>
      </c>
      <c r="Z232" s="4">
        <v>29.944444463953</v>
      </c>
      <c r="AA232" s="4">
        <v>0.611111112611</v>
      </c>
      <c r="AB232" s="4">
        <v>0.166666668167</v>
      </c>
      <c r="AC232" s="4">
        <v>0.055555557056</v>
      </c>
      <c r="AD232" s="4">
        <v>0</v>
      </c>
      <c r="AE232" s="4">
        <v>0.111111111111</v>
      </c>
      <c r="AF232" s="4">
        <v>4.5</v>
      </c>
      <c r="AG232" s="4">
        <v>0</v>
      </c>
      <c r="AH232" s="4">
        <v>6</v>
      </c>
      <c r="AI232" s="4">
        <v>0</v>
      </c>
      <c r="AJ232" s="3" t="s">
        <v>1033</v>
      </c>
      <c r="AK232" s="4">
        <v>18</v>
      </c>
      <c r="AL232" s="4">
        <v>0</v>
      </c>
      <c r="AM232" s="6">
        <v>46145</v>
      </c>
      <c r="AN232" s="6"/>
      <c r="AO232" s="3" t="s">
        <v>1034</v>
      </c>
      <c r="AP232" s="3" t="s">
        <v>937</v>
      </c>
      <c r="AQ232" s="4"/>
      <c r="AR232" s="4"/>
      <c r="AS232" s="2"/>
    </row>
    <row r="233" ht="16.5" hidden="1" spans="1:45">
      <c r="A233" s="3" t="s">
        <v>342</v>
      </c>
      <c r="B233" s="3" t="s">
        <v>1030</v>
      </c>
      <c r="C233" s="3" t="s">
        <v>935</v>
      </c>
      <c r="D233" s="3" t="s">
        <v>1031</v>
      </c>
      <c r="E233" s="3" t="s">
        <v>1032</v>
      </c>
      <c r="F233" s="4">
        <v>1</v>
      </c>
      <c r="G233" s="4">
        <v>0</v>
      </c>
      <c r="H233" s="4">
        <v>0</v>
      </c>
      <c r="I233" s="4">
        <v>10</v>
      </c>
      <c r="J233" s="4">
        <v>0</v>
      </c>
      <c r="K233" s="4">
        <v>11</v>
      </c>
      <c r="L233" s="4">
        <v>0</v>
      </c>
      <c r="M233" s="5">
        <v>11</v>
      </c>
      <c r="N233" s="4">
        <v>240.228319</v>
      </c>
      <c r="O233" s="4">
        <v>240.228319</v>
      </c>
      <c r="P233" s="4">
        <v>0</v>
      </c>
      <c r="Q233" s="4">
        <v>0</v>
      </c>
      <c r="R233" s="4">
        <v>2</v>
      </c>
      <c r="S233" s="4">
        <v>17</v>
      </c>
      <c r="T233" s="4">
        <v>32</v>
      </c>
      <c r="U233" s="4">
        <v>0</v>
      </c>
      <c r="V233" s="4">
        <v>0</v>
      </c>
      <c r="W233" s="4">
        <v>0</v>
      </c>
      <c r="X233" s="4">
        <v>21.838938057</v>
      </c>
      <c r="Y233" s="4">
        <v>43.677876</v>
      </c>
      <c r="Z233" s="4">
        <v>5.500000022894</v>
      </c>
      <c r="AA233" s="4">
        <v>5.500000022894</v>
      </c>
      <c r="AB233" s="4">
        <v>5.500000022894</v>
      </c>
      <c r="AC233" s="4">
        <v>0.5</v>
      </c>
      <c r="AD233" s="4">
        <v>0</v>
      </c>
      <c r="AE233" s="4">
        <v>5.000000022894</v>
      </c>
      <c r="AF233" s="4">
        <v>4.5</v>
      </c>
      <c r="AG233" s="4">
        <v>0</v>
      </c>
      <c r="AH233" s="4">
        <v>6</v>
      </c>
      <c r="AI233" s="4">
        <v>0</v>
      </c>
      <c r="AJ233" s="3" t="s">
        <v>1033</v>
      </c>
      <c r="AK233" s="4">
        <v>2</v>
      </c>
      <c r="AL233" s="4">
        <v>0</v>
      </c>
      <c r="AM233" s="6">
        <v>46094</v>
      </c>
      <c r="AN233" s="6"/>
      <c r="AO233" s="3" t="s">
        <v>1034</v>
      </c>
      <c r="AP233" s="3" t="s">
        <v>937</v>
      </c>
      <c r="AQ233" s="4"/>
      <c r="AR233" s="4"/>
      <c r="AS233" s="2"/>
    </row>
    <row r="234" ht="16.5" hidden="1" spans="1:45">
      <c r="A234" s="3" t="s">
        <v>820</v>
      </c>
      <c r="B234" s="3" t="s">
        <v>1030</v>
      </c>
      <c r="C234" s="3" t="s">
        <v>935</v>
      </c>
      <c r="D234" s="3" t="s">
        <v>1031</v>
      </c>
      <c r="E234" s="3" t="s">
        <v>1032</v>
      </c>
      <c r="F234" s="4">
        <v>10</v>
      </c>
      <c r="G234" s="4">
        <v>0</v>
      </c>
      <c r="H234" s="4">
        <v>0</v>
      </c>
      <c r="I234" s="4">
        <v>0</v>
      </c>
      <c r="J234" s="4">
        <v>1</v>
      </c>
      <c r="K234" s="4">
        <v>11</v>
      </c>
      <c r="L234" s="4">
        <v>250</v>
      </c>
      <c r="M234" s="5">
        <v>261</v>
      </c>
      <c r="N234" s="4">
        <v>240.929204</v>
      </c>
      <c r="O234" s="4">
        <v>5716.592921</v>
      </c>
      <c r="P234" s="4">
        <v>4</v>
      </c>
      <c r="Q234" s="4">
        <v>7</v>
      </c>
      <c r="R234" s="4">
        <v>27</v>
      </c>
      <c r="S234" s="4">
        <v>40</v>
      </c>
      <c r="T234" s="4">
        <v>86</v>
      </c>
      <c r="U234" s="4">
        <v>0</v>
      </c>
      <c r="V234" s="4">
        <v>0</v>
      </c>
      <c r="W234" s="4">
        <v>0</v>
      </c>
      <c r="X234" s="4">
        <v>21.902654871</v>
      </c>
      <c r="Y234" s="4">
        <v>591.371682</v>
      </c>
      <c r="Z234" s="4">
        <v>9.666666658211</v>
      </c>
      <c r="AA234" s="4">
        <v>0.407407407783</v>
      </c>
      <c r="AB234" s="4">
        <v>0.370370370558</v>
      </c>
      <c r="AC234" s="4">
        <v>0.370370370558</v>
      </c>
      <c r="AD234" s="4">
        <v>0</v>
      </c>
      <c r="AE234" s="4">
        <v>0</v>
      </c>
      <c r="AF234" s="4">
        <v>4.5</v>
      </c>
      <c r="AG234" s="4">
        <v>0</v>
      </c>
      <c r="AH234" s="4">
        <v>6</v>
      </c>
      <c r="AI234" s="4">
        <v>0</v>
      </c>
      <c r="AJ234" s="3" t="s">
        <v>1033</v>
      </c>
      <c r="AK234" s="4">
        <v>27</v>
      </c>
      <c r="AL234" s="4">
        <v>0</v>
      </c>
      <c r="AM234" s="6">
        <v>46103</v>
      </c>
      <c r="AN234" s="6"/>
      <c r="AO234" s="3" t="s">
        <v>1034</v>
      </c>
      <c r="AP234" s="3" t="s">
        <v>937</v>
      </c>
      <c r="AQ234" s="4"/>
      <c r="AR234" s="4"/>
      <c r="AS234" s="2"/>
    </row>
    <row r="235" ht="16.5" spans="1:45">
      <c r="A235" s="3" t="s">
        <v>211</v>
      </c>
      <c r="B235" s="3" t="s">
        <v>1030</v>
      </c>
      <c r="C235" s="3" t="s">
        <v>935</v>
      </c>
      <c r="D235" s="3" t="s">
        <v>1031</v>
      </c>
      <c r="E235" s="3" t="s">
        <v>1032</v>
      </c>
      <c r="F235" s="4">
        <v>4</v>
      </c>
      <c r="G235" s="4">
        <v>0</v>
      </c>
      <c r="H235" s="4">
        <v>0</v>
      </c>
      <c r="I235" s="4">
        <v>4</v>
      </c>
      <c r="J235" s="4">
        <v>1</v>
      </c>
      <c r="K235" s="4">
        <v>9</v>
      </c>
      <c r="L235" s="4">
        <v>520</v>
      </c>
      <c r="M235" s="5">
        <v>529</v>
      </c>
      <c r="N235" s="4">
        <v>143.004425</v>
      </c>
      <c r="O235" s="4">
        <v>8405.482302</v>
      </c>
      <c r="P235" s="4">
        <v>11</v>
      </c>
      <c r="Q235" s="4">
        <v>20</v>
      </c>
      <c r="R235" s="4">
        <v>45</v>
      </c>
      <c r="S235" s="4">
        <v>123</v>
      </c>
      <c r="T235" s="4">
        <v>113</v>
      </c>
      <c r="U235" s="4">
        <v>0</v>
      </c>
      <c r="V235" s="4">
        <v>0</v>
      </c>
      <c r="W235" s="4">
        <v>0</v>
      </c>
      <c r="X235" s="4">
        <v>15.889380534</v>
      </c>
      <c r="Y235" s="4">
        <v>715.022124</v>
      </c>
      <c r="Z235" s="4">
        <v>11.755555555369</v>
      </c>
      <c r="AA235" s="4">
        <v>0.200000000279</v>
      </c>
      <c r="AB235" s="4">
        <v>0.177777777404</v>
      </c>
      <c r="AC235" s="4">
        <v>0.088888888702</v>
      </c>
      <c r="AD235" s="4">
        <v>0</v>
      </c>
      <c r="AE235" s="4">
        <v>0.088888888702</v>
      </c>
      <c r="AF235" s="4">
        <v>4.5</v>
      </c>
      <c r="AG235" s="4">
        <v>0</v>
      </c>
      <c r="AH235" s="4">
        <v>6</v>
      </c>
      <c r="AI235" s="4">
        <v>0</v>
      </c>
      <c r="AJ235" s="3" t="s">
        <v>1033</v>
      </c>
      <c r="AK235" s="4">
        <v>45</v>
      </c>
      <c r="AL235" s="4">
        <v>0</v>
      </c>
      <c r="AM235" s="6">
        <v>46138</v>
      </c>
      <c r="AN235" s="6"/>
      <c r="AO235" s="3" t="s">
        <v>1034</v>
      </c>
      <c r="AP235" s="3" t="s">
        <v>937</v>
      </c>
      <c r="AQ235" s="4"/>
      <c r="AR235" s="4"/>
      <c r="AS235" s="2"/>
    </row>
    <row r="236" ht="16.5" hidden="1" spans="1:45">
      <c r="A236" s="3" t="s">
        <v>290</v>
      </c>
      <c r="B236" s="3" t="s">
        <v>1030</v>
      </c>
      <c r="C236" s="3" t="s">
        <v>935</v>
      </c>
      <c r="D236" s="3" t="s">
        <v>1031</v>
      </c>
      <c r="E236" s="3" t="s">
        <v>1032</v>
      </c>
      <c r="F236" s="4">
        <v>1</v>
      </c>
      <c r="G236" s="4">
        <v>0</v>
      </c>
      <c r="H236" s="4">
        <v>0</v>
      </c>
      <c r="I236" s="4">
        <v>6</v>
      </c>
      <c r="J236" s="4">
        <v>0</v>
      </c>
      <c r="K236" s="4">
        <v>7</v>
      </c>
      <c r="L236" s="4">
        <v>170</v>
      </c>
      <c r="M236" s="5">
        <v>177</v>
      </c>
      <c r="N236" s="4">
        <v>136.648673</v>
      </c>
      <c r="O236" s="4">
        <v>3455.259293</v>
      </c>
      <c r="P236" s="4">
        <v>0</v>
      </c>
      <c r="Q236" s="4">
        <v>7</v>
      </c>
      <c r="R236" s="4">
        <v>16</v>
      </c>
      <c r="S236" s="4">
        <v>23</v>
      </c>
      <c r="T236" s="4">
        <v>31</v>
      </c>
      <c r="U236" s="4">
        <v>0</v>
      </c>
      <c r="V236" s="4">
        <v>0</v>
      </c>
      <c r="W236" s="4">
        <v>0</v>
      </c>
      <c r="X236" s="4">
        <v>19.521238941</v>
      </c>
      <c r="Y236" s="4">
        <v>312.339823</v>
      </c>
      <c r="Z236" s="4">
        <v>11.062500003401</v>
      </c>
      <c r="AA236" s="4">
        <v>0.4375000014</v>
      </c>
      <c r="AB236" s="4">
        <v>0.4375000014</v>
      </c>
      <c r="AC236" s="4">
        <v>0.0625000002</v>
      </c>
      <c r="AD236" s="4">
        <v>0</v>
      </c>
      <c r="AE236" s="4">
        <v>0.3750000012</v>
      </c>
      <c r="AF236" s="4">
        <v>4.5</v>
      </c>
      <c r="AG236" s="4">
        <v>0</v>
      </c>
      <c r="AH236" s="4">
        <v>6</v>
      </c>
      <c r="AI236" s="4">
        <v>0</v>
      </c>
      <c r="AJ236" s="3" t="s">
        <v>1033</v>
      </c>
      <c r="AK236" s="4">
        <v>16</v>
      </c>
      <c r="AL236" s="4">
        <v>0</v>
      </c>
      <c r="AM236" s="6">
        <v>46101</v>
      </c>
      <c r="AN236" s="6"/>
      <c r="AO236" s="3" t="s">
        <v>1034</v>
      </c>
      <c r="AP236" s="3" t="s">
        <v>937</v>
      </c>
      <c r="AQ236" s="4"/>
      <c r="AR236" s="4"/>
      <c r="AS236" s="2"/>
    </row>
    <row r="237" ht="16.5" hidden="1" spans="1:45">
      <c r="A237" s="3" t="s">
        <v>955</v>
      </c>
      <c r="B237" s="3" t="s">
        <v>1030</v>
      </c>
      <c r="C237" s="3" t="s">
        <v>935</v>
      </c>
      <c r="D237" s="3" t="s">
        <v>1038</v>
      </c>
      <c r="E237" s="3" t="s">
        <v>1032</v>
      </c>
      <c r="F237" s="4">
        <v>6</v>
      </c>
      <c r="G237" s="4">
        <v>0</v>
      </c>
      <c r="H237" s="4">
        <v>0</v>
      </c>
      <c r="I237" s="4">
        <v>0</v>
      </c>
      <c r="J237" s="4">
        <v>0</v>
      </c>
      <c r="K237" s="4">
        <v>6</v>
      </c>
      <c r="L237" s="4">
        <v>0</v>
      </c>
      <c r="M237" s="5">
        <v>6</v>
      </c>
      <c r="N237" s="4">
        <v>104.989376</v>
      </c>
      <c r="O237" s="4">
        <v>104.989376</v>
      </c>
      <c r="P237" s="4">
        <v>0</v>
      </c>
      <c r="Q237" s="4">
        <v>0</v>
      </c>
      <c r="R237" s="4">
        <v>0</v>
      </c>
      <c r="S237" s="4">
        <v>0</v>
      </c>
      <c r="T237" s="4">
        <v>1</v>
      </c>
      <c r="U237" s="4">
        <v>0</v>
      </c>
      <c r="V237" s="4">
        <v>0</v>
      </c>
      <c r="W237" s="4">
        <v>0</v>
      </c>
      <c r="X237" s="4">
        <v>17.4982293</v>
      </c>
      <c r="Y237" s="4">
        <v>0</v>
      </c>
      <c r="Z237" s="4"/>
      <c r="AA237" s="4"/>
      <c r="AB237" s="4"/>
      <c r="AC237" s="4"/>
      <c r="AD237" s="4"/>
      <c r="AE237" s="4"/>
      <c r="AF237" s="4">
        <v>4.5</v>
      </c>
      <c r="AG237" s="4">
        <v>6</v>
      </c>
      <c r="AH237" s="4">
        <v>6</v>
      </c>
      <c r="AI237" s="4">
        <v>104.989376</v>
      </c>
      <c r="AJ237" s="3" t="s">
        <v>1036</v>
      </c>
      <c r="AK237" s="4">
        <v>0</v>
      </c>
      <c r="AL237" s="4">
        <v>0</v>
      </c>
      <c r="AM237" s="6">
        <v>45980</v>
      </c>
      <c r="AN237" s="6"/>
      <c r="AO237" s="3" t="s">
        <v>1034</v>
      </c>
      <c r="AP237" s="3" t="s">
        <v>937</v>
      </c>
      <c r="AQ237" s="4"/>
      <c r="AR237" s="4"/>
      <c r="AS237" s="2"/>
    </row>
    <row r="238" ht="16.5" hidden="1" spans="1:45">
      <c r="A238" s="3" t="s">
        <v>219</v>
      </c>
      <c r="B238" s="3" t="s">
        <v>1030</v>
      </c>
      <c r="C238" s="3" t="s">
        <v>935</v>
      </c>
      <c r="D238" s="3" t="s">
        <v>1031</v>
      </c>
      <c r="E238" s="3" t="s">
        <v>1032</v>
      </c>
      <c r="F238" s="4">
        <v>2</v>
      </c>
      <c r="G238" s="4">
        <v>0</v>
      </c>
      <c r="H238" s="4">
        <v>0</v>
      </c>
      <c r="I238" s="4">
        <v>0</v>
      </c>
      <c r="J238" s="4">
        <v>0</v>
      </c>
      <c r="K238" s="4">
        <v>2</v>
      </c>
      <c r="L238" s="4">
        <v>140</v>
      </c>
      <c r="M238" s="5">
        <v>142</v>
      </c>
      <c r="N238" s="4">
        <v>38.580531</v>
      </c>
      <c r="O238" s="4">
        <v>2739.217699</v>
      </c>
      <c r="P238" s="4">
        <v>8</v>
      </c>
      <c r="Q238" s="4">
        <v>11</v>
      </c>
      <c r="R238" s="4">
        <v>25</v>
      </c>
      <c r="S238" s="4">
        <v>24</v>
      </c>
      <c r="T238" s="4">
        <v>33</v>
      </c>
      <c r="U238" s="4">
        <v>0</v>
      </c>
      <c r="V238" s="4">
        <v>0</v>
      </c>
      <c r="W238" s="4">
        <v>0</v>
      </c>
      <c r="X238" s="4">
        <v>19.290265488</v>
      </c>
      <c r="Y238" s="4">
        <v>482.256637</v>
      </c>
      <c r="Z238" s="4">
        <v>5.680000001741</v>
      </c>
      <c r="AA238" s="4">
        <v>0.080000000082</v>
      </c>
      <c r="AB238" s="4">
        <v>0.080000000082</v>
      </c>
      <c r="AC238" s="4">
        <v>0.080000000082</v>
      </c>
      <c r="AD238" s="4">
        <v>0</v>
      </c>
      <c r="AE238" s="4">
        <v>0</v>
      </c>
      <c r="AF238" s="4">
        <v>4.5</v>
      </c>
      <c r="AG238" s="4">
        <v>0</v>
      </c>
      <c r="AH238" s="4">
        <v>6</v>
      </c>
      <c r="AI238" s="4">
        <v>0</v>
      </c>
      <c r="AJ238" s="3" t="s">
        <v>1033</v>
      </c>
      <c r="AK238" s="4">
        <v>25</v>
      </c>
      <c r="AL238" s="4">
        <v>0</v>
      </c>
      <c r="AM238" s="6">
        <v>46094</v>
      </c>
      <c r="AN238" s="6"/>
      <c r="AO238" s="3" t="s">
        <v>1034</v>
      </c>
      <c r="AP238" s="3" t="s">
        <v>937</v>
      </c>
      <c r="AQ238" s="4"/>
      <c r="AR238" s="4"/>
      <c r="AS238" s="2"/>
    </row>
    <row r="239" ht="16.5" hidden="1" spans="1:45">
      <c r="A239" s="3" t="s">
        <v>1041</v>
      </c>
      <c r="B239" s="3" t="s">
        <v>1030</v>
      </c>
      <c r="C239" s="3" t="s">
        <v>935</v>
      </c>
      <c r="D239" s="3" t="s">
        <v>1042</v>
      </c>
      <c r="E239" s="3" t="s">
        <v>1032</v>
      </c>
      <c r="F239" s="4">
        <v>0</v>
      </c>
      <c r="G239" s="4">
        <v>0</v>
      </c>
      <c r="H239" s="4">
        <v>0</v>
      </c>
      <c r="I239" s="4">
        <v>0</v>
      </c>
      <c r="J239" s="4">
        <v>0</v>
      </c>
      <c r="K239" s="4">
        <v>0</v>
      </c>
      <c r="L239" s="4">
        <v>150</v>
      </c>
      <c r="M239" s="5">
        <v>150</v>
      </c>
      <c r="N239" s="4">
        <v>0</v>
      </c>
      <c r="O239" s="4">
        <v>3325.221239</v>
      </c>
      <c r="P239" s="4">
        <v>0</v>
      </c>
      <c r="Q239" s="4">
        <v>0</v>
      </c>
      <c r="R239" s="4">
        <v>0</v>
      </c>
      <c r="S239" s="4">
        <v>0</v>
      </c>
      <c r="T239" s="4">
        <v>0</v>
      </c>
      <c r="U239" s="4">
        <v>0</v>
      </c>
      <c r="V239" s="4">
        <v>0</v>
      </c>
      <c r="W239" s="4">
        <v>0</v>
      </c>
      <c r="X239" s="4">
        <v>22.16814159</v>
      </c>
      <c r="Y239" s="4">
        <v>0</v>
      </c>
      <c r="Z239" s="4"/>
      <c r="AA239" s="4"/>
      <c r="AB239" s="4"/>
      <c r="AC239" s="4"/>
      <c r="AD239" s="4"/>
      <c r="AE239" s="4"/>
      <c r="AF239" s="4">
        <v>4.5</v>
      </c>
      <c r="AG239" s="4">
        <v>0</v>
      </c>
      <c r="AH239" s="4">
        <v>6</v>
      </c>
      <c r="AI239" s="4">
        <v>0</v>
      </c>
      <c r="AJ239" s="3" t="s">
        <v>1036</v>
      </c>
      <c r="AK239" s="4">
        <v>0</v>
      </c>
      <c r="AL239" s="4">
        <v>0</v>
      </c>
      <c r="AM239" s="6"/>
      <c r="AN239" s="6"/>
      <c r="AO239" s="3" t="s">
        <v>1034</v>
      </c>
      <c r="AP239" s="3" t="s">
        <v>937</v>
      </c>
      <c r="AQ239" s="4"/>
      <c r="AR239" s="4"/>
      <c r="AS239" s="2"/>
    </row>
    <row r="240" ht="16.5" hidden="1" spans="1:45">
      <c r="A240" s="3" t="s">
        <v>1043</v>
      </c>
      <c r="B240" s="3" t="s">
        <v>1030</v>
      </c>
      <c r="C240" s="3" t="s">
        <v>935</v>
      </c>
      <c r="D240" s="3" t="s">
        <v>1042</v>
      </c>
      <c r="E240" s="3" t="s">
        <v>1032</v>
      </c>
      <c r="F240" s="4">
        <v>0</v>
      </c>
      <c r="G240" s="4">
        <v>0</v>
      </c>
      <c r="H240" s="4">
        <v>0</v>
      </c>
      <c r="I240" s="4">
        <v>0</v>
      </c>
      <c r="J240" s="4">
        <v>0</v>
      </c>
      <c r="K240" s="4">
        <v>0</v>
      </c>
      <c r="L240" s="4">
        <v>160</v>
      </c>
      <c r="M240" s="5">
        <v>160</v>
      </c>
      <c r="N240" s="4">
        <v>0</v>
      </c>
      <c r="O240" s="4">
        <v>2463.716814</v>
      </c>
      <c r="P240" s="4">
        <v>0</v>
      </c>
      <c r="Q240" s="4">
        <v>0</v>
      </c>
      <c r="R240" s="4">
        <v>0</v>
      </c>
      <c r="S240" s="4">
        <v>0</v>
      </c>
      <c r="T240" s="4">
        <v>0</v>
      </c>
      <c r="U240" s="4">
        <v>0</v>
      </c>
      <c r="V240" s="4">
        <v>0</v>
      </c>
      <c r="W240" s="4">
        <v>0</v>
      </c>
      <c r="X240" s="4">
        <v>15.39823009</v>
      </c>
      <c r="Y240" s="4">
        <v>0</v>
      </c>
      <c r="Z240" s="4"/>
      <c r="AA240" s="4"/>
      <c r="AB240" s="4"/>
      <c r="AC240" s="4"/>
      <c r="AD240" s="4"/>
      <c r="AE240" s="4"/>
      <c r="AF240" s="4">
        <v>4.5</v>
      </c>
      <c r="AG240" s="4">
        <v>0</v>
      </c>
      <c r="AH240" s="4">
        <v>6</v>
      </c>
      <c r="AI240" s="4">
        <v>0</v>
      </c>
      <c r="AJ240" s="3" t="s">
        <v>1036</v>
      </c>
      <c r="AK240" s="4">
        <v>0</v>
      </c>
      <c r="AL240" s="4">
        <v>0</v>
      </c>
      <c r="AM240" s="6"/>
      <c r="AN240" s="6"/>
      <c r="AO240" s="3" t="s">
        <v>1034</v>
      </c>
      <c r="AP240" s="3" t="s">
        <v>937</v>
      </c>
      <c r="AQ240" s="4"/>
      <c r="AR240" s="4"/>
      <c r="AS240" s="2"/>
    </row>
    <row r="241" ht="16.5" hidden="1" spans="1:45">
      <c r="A241" s="3" t="s">
        <v>1044</v>
      </c>
      <c r="B241" s="3" t="s">
        <v>1030</v>
      </c>
      <c r="C241" s="3" t="s">
        <v>935</v>
      </c>
      <c r="D241" s="3" t="s">
        <v>1042</v>
      </c>
      <c r="E241" s="3" t="s">
        <v>1032</v>
      </c>
      <c r="F241" s="4">
        <v>0</v>
      </c>
      <c r="G241" s="4">
        <v>0</v>
      </c>
      <c r="H241" s="4">
        <v>0</v>
      </c>
      <c r="I241" s="4">
        <v>0</v>
      </c>
      <c r="J241" s="4">
        <v>0</v>
      </c>
      <c r="K241" s="4">
        <v>0</v>
      </c>
      <c r="L241" s="4">
        <v>150</v>
      </c>
      <c r="M241" s="5">
        <v>150</v>
      </c>
      <c r="N241" s="4">
        <v>0</v>
      </c>
      <c r="O241" s="4">
        <v>3307.964603</v>
      </c>
      <c r="P241" s="4">
        <v>0</v>
      </c>
      <c r="Q241" s="4">
        <v>0</v>
      </c>
      <c r="R241" s="4">
        <v>0</v>
      </c>
      <c r="S241" s="4">
        <v>0</v>
      </c>
      <c r="T241" s="4">
        <v>0</v>
      </c>
      <c r="U241" s="4">
        <v>0</v>
      </c>
      <c r="V241" s="4">
        <v>0</v>
      </c>
      <c r="W241" s="4">
        <v>0</v>
      </c>
      <c r="X241" s="4">
        <v>22.05309735</v>
      </c>
      <c r="Y241" s="4">
        <v>0</v>
      </c>
      <c r="Z241" s="4"/>
      <c r="AA241" s="4"/>
      <c r="AB241" s="4"/>
      <c r="AC241" s="4"/>
      <c r="AD241" s="4"/>
      <c r="AE241" s="4"/>
      <c r="AF241" s="4">
        <v>4.5</v>
      </c>
      <c r="AG241" s="4">
        <v>0</v>
      </c>
      <c r="AH241" s="4">
        <v>6</v>
      </c>
      <c r="AI241" s="4">
        <v>0</v>
      </c>
      <c r="AJ241" s="3" t="s">
        <v>1036</v>
      </c>
      <c r="AK241" s="4">
        <v>0</v>
      </c>
      <c r="AL241" s="4">
        <v>0</v>
      </c>
      <c r="AM241" s="6"/>
      <c r="AN241" s="6"/>
      <c r="AO241" s="3" t="s">
        <v>1034</v>
      </c>
      <c r="AP241" s="3" t="s">
        <v>937</v>
      </c>
      <c r="AQ241" s="4"/>
      <c r="AR241" s="4"/>
      <c r="AS241" s="2"/>
    </row>
    <row r="242" ht="16.5" hidden="1" spans="1:45">
      <c r="A242" s="3" t="s">
        <v>1045</v>
      </c>
      <c r="B242" s="3" t="s">
        <v>1030</v>
      </c>
      <c r="C242" s="3" t="s">
        <v>935</v>
      </c>
      <c r="D242" s="3" t="s">
        <v>1042</v>
      </c>
      <c r="E242" s="3" t="s">
        <v>1032</v>
      </c>
      <c r="F242" s="4">
        <v>0</v>
      </c>
      <c r="G242" s="4">
        <v>0</v>
      </c>
      <c r="H242" s="4">
        <v>0</v>
      </c>
      <c r="I242" s="4">
        <v>0</v>
      </c>
      <c r="J242" s="4">
        <v>0</v>
      </c>
      <c r="K242" s="4">
        <v>0</v>
      </c>
      <c r="L242" s="4">
        <v>150</v>
      </c>
      <c r="M242" s="5">
        <v>150</v>
      </c>
      <c r="N242" s="4">
        <v>0</v>
      </c>
      <c r="O242" s="4">
        <v>2475.663717</v>
      </c>
      <c r="P242" s="4">
        <v>0</v>
      </c>
      <c r="Q242" s="4">
        <v>0</v>
      </c>
      <c r="R242" s="4">
        <v>0</v>
      </c>
      <c r="S242" s="4">
        <v>0</v>
      </c>
      <c r="T242" s="4">
        <v>0</v>
      </c>
      <c r="U242" s="4">
        <v>0</v>
      </c>
      <c r="V242" s="4">
        <v>0</v>
      </c>
      <c r="W242" s="4">
        <v>0</v>
      </c>
      <c r="X242" s="4">
        <v>16.50442478</v>
      </c>
      <c r="Y242" s="4">
        <v>0</v>
      </c>
      <c r="Z242" s="4"/>
      <c r="AA242" s="4"/>
      <c r="AB242" s="4"/>
      <c r="AC242" s="4"/>
      <c r="AD242" s="4"/>
      <c r="AE242" s="4"/>
      <c r="AF242" s="4">
        <v>4.5</v>
      </c>
      <c r="AG242" s="4">
        <v>0</v>
      </c>
      <c r="AH242" s="4">
        <v>6</v>
      </c>
      <c r="AI242" s="4">
        <v>0</v>
      </c>
      <c r="AJ242" s="3" t="s">
        <v>1036</v>
      </c>
      <c r="AK242" s="4">
        <v>0</v>
      </c>
      <c r="AL242" s="4">
        <v>0</v>
      </c>
      <c r="AM242" s="6"/>
      <c r="AN242" s="6"/>
      <c r="AO242" s="3" t="s">
        <v>1034</v>
      </c>
      <c r="AP242" s="3" t="s">
        <v>937</v>
      </c>
      <c r="AQ242" s="4"/>
      <c r="AR242" s="4"/>
      <c r="AS242" s="2"/>
    </row>
    <row r="243" ht="16.5" hidden="1" spans="1:45">
      <c r="A243" s="3" t="s">
        <v>1046</v>
      </c>
      <c r="B243" s="3" t="s">
        <v>1030</v>
      </c>
      <c r="C243" s="3" t="s">
        <v>935</v>
      </c>
      <c r="D243" s="3" t="s">
        <v>1042</v>
      </c>
      <c r="E243" s="3" t="s">
        <v>1032</v>
      </c>
      <c r="F243" s="4">
        <v>0</v>
      </c>
      <c r="G243" s="4">
        <v>0</v>
      </c>
      <c r="H243" s="4">
        <v>0</v>
      </c>
      <c r="I243" s="4">
        <v>0</v>
      </c>
      <c r="J243" s="4">
        <v>0</v>
      </c>
      <c r="K243" s="4">
        <v>0</v>
      </c>
      <c r="L243" s="4">
        <v>1000</v>
      </c>
      <c r="M243" s="5">
        <v>1000</v>
      </c>
      <c r="N243" s="4">
        <v>0</v>
      </c>
      <c r="O243" s="4">
        <v>16557.52212</v>
      </c>
      <c r="P243" s="4">
        <v>0</v>
      </c>
      <c r="Q243" s="4">
        <v>0</v>
      </c>
      <c r="R243" s="4">
        <v>0</v>
      </c>
      <c r="S243" s="4">
        <v>0</v>
      </c>
      <c r="T243" s="4">
        <v>0</v>
      </c>
      <c r="U243" s="4">
        <v>0</v>
      </c>
      <c r="V243" s="4">
        <v>0</v>
      </c>
      <c r="W243" s="4">
        <v>0</v>
      </c>
      <c r="X243" s="4">
        <v>16.55752212</v>
      </c>
      <c r="Y243" s="4">
        <v>0</v>
      </c>
      <c r="Z243" s="4"/>
      <c r="AA243" s="4"/>
      <c r="AB243" s="4"/>
      <c r="AC243" s="4"/>
      <c r="AD243" s="4"/>
      <c r="AE243" s="4"/>
      <c r="AF243" s="4">
        <v>4.5</v>
      </c>
      <c r="AG243" s="4">
        <v>0</v>
      </c>
      <c r="AH243" s="4">
        <v>6</v>
      </c>
      <c r="AI243" s="4">
        <v>0</v>
      </c>
      <c r="AJ243" s="3" t="s">
        <v>1036</v>
      </c>
      <c r="AK243" s="4">
        <v>0</v>
      </c>
      <c r="AL243" s="4">
        <v>0</v>
      </c>
      <c r="AM243" s="6"/>
      <c r="AN243" s="6"/>
      <c r="AO243" s="3" t="s">
        <v>1034</v>
      </c>
      <c r="AP243" s="3" t="s">
        <v>937</v>
      </c>
      <c r="AQ243" s="4"/>
      <c r="AR243" s="4"/>
      <c r="AS243" s="2"/>
    </row>
    <row r="244" ht="16.5" hidden="1" spans="1:45">
      <c r="A244" s="3" t="s">
        <v>1047</v>
      </c>
      <c r="B244" s="3" t="s">
        <v>1030</v>
      </c>
      <c r="C244" s="3" t="s">
        <v>935</v>
      </c>
      <c r="D244" s="3" t="s">
        <v>1042</v>
      </c>
      <c r="E244" s="3" t="s">
        <v>1032</v>
      </c>
      <c r="F244" s="4">
        <v>0</v>
      </c>
      <c r="G244" s="4">
        <v>0</v>
      </c>
      <c r="H244" s="4">
        <v>0</v>
      </c>
      <c r="I244" s="4">
        <v>0</v>
      </c>
      <c r="J244" s="4">
        <v>0</v>
      </c>
      <c r="K244" s="4">
        <v>0</v>
      </c>
      <c r="L244" s="4">
        <v>150</v>
      </c>
      <c r="M244" s="5">
        <v>150</v>
      </c>
      <c r="N244" s="4">
        <v>0</v>
      </c>
      <c r="O244" s="4">
        <v>3760.619469</v>
      </c>
      <c r="P244" s="4">
        <v>0</v>
      </c>
      <c r="Q244" s="4">
        <v>0</v>
      </c>
      <c r="R244" s="4">
        <v>0</v>
      </c>
      <c r="S244" s="4">
        <v>0</v>
      </c>
      <c r="T244" s="4">
        <v>0</v>
      </c>
      <c r="U244" s="4">
        <v>0</v>
      </c>
      <c r="V244" s="4">
        <v>0</v>
      </c>
      <c r="W244" s="4">
        <v>0</v>
      </c>
      <c r="X244" s="4">
        <v>25.07079646</v>
      </c>
      <c r="Y244" s="4">
        <v>0</v>
      </c>
      <c r="Z244" s="4"/>
      <c r="AA244" s="4"/>
      <c r="AB244" s="4"/>
      <c r="AC244" s="4"/>
      <c r="AD244" s="4"/>
      <c r="AE244" s="4"/>
      <c r="AF244" s="4">
        <v>4.5</v>
      </c>
      <c r="AG244" s="4">
        <v>0</v>
      </c>
      <c r="AH244" s="4">
        <v>6</v>
      </c>
      <c r="AI244" s="4">
        <v>0</v>
      </c>
      <c r="AJ244" s="3" t="s">
        <v>1036</v>
      </c>
      <c r="AK244" s="4">
        <v>0</v>
      </c>
      <c r="AL244" s="4">
        <v>0</v>
      </c>
      <c r="AM244" s="6"/>
      <c r="AN244" s="6"/>
      <c r="AO244" s="3" t="s">
        <v>1034</v>
      </c>
      <c r="AP244" s="3" t="s">
        <v>937</v>
      </c>
      <c r="AQ244" s="4"/>
      <c r="AR244" s="4"/>
      <c r="AS244" s="2"/>
    </row>
    <row r="245" ht="16.5" hidden="1" spans="1:45">
      <c r="A245" s="3" t="s">
        <v>1048</v>
      </c>
      <c r="B245" s="3" t="s">
        <v>1030</v>
      </c>
      <c r="C245" s="3" t="s">
        <v>935</v>
      </c>
      <c r="D245" s="3" t="s">
        <v>1042</v>
      </c>
      <c r="E245" s="3" t="s">
        <v>1032</v>
      </c>
      <c r="F245" s="4">
        <v>0</v>
      </c>
      <c r="G245" s="4">
        <v>0</v>
      </c>
      <c r="H245" s="4">
        <v>0</v>
      </c>
      <c r="I245" s="4">
        <v>0</v>
      </c>
      <c r="J245" s="4">
        <v>0</v>
      </c>
      <c r="K245" s="4">
        <v>0</v>
      </c>
      <c r="L245" s="4">
        <v>150</v>
      </c>
      <c r="M245" s="5">
        <v>150</v>
      </c>
      <c r="N245" s="4">
        <v>0</v>
      </c>
      <c r="O245" s="4">
        <v>3366.371682</v>
      </c>
      <c r="P245" s="4">
        <v>0</v>
      </c>
      <c r="Q245" s="4">
        <v>0</v>
      </c>
      <c r="R245" s="4">
        <v>0</v>
      </c>
      <c r="S245" s="4">
        <v>0</v>
      </c>
      <c r="T245" s="4">
        <v>0</v>
      </c>
      <c r="U245" s="4">
        <v>0</v>
      </c>
      <c r="V245" s="4">
        <v>0</v>
      </c>
      <c r="W245" s="4">
        <v>0</v>
      </c>
      <c r="X245" s="4">
        <v>22.44247788</v>
      </c>
      <c r="Y245" s="4">
        <v>0</v>
      </c>
      <c r="Z245" s="4"/>
      <c r="AA245" s="4"/>
      <c r="AB245" s="4"/>
      <c r="AC245" s="4"/>
      <c r="AD245" s="4"/>
      <c r="AE245" s="4"/>
      <c r="AF245" s="4">
        <v>4.5</v>
      </c>
      <c r="AG245" s="4">
        <v>0</v>
      </c>
      <c r="AH245" s="4">
        <v>6</v>
      </c>
      <c r="AI245" s="4">
        <v>0</v>
      </c>
      <c r="AJ245" s="3" t="s">
        <v>1036</v>
      </c>
      <c r="AK245" s="4">
        <v>0</v>
      </c>
      <c r="AL245" s="4">
        <v>0</v>
      </c>
      <c r="AM245" s="6"/>
      <c r="AN245" s="6"/>
      <c r="AO245" s="3" t="s">
        <v>1034</v>
      </c>
      <c r="AP245" s="3" t="s">
        <v>937</v>
      </c>
      <c r="AQ245" s="4"/>
      <c r="AR245" s="4"/>
      <c r="AS245" s="2"/>
    </row>
    <row r="246" ht="16.5" hidden="1" spans="1:45">
      <c r="A246" s="3" t="s">
        <v>1049</v>
      </c>
      <c r="B246" s="3" t="s">
        <v>1030</v>
      </c>
      <c r="C246" s="3" t="s">
        <v>935</v>
      </c>
      <c r="D246" s="3" t="s">
        <v>1042</v>
      </c>
      <c r="E246" s="3" t="s">
        <v>1032</v>
      </c>
      <c r="F246" s="4">
        <v>0</v>
      </c>
      <c r="G246" s="4">
        <v>0</v>
      </c>
      <c r="H246" s="4">
        <v>0</v>
      </c>
      <c r="I246" s="4">
        <v>0</v>
      </c>
      <c r="J246" s="4">
        <v>0</v>
      </c>
      <c r="K246" s="4">
        <v>0</v>
      </c>
      <c r="L246" s="4">
        <v>150</v>
      </c>
      <c r="M246" s="5">
        <v>150</v>
      </c>
      <c r="N246" s="4">
        <v>0</v>
      </c>
      <c r="O246" s="4">
        <v>2932.300886</v>
      </c>
      <c r="P246" s="4">
        <v>0</v>
      </c>
      <c r="Q246" s="4">
        <v>0</v>
      </c>
      <c r="R246" s="4">
        <v>0</v>
      </c>
      <c r="S246" s="4">
        <v>0</v>
      </c>
      <c r="T246" s="4">
        <v>0</v>
      </c>
      <c r="U246" s="4">
        <v>0</v>
      </c>
      <c r="V246" s="4">
        <v>0</v>
      </c>
      <c r="W246" s="4">
        <v>0</v>
      </c>
      <c r="X246" s="4">
        <v>19.54867257</v>
      </c>
      <c r="Y246" s="4">
        <v>0</v>
      </c>
      <c r="Z246" s="4"/>
      <c r="AA246" s="4"/>
      <c r="AB246" s="4"/>
      <c r="AC246" s="4"/>
      <c r="AD246" s="4"/>
      <c r="AE246" s="4"/>
      <c r="AF246" s="4">
        <v>4.5</v>
      </c>
      <c r="AG246" s="4">
        <v>0</v>
      </c>
      <c r="AH246" s="4">
        <v>6</v>
      </c>
      <c r="AI246" s="4">
        <v>0</v>
      </c>
      <c r="AJ246" s="3" t="s">
        <v>1036</v>
      </c>
      <c r="AK246" s="4">
        <v>0</v>
      </c>
      <c r="AL246" s="4">
        <v>0</v>
      </c>
      <c r="AM246" s="6"/>
      <c r="AN246" s="6"/>
      <c r="AO246" s="3" t="s">
        <v>1034</v>
      </c>
      <c r="AP246" s="3" t="s">
        <v>937</v>
      </c>
      <c r="AQ246" s="4"/>
      <c r="AR246" s="4"/>
      <c r="AS246" s="2"/>
    </row>
    <row r="247" ht="16.5" hidden="1" spans="1:45">
      <c r="A247" s="3" t="s">
        <v>1050</v>
      </c>
      <c r="B247" s="3" t="s">
        <v>1030</v>
      </c>
      <c r="C247" s="3" t="s">
        <v>935</v>
      </c>
      <c r="D247" s="3" t="s">
        <v>1042</v>
      </c>
      <c r="E247" s="3" t="s">
        <v>1032</v>
      </c>
      <c r="F247" s="4">
        <v>0</v>
      </c>
      <c r="G247" s="4">
        <v>0</v>
      </c>
      <c r="H247" s="4">
        <v>0</v>
      </c>
      <c r="I247" s="4">
        <v>0</v>
      </c>
      <c r="J247" s="4">
        <v>0</v>
      </c>
      <c r="K247" s="4">
        <v>0</v>
      </c>
      <c r="L247" s="4">
        <v>200</v>
      </c>
      <c r="M247" s="5">
        <v>200</v>
      </c>
      <c r="N247" s="4">
        <v>0</v>
      </c>
      <c r="O247" s="4">
        <v>4660.176992</v>
      </c>
      <c r="P247" s="4">
        <v>0</v>
      </c>
      <c r="Q247" s="4">
        <v>0</v>
      </c>
      <c r="R247" s="4">
        <v>0</v>
      </c>
      <c r="S247" s="4">
        <v>0</v>
      </c>
      <c r="T247" s="4">
        <v>0</v>
      </c>
      <c r="U247" s="4">
        <v>0</v>
      </c>
      <c r="V247" s="4">
        <v>0</v>
      </c>
      <c r="W247" s="4">
        <v>0</v>
      </c>
      <c r="X247" s="4">
        <v>23.30088496</v>
      </c>
      <c r="Y247" s="4">
        <v>0</v>
      </c>
      <c r="Z247" s="4"/>
      <c r="AA247" s="4"/>
      <c r="AB247" s="4"/>
      <c r="AC247" s="4"/>
      <c r="AD247" s="4"/>
      <c r="AE247" s="4"/>
      <c r="AF247" s="4">
        <v>4.5</v>
      </c>
      <c r="AG247" s="4">
        <v>0</v>
      </c>
      <c r="AH247" s="4">
        <v>6</v>
      </c>
      <c r="AI247" s="4">
        <v>0</v>
      </c>
      <c r="AJ247" s="3" t="s">
        <v>1036</v>
      </c>
      <c r="AK247" s="4">
        <v>0</v>
      </c>
      <c r="AL247" s="4">
        <v>0</v>
      </c>
      <c r="AM247" s="6"/>
      <c r="AN247" s="6"/>
      <c r="AO247" s="3" t="s">
        <v>1034</v>
      </c>
      <c r="AP247" s="3" t="s">
        <v>937</v>
      </c>
      <c r="AQ247" s="4"/>
      <c r="AR247" s="4"/>
      <c r="AS247" s="2"/>
    </row>
    <row r="248" ht="16.5" hidden="1" spans="1:45">
      <c r="A248" s="3" t="s">
        <v>1051</v>
      </c>
      <c r="B248" s="3" t="s">
        <v>1030</v>
      </c>
      <c r="C248" s="3" t="s">
        <v>935</v>
      </c>
      <c r="D248" s="3" t="s">
        <v>1042</v>
      </c>
      <c r="E248" s="3" t="s">
        <v>1032</v>
      </c>
      <c r="F248" s="4">
        <v>0</v>
      </c>
      <c r="G248" s="4">
        <v>0</v>
      </c>
      <c r="H248" s="4">
        <v>0</v>
      </c>
      <c r="I248" s="4">
        <v>0</v>
      </c>
      <c r="J248" s="4">
        <v>0</v>
      </c>
      <c r="K248" s="4">
        <v>0</v>
      </c>
      <c r="L248" s="4">
        <v>150</v>
      </c>
      <c r="M248" s="5">
        <v>150</v>
      </c>
      <c r="N248" s="4">
        <v>0</v>
      </c>
      <c r="O248" s="4">
        <v>3485.840708</v>
      </c>
      <c r="P248" s="4">
        <v>0</v>
      </c>
      <c r="Q248" s="4">
        <v>0</v>
      </c>
      <c r="R248" s="4">
        <v>0</v>
      </c>
      <c r="S248" s="4">
        <v>0</v>
      </c>
      <c r="T248" s="4">
        <v>0</v>
      </c>
      <c r="U248" s="4">
        <v>0</v>
      </c>
      <c r="V248" s="4">
        <v>0</v>
      </c>
      <c r="W248" s="4">
        <v>0</v>
      </c>
      <c r="X248" s="4">
        <v>23.23893805</v>
      </c>
      <c r="Y248" s="4">
        <v>0</v>
      </c>
      <c r="Z248" s="4"/>
      <c r="AA248" s="4"/>
      <c r="AB248" s="4"/>
      <c r="AC248" s="4"/>
      <c r="AD248" s="4"/>
      <c r="AE248" s="4"/>
      <c r="AF248" s="4">
        <v>4.5</v>
      </c>
      <c r="AG248" s="4">
        <v>0</v>
      </c>
      <c r="AH248" s="4">
        <v>6</v>
      </c>
      <c r="AI248" s="4">
        <v>0</v>
      </c>
      <c r="AJ248" s="3" t="s">
        <v>1036</v>
      </c>
      <c r="AK248" s="4">
        <v>0</v>
      </c>
      <c r="AL248" s="4">
        <v>0</v>
      </c>
      <c r="AM248" s="6"/>
      <c r="AN248" s="6"/>
      <c r="AO248" s="3" t="s">
        <v>1034</v>
      </c>
      <c r="AP248" s="3" t="s">
        <v>937</v>
      </c>
      <c r="AQ248" s="4"/>
      <c r="AR248" s="4"/>
      <c r="AS248" s="2"/>
    </row>
    <row r="249" ht="16.5" hidden="1" spans="1:45">
      <c r="A249" s="3" t="s">
        <v>1052</v>
      </c>
      <c r="B249" s="3" t="s">
        <v>1030</v>
      </c>
      <c r="C249" s="3" t="s">
        <v>935</v>
      </c>
      <c r="D249" s="3" t="s">
        <v>1042</v>
      </c>
      <c r="E249" s="3" t="s">
        <v>1032</v>
      </c>
      <c r="F249" s="4">
        <v>0</v>
      </c>
      <c r="G249" s="4">
        <v>0</v>
      </c>
      <c r="H249" s="4">
        <v>0</v>
      </c>
      <c r="I249" s="4">
        <v>0</v>
      </c>
      <c r="J249" s="4">
        <v>0</v>
      </c>
      <c r="K249" s="4">
        <v>0</v>
      </c>
      <c r="L249" s="4">
        <v>150</v>
      </c>
      <c r="M249" s="5">
        <v>150</v>
      </c>
      <c r="N249" s="4">
        <v>0</v>
      </c>
      <c r="O249" s="4">
        <v>3961.061948</v>
      </c>
      <c r="P249" s="4">
        <v>0</v>
      </c>
      <c r="Q249" s="4">
        <v>0</v>
      </c>
      <c r="R249" s="4">
        <v>0</v>
      </c>
      <c r="S249" s="4">
        <v>0</v>
      </c>
      <c r="T249" s="4">
        <v>0</v>
      </c>
      <c r="U249" s="4">
        <v>0</v>
      </c>
      <c r="V249" s="4">
        <v>0</v>
      </c>
      <c r="W249" s="4">
        <v>0</v>
      </c>
      <c r="X249" s="4">
        <v>26.40707965</v>
      </c>
      <c r="Y249" s="4">
        <v>0</v>
      </c>
      <c r="Z249" s="4"/>
      <c r="AA249" s="4"/>
      <c r="AB249" s="4"/>
      <c r="AC249" s="4"/>
      <c r="AD249" s="4"/>
      <c r="AE249" s="4"/>
      <c r="AF249" s="4">
        <v>4.5</v>
      </c>
      <c r="AG249" s="4">
        <v>0</v>
      </c>
      <c r="AH249" s="4">
        <v>6</v>
      </c>
      <c r="AI249" s="4">
        <v>0</v>
      </c>
      <c r="AJ249" s="3" t="s">
        <v>1036</v>
      </c>
      <c r="AK249" s="4">
        <v>0</v>
      </c>
      <c r="AL249" s="4">
        <v>0</v>
      </c>
      <c r="AM249" s="6"/>
      <c r="AN249" s="6"/>
      <c r="AO249" s="3" t="s">
        <v>1034</v>
      </c>
      <c r="AP249" s="3" t="s">
        <v>937</v>
      </c>
      <c r="AQ249" s="4"/>
      <c r="AR249" s="4"/>
      <c r="AS249" s="2"/>
    </row>
    <row r="250" ht="16.5" hidden="1" spans="1:45">
      <c r="A250" s="3" t="s">
        <v>1053</v>
      </c>
      <c r="B250" s="3" t="s">
        <v>1030</v>
      </c>
      <c r="C250" s="3" t="s">
        <v>935</v>
      </c>
      <c r="D250" s="3" t="s">
        <v>1042</v>
      </c>
      <c r="E250" s="3" t="s">
        <v>1032</v>
      </c>
      <c r="F250" s="4">
        <v>0</v>
      </c>
      <c r="G250" s="4">
        <v>0</v>
      </c>
      <c r="H250" s="4">
        <v>0</v>
      </c>
      <c r="I250" s="4">
        <v>0</v>
      </c>
      <c r="J250" s="4">
        <v>0</v>
      </c>
      <c r="K250" s="4">
        <v>0</v>
      </c>
      <c r="L250" s="4">
        <v>180</v>
      </c>
      <c r="M250" s="5">
        <v>180</v>
      </c>
      <c r="N250" s="4">
        <v>0</v>
      </c>
      <c r="O250" s="4">
        <v>3509.20354</v>
      </c>
      <c r="P250" s="4">
        <v>0</v>
      </c>
      <c r="Q250" s="4">
        <v>0</v>
      </c>
      <c r="R250" s="4">
        <v>0</v>
      </c>
      <c r="S250" s="4">
        <v>0</v>
      </c>
      <c r="T250" s="4">
        <v>0</v>
      </c>
      <c r="U250" s="4">
        <v>0</v>
      </c>
      <c r="V250" s="4">
        <v>0</v>
      </c>
      <c r="W250" s="4">
        <v>0</v>
      </c>
      <c r="X250" s="4">
        <v>19.49557522</v>
      </c>
      <c r="Y250" s="4">
        <v>0</v>
      </c>
      <c r="Z250" s="4"/>
      <c r="AA250" s="4"/>
      <c r="AB250" s="4"/>
      <c r="AC250" s="4"/>
      <c r="AD250" s="4"/>
      <c r="AE250" s="4"/>
      <c r="AF250" s="4">
        <v>4.5</v>
      </c>
      <c r="AG250" s="4">
        <v>0</v>
      </c>
      <c r="AH250" s="4">
        <v>6</v>
      </c>
      <c r="AI250" s="4">
        <v>0</v>
      </c>
      <c r="AJ250" s="3" t="s">
        <v>1036</v>
      </c>
      <c r="AK250" s="4">
        <v>0</v>
      </c>
      <c r="AL250" s="4">
        <v>0</v>
      </c>
      <c r="AM250" s="6"/>
      <c r="AN250" s="6"/>
      <c r="AO250" s="3" t="s">
        <v>1034</v>
      </c>
      <c r="AP250" s="3" t="s">
        <v>937</v>
      </c>
      <c r="AQ250" s="4"/>
      <c r="AR250" s="4"/>
      <c r="AS250" s="2"/>
    </row>
    <row r="251" ht="16.5" hidden="1" spans="1:45">
      <c r="A251" s="3" t="s">
        <v>1054</v>
      </c>
      <c r="B251" s="3" t="s">
        <v>1030</v>
      </c>
      <c r="C251" s="3" t="s">
        <v>935</v>
      </c>
      <c r="D251" s="3" t="s">
        <v>1042</v>
      </c>
      <c r="E251" s="3" t="s">
        <v>1032</v>
      </c>
      <c r="F251" s="4">
        <v>0</v>
      </c>
      <c r="G251" s="4">
        <v>0</v>
      </c>
      <c r="H251" s="4">
        <v>0</v>
      </c>
      <c r="I251" s="4">
        <v>0</v>
      </c>
      <c r="J251" s="4">
        <v>0</v>
      </c>
      <c r="K251" s="4">
        <v>0</v>
      </c>
      <c r="L251" s="4">
        <v>150</v>
      </c>
      <c r="M251" s="5">
        <v>150</v>
      </c>
      <c r="N251" s="4">
        <v>0</v>
      </c>
      <c r="O251" s="4">
        <v>2823.451328</v>
      </c>
      <c r="P251" s="4">
        <v>0</v>
      </c>
      <c r="Q251" s="4">
        <v>0</v>
      </c>
      <c r="R251" s="4">
        <v>0</v>
      </c>
      <c r="S251" s="4">
        <v>0</v>
      </c>
      <c r="T251" s="4">
        <v>0</v>
      </c>
      <c r="U251" s="4">
        <v>0</v>
      </c>
      <c r="V251" s="4">
        <v>0</v>
      </c>
      <c r="W251" s="4">
        <v>0</v>
      </c>
      <c r="X251" s="4">
        <v>18.82300885</v>
      </c>
      <c r="Y251" s="4">
        <v>0</v>
      </c>
      <c r="Z251" s="4"/>
      <c r="AA251" s="4"/>
      <c r="AB251" s="4"/>
      <c r="AC251" s="4"/>
      <c r="AD251" s="4"/>
      <c r="AE251" s="4"/>
      <c r="AF251" s="4">
        <v>4.5</v>
      </c>
      <c r="AG251" s="4">
        <v>0</v>
      </c>
      <c r="AH251" s="4">
        <v>6</v>
      </c>
      <c r="AI251" s="4">
        <v>0</v>
      </c>
      <c r="AJ251" s="3" t="s">
        <v>1036</v>
      </c>
      <c r="AK251" s="4">
        <v>0</v>
      </c>
      <c r="AL251" s="4">
        <v>0</v>
      </c>
      <c r="AM251" s="6"/>
      <c r="AN251" s="6"/>
      <c r="AO251" s="3" t="s">
        <v>1034</v>
      </c>
      <c r="AP251" s="3" t="s">
        <v>937</v>
      </c>
      <c r="AQ251" s="4"/>
      <c r="AR251" s="4"/>
      <c r="AS251" s="2"/>
    </row>
    <row r="252" ht="16.5" hidden="1" spans="1:45">
      <c r="A252" s="3" t="s">
        <v>1055</v>
      </c>
      <c r="B252" s="3" t="s">
        <v>1030</v>
      </c>
      <c r="C252" s="3" t="s">
        <v>935</v>
      </c>
      <c r="D252" s="3" t="s">
        <v>1042</v>
      </c>
      <c r="E252" s="3" t="s">
        <v>1032</v>
      </c>
      <c r="F252" s="4">
        <v>0</v>
      </c>
      <c r="G252" s="4">
        <v>0</v>
      </c>
      <c r="H252" s="4">
        <v>0</v>
      </c>
      <c r="I252" s="4">
        <v>0</v>
      </c>
      <c r="J252" s="4">
        <v>0</v>
      </c>
      <c r="K252" s="4">
        <v>0</v>
      </c>
      <c r="L252" s="4">
        <v>180</v>
      </c>
      <c r="M252" s="5">
        <v>180</v>
      </c>
      <c r="N252" s="4">
        <v>0</v>
      </c>
      <c r="O252" s="4">
        <v>3177.876107</v>
      </c>
      <c r="P252" s="4">
        <v>0</v>
      </c>
      <c r="Q252" s="4">
        <v>0</v>
      </c>
      <c r="R252" s="4">
        <v>0</v>
      </c>
      <c r="S252" s="4">
        <v>0</v>
      </c>
      <c r="T252" s="4">
        <v>0</v>
      </c>
      <c r="U252" s="4">
        <v>0</v>
      </c>
      <c r="V252" s="4">
        <v>0</v>
      </c>
      <c r="W252" s="4">
        <v>0</v>
      </c>
      <c r="X252" s="4">
        <v>17.65486726</v>
      </c>
      <c r="Y252" s="4">
        <v>0</v>
      </c>
      <c r="Z252" s="4"/>
      <c r="AA252" s="4"/>
      <c r="AB252" s="4"/>
      <c r="AC252" s="4"/>
      <c r="AD252" s="4"/>
      <c r="AE252" s="4"/>
      <c r="AF252" s="4">
        <v>4.5</v>
      </c>
      <c r="AG252" s="4">
        <v>0</v>
      </c>
      <c r="AH252" s="4">
        <v>6</v>
      </c>
      <c r="AI252" s="4">
        <v>0</v>
      </c>
      <c r="AJ252" s="3" t="s">
        <v>1036</v>
      </c>
      <c r="AK252" s="4">
        <v>0</v>
      </c>
      <c r="AL252" s="4">
        <v>0</v>
      </c>
      <c r="AM252" s="6"/>
      <c r="AN252" s="6"/>
      <c r="AO252" s="3" t="s">
        <v>1034</v>
      </c>
      <c r="AP252" s="3" t="s">
        <v>937</v>
      </c>
      <c r="AQ252" s="4"/>
      <c r="AR252" s="4"/>
      <c r="AS252" s="2"/>
    </row>
    <row r="253" ht="16.5" hidden="1" spans="1:45">
      <c r="A253" s="3" t="s">
        <v>1056</v>
      </c>
      <c r="B253" s="3" t="s">
        <v>1030</v>
      </c>
      <c r="C253" s="3" t="s">
        <v>935</v>
      </c>
      <c r="D253" s="3" t="s">
        <v>1042</v>
      </c>
      <c r="E253" s="3" t="s">
        <v>1032</v>
      </c>
      <c r="F253" s="4">
        <v>0</v>
      </c>
      <c r="G253" s="4">
        <v>0</v>
      </c>
      <c r="H253" s="4">
        <v>0</v>
      </c>
      <c r="I253" s="4">
        <v>0</v>
      </c>
      <c r="J253" s="4">
        <v>0</v>
      </c>
      <c r="K253" s="4">
        <v>0</v>
      </c>
      <c r="L253" s="4">
        <v>150</v>
      </c>
      <c r="M253" s="5">
        <v>150</v>
      </c>
      <c r="N253" s="4">
        <v>0</v>
      </c>
      <c r="O253" s="4">
        <v>2832.743363</v>
      </c>
      <c r="P253" s="4">
        <v>0</v>
      </c>
      <c r="Q253" s="4">
        <v>0</v>
      </c>
      <c r="R253" s="4">
        <v>0</v>
      </c>
      <c r="S253" s="4">
        <v>0</v>
      </c>
      <c r="T253" s="4">
        <v>0</v>
      </c>
      <c r="U253" s="4">
        <v>0</v>
      </c>
      <c r="V253" s="4">
        <v>0</v>
      </c>
      <c r="W253" s="4">
        <v>0</v>
      </c>
      <c r="X253" s="4">
        <v>18.88495575</v>
      </c>
      <c r="Y253" s="4">
        <v>0</v>
      </c>
      <c r="Z253" s="4"/>
      <c r="AA253" s="4"/>
      <c r="AB253" s="4"/>
      <c r="AC253" s="4"/>
      <c r="AD253" s="4"/>
      <c r="AE253" s="4"/>
      <c r="AF253" s="4">
        <v>4.5</v>
      </c>
      <c r="AG253" s="4">
        <v>0</v>
      </c>
      <c r="AH253" s="4">
        <v>6</v>
      </c>
      <c r="AI253" s="4">
        <v>0</v>
      </c>
      <c r="AJ253" s="3" t="s">
        <v>1036</v>
      </c>
      <c r="AK253" s="4">
        <v>0</v>
      </c>
      <c r="AL253" s="4">
        <v>0</v>
      </c>
      <c r="AM253" s="6"/>
      <c r="AN253" s="6"/>
      <c r="AO253" s="3" t="s">
        <v>1034</v>
      </c>
      <c r="AP253" s="3" t="s">
        <v>937</v>
      </c>
      <c r="AQ253" s="4"/>
      <c r="AR253" s="4"/>
      <c r="AS253" s="2"/>
    </row>
    <row r="254" ht="16.5" hidden="1" spans="1:45">
      <c r="A254" s="3" t="s">
        <v>1057</v>
      </c>
      <c r="B254" s="3" t="s">
        <v>1030</v>
      </c>
      <c r="C254" s="3" t="s">
        <v>935</v>
      </c>
      <c r="D254" s="3" t="s">
        <v>1042</v>
      </c>
      <c r="E254" s="3" t="s">
        <v>1032</v>
      </c>
      <c r="F254" s="4">
        <v>0</v>
      </c>
      <c r="G254" s="4">
        <v>0</v>
      </c>
      <c r="H254" s="4">
        <v>0</v>
      </c>
      <c r="I254" s="4">
        <v>0</v>
      </c>
      <c r="J254" s="4">
        <v>0</v>
      </c>
      <c r="K254" s="4">
        <v>0</v>
      </c>
      <c r="L254" s="4">
        <v>150</v>
      </c>
      <c r="M254" s="5">
        <v>150</v>
      </c>
      <c r="N254" s="4">
        <v>0</v>
      </c>
      <c r="O254" s="4">
        <v>2771.681417</v>
      </c>
      <c r="P254" s="4">
        <v>0</v>
      </c>
      <c r="Q254" s="4">
        <v>0</v>
      </c>
      <c r="R254" s="4">
        <v>0</v>
      </c>
      <c r="S254" s="4">
        <v>0</v>
      </c>
      <c r="T254" s="4">
        <v>0</v>
      </c>
      <c r="U254" s="4">
        <v>0</v>
      </c>
      <c r="V254" s="4">
        <v>0</v>
      </c>
      <c r="W254" s="4">
        <v>0</v>
      </c>
      <c r="X254" s="4">
        <v>18.47787611</v>
      </c>
      <c r="Y254" s="4">
        <v>0</v>
      </c>
      <c r="Z254" s="4"/>
      <c r="AA254" s="4"/>
      <c r="AB254" s="4"/>
      <c r="AC254" s="4"/>
      <c r="AD254" s="4"/>
      <c r="AE254" s="4"/>
      <c r="AF254" s="4">
        <v>4.5</v>
      </c>
      <c r="AG254" s="4">
        <v>0</v>
      </c>
      <c r="AH254" s="4">
        <v>6</v>
      </c>
      <c r="AI254" s="4">
        <v>0</v>
      </c>
      <c r="AJ254" s="3" t="s">
        <v>1036</v>
      </c>
      <c r="AK254" s="4">
        <v>0</v>
      </c>
      <c r="AL254" s="4">
        <v>0</v>
      </c>
      <c r="AM254" s="6"/>
      <c r="AN254" s="6"/>
      <c r="AO254" s="3" t="s">
        <v>1034</v>
      </c>
      <c r="AP254" s="3" t="s">
        <v>937</v>
      </c>
      <c r="AQ254" s="4"/>
      <c r="AR254" s="4"/>
      <c r="AS254" s="2"/>
    </row>
    <row r="255" ht="16.5" hidden="1" spans="1:45">
      <c r="A255" s="3" t="s">
        <v>1058</v>
      </c>
      <c r="B255" s="3" t="s">
        <v>1030</v>
      </c>
      <c r="C255" s="3" t="s">
        <v>935</v>
      </c>
      <c r="D255" s="3" t="s">
        <v>1042</v>
      </c>
      <c r="E255" s="3" t="s">
        <v>1032</v>
      </c>
      <c r="F255" s="4">
        <v>0</v>
      </c>
      <c r="G255" s="4">
        <v>0</v>
      </c>
      <c r="H255" s="4">
        <v>0</v>
      </c>
      <c r="I255" s="4">
        <v>0</v>
      </c>
      <c r="J255" s="4">
        <v>0</v>
      </c>
      <c r="K255" s="4">
        <v>0</v>
      </c>
      <c r="L255" s="4">
        <v>150</v>
      </c>
      <c r="M255" s="5">
        <v>150</v>
      </c>
      <c r="N255" s="4">
        <v>0</v>
      </c>
      <c r="O255" s="4">
        <v>3488.495576</v>
      </c>
      <c r="P255" s="4">
        <v>0</v>
      </c>
      <c r="Q255" s="4">
        <v>0</v>
      </c>
      <c r="R255" s="4">
        <v>0</v>
      </c>
      <c r="S255" s="4">
        <v>0</v>
      </c>
      <c r="T255" s="4">
        <v>0</v>
      </c>
      <c r="U255" s="4">
        <v>0</v>
      </c>
      <c r="V255" s="4">
        <v>0</v>
      </c>
      <c r="W255" s="4">
        <v>0</v>
      </c>
      <c r="X255" s="4">
        <v>23.25663717</v>
      </c>
      <c r="Y255" s="4">
        <v>0</v>
      </c>
      <c r="Z255" s="4"/>
      <c r="AA255" s="4"/>
      <c r="AB255" s="4"/>
      <c r="AC255" s="4"/>
      <c r="AD255" s="4"/>
      <c r="AE255" s="4"/>
      <c r="AF255" s="4">
        <v>4.5</v>
      </c>
      <c r="AG255" s="4">
        <v>0</v>
      </c>
      <c r="AH255" s="4">
        <v>6</v>
      </c>
      <c r="AI255" s="4">
        <v>0</v>
      </c>
      <c r="AJ255" s="3" t="s">
        <v>1036</v>
      </c>
      <c r="AK255" s="4">
        <v>0</v>
      </c>
      <c r="AL255" s="4">
        <v>0</v>
      </c>
      <c r="AM255" s="6"/>
      <c r="AN255" s="6"/>
      <c r="AO255" s="3" t="s">
        <v>1034</v>
      </c>
      <c r="AP255" s="3" t="s">
        <v>937</v>
      </c>
      <c r="AQ255" s="4"/>
      <c r="AR255" s="4"/>
      <c r="AS255" s="2"/>
    </row>
    <row r="256" ht="16.5" hidden="1" spans="1:45">
      <c r="A256" s="3" t="s">
        <v>1059</v>
      </c>
      <c r="B256" s="3" t="s">
        <v>1030</v>
      </c>
      <c r="C256" s="3" t="s">
        <v>935</v>
      </c>
      <c r="D256" s="3" t="s">
        <v>1042</v>
      </c>
      <c r="E256" s="3" t="s">
        <v>1032</v>
      </c>
      <c r="F256" s="4">
        <v>0</v>
      </c>
      <c r="G256" s="4">
        <v>0</v>
      </c>
      <c r="H256" s="4">
        <v>0</v>
      </c>
      <c r="I256" s="4">
        <v>0</v>
      </c>
      <c r="J256" s="4">
        <v>0</v>
      </c>
      <c r="K256" s="4">
        <v>0</v>
      </c>
      <c r="L256" s="4">
        <v>150</v>
      </c>
      <c r="M256" s="5">
        <v>150</v>
      </c>
      <c r="N256" s="4">
        <v>0</v>
      </c>
      <c r="O256" s="4">
        <v>2799.557522</v>
      </c>
      <c r="P256" s="4">
        <v>0</v>
      </c>
      <c r="Q256" s="4">
        <v>0</v>
      </c>
      <c r="R256" s="4">
        <v>0</v>
      </c>
      <c r="S256" s="4">
        <v>0</v>
      </c>
      <c r="T256" s="4">
        <v>0</v>
      </c>
      <c r="U256" s="4">
        <v>0</v>
      </c>
      <c r="V256" s="4">
        <v>0</v>
      </c>
      <c r="W256" s="4">
        <v>0</v>
      </c>
      <c r="X256" s="4">
        <v>18.66371681</v>
      </c>
      <c r="Y256" s="4">
        <v>0</v>
      </c>
      <c r="Z256" s="4"/>
      <c r="AA256" s="4"/>
      <c r="AB256" s="4"/>
      <c r="AC256" s="4"/>
      <c r="AD256" s="4"/>
      <c r="AE256" s="4"/>
      <c r="AF256" s="4">
        <v>4.5</v>
      </c>
      <c r="AG256" s="4">
        <v>0</v>
      </c>
      <c r="AH256" s="4">
        <v>6</v>
      </c>
      <c r="AI256" s="4">
        <v>0</v>
      </c>
      <c r="AJ256" s="3" t="s">
        <v>1036</v>
      </c>
      <c r="AK256" s="4">
        <v>0</v>
      </c>
      <c r="AL256" s="4">
        <v>0</v>
      </c>
      <c r="AM256" s="6"/>
      <c r="AN256" s="6"/>
      <c r="AO256" s="3" t="s">
        <v>1034</v>
      </c>
      <c r="AP256" s="3" t="s">
        <v>937</v>
      </c>
      <c r="AQ256" s="4"/>
      <c r="AR256" s="4"/>
      <c r="AS256" s="2"/>
    </row>
    <row r="257" ht="16.5" hidden="1" spans="1:45">
      <c r="A257" s="3" t="s">
        <v>1060</v>
      </c>
      <c r="B257" s="3" t="s">
        <v>1030</v>
      </c>
      <c r="C257" s="3" t="s">
        <v>935</v>
      </c>
      <c r="D257" s="3" t="s">
        <v>1042</v>
      </c>
      <c r="E257" s="3" t="s">
        <v>1032</v>
      </c>
      <c r="F257" s="4">
        <v>0</v>
      </c>
      <c r="G257" s="4">
        <v>0</v>
      </c>
      <c r="H257" s="4">
        <v>0</v>
      </c>
      <c r="I257" s="4">
        <v>0</v>
      </c>
      <c r="J257" s="4">
        <v>0</v>
      </c>
      <c r="K257" s="4">
        <v>0</v>
      </c>
      <c r="L257" s="4">
        <v>400</v>
      </c>
      <c r="M257" s="5">
        <v>400</v>
      </c>
      <c r="N257" s="4">
        <v>0</v>
      </c>
      <c r="O257" s="4">
        <v>9203.539824</v>
      </c>
      <c r="P257" s="4">
        <v>0</v>
      </c>
      <c r="Q257" s="4">
        <v>0</v>
      </c>
      <c r="R257" s="4">
        <v>0</v>
      </c>
      <c r="S257" s="4">
        <v>0</v>
      </c>
      <c r="T257" s="4">
        <v>0</v>
      </c>
      <c r="U257" s="4">
        <v>0</v>
      </c>
      <c r="V257" s="4">
        <v>0</v>
      </c>
      <c r="W257" s="4">
        <v>0</v>
      </c>
      <c r="X257" s="4">
        <v>23.00884956</v>
      </c>
      <c r="Y257" s="4">
        <v>0</v>
      </c>
      <c r="Z257" s="4"/>
      <c r="AA257" s="4"/>
      <c r="AB257" s="4"/>
      <c r="AC257" s="4"/>
      <c r="AD257" s="4"/>
      <c r="AE257" s="4"/>
      <c r="AF257" s="4">
        <v>4.5</v>
      </c>
      <c r="AG257" s="4">
        <v>0</v>
      </c>
      <c r="AH257" s="4">
        <v>6</v>
      </c>
      <c r="AI257" s="4">
        <v>0</v>
      </c>
      <c r="AJ257" s="3" t="s">
        <v>1036</v>
      </c>
      <c r="AK257" s="4">
        <v>0</v>
      </c>
      <c r="AL257" s="4">
        <v>0</v>
      </c>
      <c r="AM257" s="6"/>
      <c r="AN257" s="6"/>
      <c r="AO257" s="3" t="s">
        <v>1034</v>
      </c>
      <c r="AP257" s="3" t="s">
        <v>937</v>
      </c>
      <c r="AQ257" s="4"/>
      <c r="AR257" s="4"/>
      <c r="AS257" s="2"/>
    </row>
    <row r="258" ht="16.5" hidden="1" spans="1:45">
      <c r="A258" s="3" t="s">
        <v>1061</v>
      </c>
      <c r="B258" s="3" t="s">
        <v>1030</v>
      </c>
      <c r="C258" s="3" t="s">
        <v>935</v>
      </c>
      <c r="D258" s="3" t="s">
        <v>1042</v>
      </c>
      <c r="E258" s="3" t="s">
        <v>1032</v>
      </c>
      <c r="F258" s="4">
        <v>0</v>
      </c>
      <c r="G258" s="4">
        <v>0</v>
      </c>
      <c r="H258" s="4">
        <v>0</v>
      </c>
      <c r="I258" s="4">
        <v>0</v>
      </c>
      <c r="J258" s="4">
        <v>0</v>
      </c>
      <c r="K258" s="4">
        <v>0</v>
      </c>
      <c r="L258" s="4">
        <v>150</v>
      </c>
      <c r="M258" s="5">
        <v>150</v>
      </c>
      <c r="N258" s="4">
        <v>0</v>
      </c>
      <c r="O258" s="4">
        <v>3329.203541</v>
      </c>
      <c r="P258" s="4">
        <v>0</v>
      </c>
      <c r="Q258" s="4">
        <v>0</v>
      </c>
      <c r="R258" s="4">
        <v>0</v>
      </c>
      <c r="S258" s="4">
        <v>0</v>
      </c>
      <c r="T258" s="4">
        <v>0</v>
      </c>
      <c r="U258" s="4">
        <v>0</v>
      </c>
      <c r="V258" s="4">
        <v>0</v>
      </c>
      <c r="W258" s="4">
        <v>0</v>
      </c>
      <c r="X258" s="4">
        <v>22.19469027</v>
      </c>
      <c r="Y258" s="4">
        <v>0</v>
      </c>
      <c r="Z258" s="4"/>
      <c r="AA258" s="4"/>
      <c r="AB258" s="4"/>
      <c r="AC258" s="4"/>
      <c r="AD258" s="4"/>
      <c r="AE258" s="4"/>
      <c r="AF258" s="4">
        <v>4.5</v>
      </c>
      <c r="AG258" s="4">
        <v>0</v>
      </c>
      <c r="AH258" s="4">
        <v>6</v>
      </c>
      <c r="AI258" s="4">
        <v>0</v>
      </c>
      <c r="AJ258" s="3" t="s">
        <v>1036</v>
      </c>
      <c r="AK258" s="4">
        <v>0</v>
      </c>
      <c r="AL258" s="4">
        <v>0</v>
      </c>
      <c r="AM258" s="6"/>
      <c r="AN258" s="6"/>
      <c r="AO258" s="3" t="s">
        <v>1034</v>
      </c>
      <c r="AP258" s="3" t="s">
        <v>937</v>
      </c>
      <c r="AQ258" s="4"/>
      <c r="AR258" s="4"/>
      <c r="AS258" s="2"/>
    </row>
    <row r="259" ht="16.5" hidden="1" spans="1:45">
      <c r="A259" s="3" t="s">
        <v>1062</v>
      </c>
      <c r="B259" s="3" t="s">
        <v>1030</v>
      </c>
      <c r="C259" s="3" t="s">
        <v>935</v>
      </c>
      <c r="D259" s="3" t="s">
        <v>1042</v>
      </c>
      <c r="E259" s="3" t="s">
        <v>1032</v>
      </c>
      <c r="F259" s="4">
        <v>0</v>
      </c>
      <c r="G259" s="4">
        <v>0</v>
      </c>
      <c r="H259" s="4">
        <v>0</v>
      </c>
      <c r="I259" s="4">
        <v>0</v>
      </c>
      <c r="J259" s="4">
        <v>0</v>
      </c>
      <c r="K259" s="4">
        <v>0</v>
      </c>
      <c r="L259" s="4">
        <v>150</v>
      </c>
      <c r="M259" s="5">
        <v>150</v>
      </c>
      <c r="N259" s="4">
        <v>0</v>
      </c>
      <c r="O259" s="4">
        <v>3492.477876</v>
      </c>
      <c r="P259" s="4">
        <v>0</v>
      </c>
      <c r="Q259" s="4">
        <v>0</v>
      </c>
      <c r="R259" s="4">
        <v>0</v>
      </c>
      <c r="S259" s="4">
        <v>0</v>
      </c>
      <c r="T259" s="4">
        <v>0</v>
      </c>
      <c r="U259" s="4">
        <v>0</v>
      </c>
      <c r="V259" s="4">
        <v>0</v>
      </c>
      <c r="W259" s="4">
        <v>0</v>
      </c>
      <c r="X259" s="4">
        <v>23.28318584</v>
      </c>
      <c r="Y259" s="4">
        <v>0</v>
      </c>
      <c r="Z259" s="4"/>
      <c r="AA259" s="4"/>
      <c r="AB259" s="4"/>
      <c r="AC259" s="4"/>
      <c r="AD259" s="4"/>
      <c r="AE259" s="4"/>
      <c r="AF259" s="4">
        <v>4.5</v>
      </c>
      <c r="AG259" s="4">
        <v>0</v>
      </c>
      <c r="AH259" s="4">
        <v>6</v>
      </c>
      <c r="AI259" s="4">
        <v>0</v>
      </c>
      <c r="AJ259" s="3" t="s">
        <v>1036</v>
      </c>
      <c r="AK259" s="4">
        <v>0</v>
      </c>
      <c r="AL259" s="4">
        <v>0</v>
      </c>
      <c r="AM259" s="6"/>
      <c r="AN259" s="6"/>
      <c r="AO259" s="3" t="s">
        <v>1034</v>
      </c>
      <c r="AP259" s="3" t="s">
        <v>937</v>
      </c>
      <c r="AQ259" s="4"/>
      <c r="AR259" s="4"/>
      <c r="AS259" s="2"/>
    </row>
    <row r="260" ht="16.5" hidden="1" spans="1:45">
      <c r="A260" s="3" t="s">
        <v>1063</v>
      </c>
      <c r="B260" s="3" t="s">
        <v>1030</v>
      </c>
      <c r="C260" s="3" t="s">
        <v>935</v>
      </c>
      <c r="D260" s="3" t="s">
        <v>1042</v>
      </c>
      <c r="E260" s="3" t="s">
        <v>1032</v>
      </c>
      <c r="F260" s="4">
        <v>0</v>
      </c>
      <c r="G260" s="4">
        <v>0</v>
      </c>
      <c r="H260" s="4">
        <v>0</v>
      </c>
      <c r="I260" s="4">
        <v>0</v>
      </c>
      <c r="J260" s="4">
        <v>0</v>
      </c>
      <c r="K260" s="4">
        <v>0</v>
      </c>
      <c r="L260" s="4">
        <v>150</v>
      </c>
      <c r="M260" s="5">
        <v>150</v>
      </c>
      <c r="N260" s="4">
        <v>0</v>
      </c>
      <c r="O260" s="4">
        <v>2528.761062</v>
      </c>
      <c r="P260" s="4">
        <v>0</v>
      </c>
      <c r="Q260" s="4">
        <v>0</v>
      </c>
      <c r="R260" s="4">
        <v>0</v>
      </c>
      <c r="S260" s="4">
        <v>0</v>
      </c>
      <c r="T260" s="4">
        <v>0</v>
      </c>
      <c r="U260" s="4">
        <v>0</v>
      </c>
      <c r="V260" s="4">
        <v>0</v>
      </c>
      <c r="W260" s="4">
        <v>0</v>
      </c>
      <c r="X260" s="4">
        <v>16.85840708</v>
      </c>
      <c r="Y260" s="4">
        <v>0</v>
      </c>
      <c r="Z260" s="4"/>
      <c r="AA260" s="4"/>
      <c r="AB260" s="4"/>
      <c r="AC260" s="4"/>
      <c r="AD260" s="4"/>
      <c r="AE260" s="4"/>
      <c r="AF260" s="4">
        <v>4.5</v>
      </c>
      <c r="AG260" s="4">
        <v>0</v>
      </c>
      <c r="AH260" s="4">
        <v>6</v>
      </c>
      <c r="AI260" s="4">
        <v>0</v>
      </c>
      <c r="AJ260" s="3" t="s">
        <v>1036</v>
      </c>
      <c r="AK260" s="4">
        <v>0</v>
      </c>
      <c r="AL260" s="4">
        <v>0</v>
      </c>
      <c r="AM260" s="6"/>
      <c r="AN260" s="6"/>
      <c r="AO260" s="3" t="s">
        <v>1034</v>
      </c>
      <c r="AP260" s="3" t="s">
        <v>937</v>
      </c>
      <c r="AQ260" s="4"/>
      <c r="AR260" s="4"/>
      <c r="AS260" s="2"/>
    </row>
    <row r="261" ht="16.5" hidden="1" spans="1:45">
      <c r="A261" s="3" t="s">
        <v>1064</v>
      </c>
      <c r="B261" s="3" t="s">
        <v>1030</v>
      </c>
      <c r="C261" s="3" t="s">
        <v>935</v>
      </c>
      <c r="D261" s="3" t="s">
        <v>1042</v>
      </c>
      <c r="E261" s="3" t="s">
        <v>1032</v>
      </c>
      <c r="F261" s="4">
        <v>0</v>
      </c>
      <c r="G261" s="4">
        <v>0</v>
      </c>
      <c r="H261" s="4">
        <v>0</v>
      </c>
      <c r="I261" s="4">
        <v>0</v>
      </c>
      <c r="J261" s="4">
        <v>0</v>
      </c>
      <c r="K261" s="4">
        <v>0</v>
      </c>
      <c r="L261" s="4">
        <v>150</v>
      </c>
      <c r="M261" s="5">
        <v>150</v>
      </c>
      <c r="N261" s="4">
        <v>0</v>
      </c>
      <c r="O261" s="4">
        <v>3884.070797</v>
      </c>
      <c r="P261" s="4">
        <v>0</v>
      </c>
      <c r="Q261" s="4">
        <v>0</v>
      </c>
      <c r="R261" s="4">
        <v>0</v>
      </c>
      <c r="S261" s="4">
        <v>0</v>
      </c>
      <c r="T261" s="4">
        <v>0</v>
      </c>
      <c r="U261" s="4">
        <v>0</v>
      </c>
      <c r="V261" s="4">
        <v>0</v>
      </c>
      <c r="W261" s="4">
        <v>0</v>
      </c>
      <c r="X261" s="4">
        <v>25.89380531</v>
      </c>
      <c r="Y261" s="4">
        <v>0</v>
      </c>
      <c r="Z261" s="4"/>
      <c r="AA261" s="4"/>
      <c r="AB261" s="4"/>
      <c r="AC261" s="4"/>
      <c r="AD261" s="4"/>
      <c r="AE261" s="4"/>
      <c r="AF261" s="4">
        <v>4.5</v>
      </c>
      <c r="AG261" s="4">
        <v>0</v>
      </c>
      <c r="AH261" s="4">
        <v>6</v>
      </c>
      <c r="AI261" s="4">
        <v>0</v>
      </c>
      <c r="AJ261" s="3" t="s">
        <v>1036</v>
      </c>
      <c r="AK261" s="4">
        <v>0</v>
      </c>
      <c r="AL261" s="4">
        <v>0</v>
      </c>
      <c r="AM261" s="6"/>
      <c r="AN261" s="6"/>
      <c r="AO261" s="3" t="s">
        <v>1034</v>
      </c>
      <c r="AP261" s="3" t="s">
        <v>937</v>
      </c>
      <c r="AQ261" s="4"/>
      <c r="AR261" s="4"/>
      <c r="AS261" s="2"/>
    </row>
    <row r="262" ht="16.5" hidden="1" spans="1:45">
      <c r="A262" s="3" t="s">
        <v>1065</v>
      </c>
      <c r="B262" s="3" t="s">
        <v>1030</v>
      </c>
      <c r="C262" s="3" t="s">
        <v>935</v>
      </c>
      <c r="D262" s="3" t="s">
        <v>1042</v>
      </c>
      <c r="E262" s="3" t="s">
        <v>1032</v>
      </c>
      <c r="F262" s="4">
        <v>0</v>
      </c>
      <c r="G262" s="4">
        <v>0</v>
      </c>
      <c r="H262" s="4">
        <v>0</v>
      </c>
      <c r="I262" s="4">
        <v>0</v>
      </c>
      <c r="J262" s="4">
        <v>0</v>
      </c>
      <c r="K262" s="4">
        <v>0</v>
      </c>
      <c r="L262" s="4">
        <v>200</v>
      </c>
      <c r="M262" s="5">
        <v>200</v>
      </c>
      <c r="N262" s="4">
        <v>0</v>
      </c>
      <c r="O262" s="4">
        <v>5159.292036</v>
      </c>
      <c r="P262" s="4">
        <v>0</v>
      </c>
      <c r="Q262" s="4">
        <v>0</v>
      </c>
      <c r="R262" s="4">
        <v>0</v>
      </c>
      <c r="S262" s="4">
        <v>0</v>
      </c>
      <c r="T262" s="4">
        <v>0</v>
      </c>
      <c r="U262" s="4">
        <v>0</v>
      </c>
      <c r="V262" s="4">
        <v>0</v>
      </c>
      <c r="W262" s="4">
        <v>0</v>
      </c>
      <c r="X262" s="4">
        <v>25.79646018</v>
      </c>
      <c r="Y262" s="4">
        <v>0</v>
      </c>
      <c r="Z262" s="4"/>
      <c r="AA262" s="4"/>
      <c r="AB262" s="4"/>
      <c r="AC262" s="4"/>
      <c r="AD262" s="4"/>
      <c r="AE262" s="4"/>
      <c r="AF262" s="4">
        <v>4.5</v>
      </c>
      <c r="AG262" s="4">
        <v>0</v>
      </c>
      <c r="AH262" s="4">
        <v>6</v>
      </c>
      <c r="AI262" s="4">
        <v>0</v>
      </c>
      <c r="AJ262" s="3" t="s">
        <v>1036</v>
      </c>
      <c r="AK262" s="4">
        <v>0</v>
      </c>
      <c r="AL262" s="4">
        <v>0</v>
      </c>
      <c r="AM262" s="6"/>
      <c r="AN262" s="6"/>
      <c r="AO262" s="3" t="s">
        <v>1034</v>
      </c>
      <c r="AP262" s="3" t="s">
        <v>937</v>
      </c>
      <c r="AQ262" s="4"/>
      <c r="AR262" s="4"/>
      <c r="AS262" s="2"/>
    </row>
    <row r="263" ht="16.5" hidden="1" spans="1:45">
      <c r="A263" s="3" t="s">
        <v>1066</v>
      </c>
      <c r="B263" s="3" t="s">
        <v>1030</v>
      </c>
      <c r="C263" s="3" t="s">
        <v>935</v>
      </c>
      <c r="D263" s="3" t="s">
        <v>1042</v>
      </c>
      <c r="E263" s="3" t="s">
        <v>1032</v>
      </c>
      <c r="F263" s="4">
        <v>0</v>
      </c>
      <c r="G263" s="4">
        <v>0</v>
      </c>
      <c r="H263" s="4">
        <v>0</v>
      </c>
      <c r="I263" s="4">
        <v>0</v>
      </c>
      <c r="J263" s="4">
        <v>0</v>
      </c>
      <c r="K263" s="4">
        <v>0</v>
      </c>
      <c r="L263" s="4">
        <v>180</v>
      </c>
      <c r="M263" s="5">
        <v>180</v>
      </c>
      <c r="N263" s="4">
        <v>0</v>
      </c>
      <c r="O263" s="4">
        <v>3620.707965</v>
      </c>
      <c r="P263" s="4">
        <v>0</v>
      </c>
      <c r="Q263" s="4">
        <v>0</v>
      </c>
      <c r="R263" s="4">
        <v>0</v>
      </c>
      <c r="S263" s="4">
        <v>0</v>
      </c>
      <c r="T263" s="4">
        <v>0</v>
      </c>
      <c r="U263" s="4">
        <v>0</v>
      </c>
      <c r="V263" s="4">
        <v>0</v>
      </c>
      <c r="W263" s="4">
        <v>0</v>
      </c>
      <c r="X263" s="4">
        <v>20.11504425</v>
      </c>
      <c r="Y263" s="4">
        <v>0</v>
      </c>
      <c r="Z263" s="4"/>
      <c r="AA263" s="4"/>
      <c r="AB263" s="4"/>
      <c r="AC263" s="4"/>
      <c r="AD263" s="4"/>
      <c r="AE263" s="4"/>
      <c r="AF263" s="4">
        <v>4.5</v>
      </c>
      <c r="AG263" s="4">
        <v>0</v>
      </c>
      <c r="AH263" s="4">
        <v>6</v>
      </c>
      <c r="AI263" s="4">
        <v>0</v>
      </c>
      <c r="AJ263" s="3" t="s">
        <v>1036</v>
      </c>
      <c r="AK263" s="4">
        <v>0</v>
      </c>
      <c r="AL263" s="4">
        <v>0</v>
      </c>
      <c r="AM263" s="6"/>
      <c r="AN263" s="6"/>
      <c r="AO263" s="3" t="s">
        <v>1034</v>
      </c>
      <c r="AP263" s="3" t="s">
        <v>937</v>
      </c>
      <c r="AQ263" s="4"/>
      <c r="AR263" s="4"/>
      <c r="AS263" s="2"/>
    </row>
    <row r="264" ht="16.5" hidden="1" spans="1:45">
      <c r="A264" s="3" t="s">
        <v>1067</v>
      </c>
      <c r="B264" s="3" t="s">
        <v>1030</v>
      </c>
      <c r="C264" s="3" t="s">
        <v>935</v>
      </c>
      <c r="D264" s="3" t="s">
        <v>1042</v>
      </c>
      <c r="E264" s="3" t="s">
        <v>1032</v>
      </c>
      <c r="F264" s="4">
        <v>0</v>
      </c>
      <c r="G264" s="4">
        <v>0</v>
      </c>
      <c r="H264" s="4">
        <v>0</v>
      </c>
      <c r="I264" s="4">
        <v>0</v>
      </c>
      <c r="J264" s="4">
        <v>0</v>
      </c>
      <c r="K264" s="4">
        <v>0</v>
      </c>
      <c r="L264" s="4">
        <v>260</v>
      </c>
      <c r="M264" s="5">
        <v>260</v>
      </c>
      <c r="N264" s="4">
        <v>0</v>
      </c>
      <c r="O264" s="4">
        <v>6214.690266</v>
      </c>
      <c r="P264" s="4">
        <v>0</v>
      </c>
      <c r="Q264" s="4">
        <v>0</v>
      </c>
      <c r="R264" s="4">
        <v>0</v>
      </c>
      <c r="S264" s="4">
        <v>0</v>
      </c>
      <c r="T264" s="4">
        <v>0</v>
      </c>
      <c r="U264" s="4">
        <v>0</v>
      </c>
      <c r="V264" s="4">
        <v>0</v>
      </c>
      <c r="W264" s="4">
        <v>0</v>
      </c>
      <c r="X264" s="4">
        <v>23.90265487</v>
      </c>
      <c r="Y264" s="4">
        <v>0</v>
      </c>
      <c r="Z264" s="4"/>
      <c r="AA264" s="4"/>
      <c r="AB264" s="4"/>
      <c r="AC264" s="4"/>
      <c r="AD264" s="4"/>
      <c r="AE264" s="4"/>
      <c r="AF264" s="4">
        <v>4.5</v>
      </c>
      <c r="AG264" s="4">
        <v>0</v>
      </c>
      <c r="AH264" s="4">
        <v>6</v>
      </c>
      <c r="AI264" s="4">
        <v>0</v>
      </c>
      <c r="AJ264" s="3" t="s">
        <v>1036</v>
      </c>
      <c r="AK264" s="4">
        <v>0</v>
      </c>
      <c r="AL264" s="4">
        <v>0</v>
      </c>
      <c r="AM264" s="6"/>
      <c r="AN264" s="6"/>
      <c r="AO264" s="3" t="s">
        <v>1034</v>
      </c>
      <c r="AP264" s="3" t="s">
        <v>937</v>
      </c>
      <c r="AQ264" s="4"/>
      <c r="AR264" s="4"/>
      <c r="AS264" s="2"/>
    </row>
    <row r="265" ht="16.5" hidden="1" spans="1:45">
      <c r="A265" s="3" t="s">
        <v>1068</v>
      </c>
      <c r="B265" s="3" t="s">
        <v>1030</v>
      </c>
      <c r="C265" s="3" t="s">
        <v>935</v>
      </c>
      <c r="D265" s="3" t="s">
        <v>1042</v>
      </c>
      <c r="E265" s="3" t="s">
        <v>1032</v>
      </c>
      <c r="F265" s="4">
        <v>0</v>
      </c>
      <c r="G265" s="4">
        <v>0</v>
      </c>
      <c r="H265" s="4">
        <v>0</v>
      </c>
      <c r="I265" s="4">
        <v>0</v>
      </c>
      <c r="J265" s="4">
        <v>0</v>
      </c>
      <c r="K265" s="4">
        <v>0</v>
      </c>
      <c r="L265" s="4">
        <v>180</v>
      </c>
      <c r="M265" s="5">
        <v>180</v>
      </c>
      <c r="N265" s="4">
        <v>0</v>
      </c>
      <c r="O265" s="4">
        <v>3515.575221</v>
      </c>
      <c r="P265" s="4">
        <v>0</v>
      </c>
      <c r="Q265" s="4">
        <v>0</v>
      </c>
      <c r="R265" s="4">
        <v>0</v>
      </c>
      <c r="S265" s="4">
        <v>0</v>
      </c>
      <c r="T265" s="4">
        <v>0</v>
      </c>
      <c r="U265" s="4">
        <v>0</v>
      </c>
      <c r="V265" s="4">
        <v>0</v>
      </c>
      <c r="W265" s="4">
        <v>0</v>
      </c>
      <c r="X265" s="4">
        <v>19.53097345</v>
      </c>
      <c r="Y265" s="4">
        <v>0</v>
      </c>
      <c r="Z265" s="4"/>
      <c r="AA265" s="4"/>
      <c r="AB265" s="4"/>
      <c r="AC265" s="4"/>
      <c r="AD265" s="4"/>
      <c r="AE265" s="4"/>
      <c r="AF265" s="4">
        <v>4.5</v>
      </c>
      <c r="AG265" s="4">
        <v>0</v>
      </c>
      <c r="AH265" s="4">
        <v>6</v>
      </c>
      <c r="AI265" s="4">
        <v>0</v>
      </c>
      <c r="AJ265" s="3" t="s">
        <v>1036</v>
      </c>
      <c r="AK265" s="4">
        <v>0</v>
      </c>
      <c r="AL265" s="4">
        <v>0</v>
      </c>
      <c r="AM265" s="6"/>
      <c r="AN265" s="6"/>
      <c r="AO265" s="3" t="s">
        <v>1034</v>
      </c>
      <c r="AP265" s="3" t="s">
        <v>937</v>
      </c>
      <c r="AQ265" s="4"/>
      <c r="AR265" s="4"/>
      <c r="AS265" s="2"/>
    </row>
    <row r="266" ht="16.5" hidden="1" spans="1:45">
      <c r="A266" s="3" t="s">
        <v>1069</v>
      </c>
      <c r="B266" s="3" t="s">
        <v>1030</v>
      </c>
      <c r="C266" s="3" t="s">
        <v>935</v>
      </c>
      <c r="D266" s="3" t="s">
        <v>1042</v>
      </c>
      <c r="E266" s="3" t="s">
        <v>1032</v>
      </c>
      <c r="F266" s="4">
        <v>0</v>
      </c>
      <c r="G266" s="4">
        <v>0</v>
      </c>
      <c r="H266" s="4">
        <v>0</v>
      </c>
      <c r="I266" s="4">
        <v>0</v>
      </c>
      <c r="J266" s="4">
        <v>0</v>
      </c>
      <c r="K266" s="4">
        <v>0</v>
      </c>
      <c r="L266" s="4">
        <v>180</v>
      </c>
      <c r="M266" s="5">
        <v>180</v>
      </c>
      <c r="N266" s="4">
        <v>0</v>
      </c>
      <c r="O266" s="4">
        <v>3693.9823</v>
      </c>
      <c r="P266" s="4">
        <v>0</v>
      </c>
      <c r="Q266" s="4">
        <v>0</v>
      </c>
      <c r="R266" s="4">
        <v>0</v>
      </c>
      <c r="S266" s="4">
        <v>0</v>
      </c>
      <c r="T266" s="4">
        <v>0</v>
      </c>
      <c r="U266" s="4">
        <v>0</v>
      </c>
      <c r="V266" s="4">
        <v>0</v>
      </c>
      <c r="W266" s="4">
        <v>0</v>
      </c>
      <c r="X266" s="4">
        <v>20.52212389</v>
      </c>
      <c r="Y266" s="4">
        <v>0</v>
      </c>
      <c r="Z266" s="4"/>
      <c r="AA266" s="4"/>
      <c r="AB266" s="4"/>
      <c r="AC266" s="4"/>
      <c r="AD266" s="4"/>
      <c r="AE266" s="4"/>
      <c r="AF266" s="4">
        <v>4.5</v>
      </c>
      <c r="AG266" s="4">
        <v>0</v>
      </c>
      <c r="AH266" s="4">
        <v>6</v>
      </c>
      <c r="AI266" s="4">
        <v>0</v>
      </c>
      <c r="AJ266" s="3" t="s">
        <v>1036</v>
      </c>
      <c r="AK266" s="4">
        <v>0</v>
      </c>
      <c r="AL266" s="4">
        <v>0</v>
      </c>
      <c r="AM266" s="6"/>
      <c r="AN266" s="6"/>
      <c r="AO266" s="3" t="s">
        <v>1034</v>
      </c>
      <c r="AP266" s="3" t="s">
        <v>937</v>
      </c>
      <c r="AQ266" s="4"/>
      <c r="AR266" s="4"/>
      <c r="AS266" s="2"/>
    </row>
    <row r="267" ht="16.5" hidden="1" spans="1:45">
      <c r="A267" s="3" t="s">
        <v>1070</v>
      </c>
      <c r="B267" s="3" t="s">
        <v>1030</v>
      </c>
      <c r="C267" s="3" t="s">
        <v>935</v>
      </c>
      <c r="D267" s="3" t="s">
        <v>1042</v>
      </c>
      <c r="E267" s="3" t="s">
        <v>1032</v>
      </c>
      <c r="F267" s="4">
        <v>0</v>
      </c>
      <c r="G267" s="4">
        <v>0</v>
      </c>
      <c r="H267" s="4">
        <v>0</v>
      </c>
      <c r="I267" s="4">
        <v>0</v>
      </c>
      <c r="J267" s="4">
        <v>0</v>
      </c>
      <c r="K267" s="4">
        <v>0</v>
      </c>
      <c r="L267" s="4">
        <v>150</v>
      </c>
      <c r="M267" s="5">
        <v>150</v>
      </c>
      <c r="N267" s="4">
        <v>0</v>
      </c>
      <c r="O267" s="4">
        <v>2957.522124</v>
      </c>
      <c r="P267" s="4">
        <v>0</v>
      </c>
      <c r="Q267" s="4">
        <v>0</v>
      </c>
      <c r="R267" s="4">
        <v>0</v>
      </c>
      <c r="S267" s="4">
        <v>0</v>
      </c>
      <c r="T267" s="4">
        <v>0</v>
      </c>
      <c r="U267" s="4">
        <v>0</v>
      </c>
      <c r="V267" s="4">
        <v>0</v>
      </c>
      <c r="W267" s="4">
        <v>0</v>
      </c>
      <c r="X267" s="4">
        <v>19.71681416</v>
      </c>
      <c r="Y267" s="4">
        <v>0</v>
      </c>
      <c r="Z267" s="4"/>
      <c r="AA267" s="4"/>
      <c r="AB267" s="4"/>
      <c r="AC267" s="4"/>
      <c r="AD267" s="4"/>
      <c r="AE267" s="4"/>
      <c r="AF267" s="4">
        <v>4.5</v>
      </c>
      <c r="AG267" s="4">
        <v>0</v>
      </c>
      <c r="AH267" s="4">
        <v>6</v>
      </c>
      <c r="AI267" s="4">
        <v>0</v>
      </c>
      <c r="AJ267" s="3" t="s">
        <v>1036</v>
      </c>
      <c r="AK267" s="4">
        <v>0</v>
      </c>
      <c r="AL267" s="4">
        <v>0</v>
      </c>
      <c r="AM267" s="6"/>
      <c r="AN267" s="6"/>
      <c r="AO267" s="3" t="s">
        <v>1034</v>
      </c>
      <c r="AP267" s="3" t="s">
        <v>937</v>
      </c>
      <c r="AQ267" s="4"/>
      <c r="AR267" s="4"/>
      <c r="AS267" s="2"/>
    </row>
    <row r="268" ht="16.5" hidden="1" spans="1:45">
      <c r="A268" s="3" t="s">
        <v>1071</v>
      </c>
      <c r="B268" s="3" t="s">
        <v>1030</v>
      </c>
      <c r="C268" s="3" t="s">
        <v>935</v>
      </c>
      <c r="D268" s="3" t="s">
        <v>1042</v>
      </c>
      <c r="E268" s="3" t="s">
        <v>1032</v>
      </c>
      <c r="F268" s="4">
        <v>0</v>
      </c>
      <c r="G268" s="4">
        <v>0</v>
      </c>
      <c r="H268" s="4">
        <v>0</v>
      </c>
      <c r="I268" s="4">
        <v>0</v>
      </c>
      <c r="J268" s="4">
        <v>0</v>
      </c>
      <c r="K268" s="4">
        <v>0</v>
      </c>
      <c r="L268" s="4">
        <v>150</v>
      </c>
      <c r="M268" s="5">
        <v>150</v>
      </c>
      <c r="N268" s="4">
        <v>0</v>
      </c>
      <c r="O268" s="4">
        <v>3791.150442</v>
      </c>
      <c r="P268" s="4">
        <v>0</v>
      </c>
      <c r="Q268" s="4">
        <v>0</v>
      </c>
      <c r="R268" s="4">
        <v>0</v>
      </c>
      <c r="S268" s="4">
        <v>0</v>
      </c>
      <c r="T268" s="4">
        <v>0</v>
      </c>
      <c r="U268" s="4">
        <v>0</v>
      </c>
      <c r="V268" s="4">
        <v>0</v>
      </c>
      <c r="W268" s="4">
        <v>0</v>
      </c>
      <c r="X268" s="4">
        <v>25.27433628</v>
      </c>
      <c r="Y268" s="4">
        <v>0</v>
      </c>
      <c r="Z268" s="4"/>
      <c r="AA268" s="4"/>
      <c r="AB268" s="4"/>
      <c r="AC268" s="4"/>
      <c r="AD268" s="4"/>
      <c r="AE268" s="4"/>
      <c r="AF268" s="4">
        <v>4.5</v>
      </c>
      <c r="AG268" s="4">
        <v>0</v>
      </c>
      <c r="AH268" s="4">
        <v>6</v>
      </c>
      <c r="AI268" s="4">
        <v>0</v>
      </c>
      <c r="AJ268" s="3" t="s">
        <v>1036</v>
      </c>
      <c r="AK268" s="4">
        <v>0</v>
      </c>
      <c r="AL268" s="4">
        <v>0</v>
      </c>
      <c r="AM268" s="6"/>
      <c r="AN268" s="6"/>
      <c r="AO268" s="3" t="s">
        <v>1034</v>
      </c>
      <c r="AP268" s="3" t="s">
        <v>937</v>
      </c>
      <c r="AQ268" s="4"/>
      <c r="AR268" s="4"/>
      <c r="AS268" s="2"/>
    </row>
    <row r="269" ht="16.5" hidden="1" spans="1:45">
      <c r="A269" s="3" t="s">
        <v>1072</v>
      </c>
      <c r="B269" s="3" t="s">
        <v>1030</v>
      </c>
      <c r="C269" s="3" t="s">
        <v>935</v>
      </c>
      <c r="D269" s="3" t="s">
        <v>1042</v>
      </c>
      <c r="E269" s="3" t="s">
        <v>1032</v>
      </c>
      <c r="F269" s="4">
        <v>0</v>
      </c>
      <c r="G269" s="4">
        <v>0</v>
      </c>
      <c r="H269" s="4">
        <v>0</v>
      </c>
      <c r="I269" s="4">
        <v>0</v>
      </c>
      <c r="J269" s="4">
        <v>0</v>
      </c>
      <c r="K269" s="4">
        <v>0</v>
      </c>
      <c r="L269" s="4">
        <v>150</v>
      </c>
      <c r="M269" s="5">
        <v>150</v>
      </c>
      <c r="N269" s="4">
        <v>0</v>
      </c>
      <c r="O269" s="4">
        <v>2790.265487</v>
      </c>
      <c r="P269" s="4">
        <v>0</v>
      </c>
      <c r="Q269" s="4">
        <v>0</v>
      </c>
      <c r="R269" s="4">
        <v>0</v>
      </c>
      <c r="S269" s="4">
        <v>0</v>
      </c>
      <c r="T269" s="4">
        <v>0</v>
      </c>
      <c r="U269" s="4">
        <v>0</v>
      </c>
      <c r="V269" s="4">
        <v>0</v>
      </c>
      <c r="W269" s="4">
        <v>0</v>
      </c>
      <c r="X269" s="4">
        <v>18.60176991</v>
      </c>
      <c r="Y269" s="4">
        <v>0</v>
      </c>
      <c r="Z269" s="4"/>
      <c r="AA269" s="4"/>
      <c r="AB269" s="4"/>
      <c r="AC269" s="4"/>
      <c r="AD269" s="4"/>
      <c r="AE269" s="4"/>
      <c r="AF269" s="4">
        <v>4.5</v>
      </c>
      <c r="AG269" s="4">
        <v>0</v>
      </c>
      <c r="AH269" s="4">
        <v>6</v>
      </c>
      <c r="AI269" s="4">
        <v>0</v>
      </c>
      <c r="AJ269" s="3" t="s">
        <v>1036</v>
      </c>
      <c r="AK269" s="4">
        <v>0</v>
      </c>
      <c r="AL269" s="4">
        <v>0</v>
      </c>
      <c r="AM269" s="6"/>
      <c r="AN269" s="6"/>
      <c r="AO269" s="3" t="s">
        <v>1034</v>
      </c>
      <c r="AP269" s="3" t="s">
        <v>937</v>
      </c>
      <c r="AQ269" s="4"/>
      <c r="AR269" s="4"/>
      <c r="AS269" s="2"/>
    </row>
    <row r="270" ht="16.5" hidden="1" spans="1:45">
      <c r="A270" s="3" t="s">
        <v>1073</v>
      </c>
      <c r="B270" s="3" t="s">
        <v>1030</v>
      </c>
      <c r="C270" s="3" t="s">
        <v>935</v>
      </c>
      <c r="D270" s="3" t="s">
        <v>1042</v>
      </c>
      <c r="E270" s="3" t="s">
        <v>1032</v>
      </c>
      <c r="F270" s="4">
        <v>0</v>
      </c>
      <c r="G270" s="4">
        <v>0</v>
      </c>
      <c r="H270" s="4">
        <v>0</v>
      </c>
      <c r="I270" s="4">
        <v>0</v>
      </c>
      <c r="J270" s="4">
        <v>0</v>
      </c>
      <c r="K270" s="4">
        <v>0</v>
      </c>
      <c r="L270" s="4">
        <v>150</v>
      </c>
      <c r="M270" s="5">
        <v>150</v>
      </c>
      <c r="N270" s="4">
        <v>0</v>
      </c>
      <c r="O270" s="4">
        <v>3155.309735</v>
      </c>
      <c r="P270" s="4">
        <v>0</v>
      </c>
      <c r="Q270" s="4">
        <v>0</v>
      </c>
      <c r="R270" s="4">
        <v>0</v>
      </c>
      <c r="S270" s="4">
        <v>0</v>
      </c>
      <c r="T270" s="4">
        <v>0</v>
      </c>
      <c r="U270" s="4">
        <v>0</v>
      </c>
      <c r="V270" s="4">
        <v>0</v>
      </c>
      <c r="W270" s="4">
        <v>0</v>
      </c>
      <c r="X270" s="4">
        <v>21.03539823</v>
      </c>
      <c r="Y270" s="4">
        <v>0</v>
      </c>
      <c r="Z270" s="4"/>
      <c r="AA270" s="4"/>
      <c r="AB270" s="4"/>
      <c r="AC270" s="4"/>
      <c r="AD270" s="4"/>
      <c r="AE270" s="4"/>
      <c r="AF270" s="4">
        <v>4.5</v>
      </c>
      <c r="AG270" s="4">
        <v>0</v>
      </c>
      <c r="AH270" s="4">
        <v>6</v>
      </c>
      <c r="AI270" s="4">
        <v>0</v>
      </c>
      <c r="AJ270" s="3" t="s">
        <v>1036</v>
      </c>
      <c r="AK270" s="4">
        <v>0</v>
      </c>
      <c r="AL270" s="4">
        <v>0</v>
      </c>
      <c r="AM270" s="6"/>
      <c r="AN270" s="6"/>
      <c r="AO270" s="3" t="s">
        <v>1034</v>
      </c>
      <c r="AP270" s="3" t="s">
        <v>937</v>
      </c>
      <c r="AQ270" s="4"/>
      <c r="AR270" s="4"/>
      <c r="AS270" s="2"/>
    </row>
    <row r="271" ht="16.5" hidden="1" spans="1:45">
      <c r="A271" s="3" t="s">
        <v>1074</v>
      </c>
      <c r="B271" s="3" t="s">
        <v>1030</v>
      </c>
      <c r="C271" s="3" t="s">
        <v>935</v>
      </c>
      <c r="D271" s="3" t="s">
        <v>1042</v>
      </c>
      <c r="E271" s="3" t="s">
        <v>1032</v>
      </c>
      <c r="F271" s="4">
        <v>0</v>
      </c>
      <c r="G271" s="4">
        <v>0</v>
      </c>
      <c r="H271" s="4">
        <v>0</v>
      </c>
      <c r="I271" s="4">
        <v>0</v>
      </c>
      <c r="J271" s="4">
        <v>0</v>
      </c>
      <c r="K271" s="4">
        <v>0</v>
      </c>
      <c r="L271" s="4">
        <v>150</v>
      </c>
      <c r="M271" s="5">
        <v>150</v>
      </c>
      <c r="N271" s="4">
        <v>0</v>
      </c>
      <c r="O271" s="4">
        <v>3244.247787</v>
      </c>
      <c r="P271" s="4">
        <v>0</v>
      </c>
      <c r="Q271" s="4">
        <v>0</v>
      </c>
      <c r="R271" s="4">
        <v>0</v>
      </c>
      <c r="S271" s="4">
        <v>0</v>
      </c>
      <c r="T271" s="4">
        <v>0</v>
      </c>
      <c r="U271" s="4">
        <v>0</v>
      </c>
      <c r="V271" s="4">
        <v>0</v>
      </c>
      <c r="W271" s="4">
        <v>0</v>
      </c>
      <c r="X271" s="4">
        <v>21.62831858</v>
      </c>
      <c r="Y271" s="4">
        <v>0</v>
      </c>
      <c r="Z271" s="4"/>
      <c r="AA271" s="4"/>
      <c r="AB271" s="4"/>
      <c r="AC271" s="4"/>
      <c r="AD271" s="4"/>
      <c r="AE271" s="4"/>
      <c r="AF271" s="4">
        <v>4.5</v>
      </c>
      <c r="AG271" s="4">
        <v>0</v>
      </c>
      <c r="AH271" s="4">
        <v>6</v>
      </c>
      <c r="AI271" s="4">
        <v>0</v>
      </c>
      <c r="AJ271" s="3" t="s">
        <v>1036</v>
      </c>
      <c r="AK271" s="4">
        <v>0</v>
      </c>
      <c r="AL271" s="4">
        <v>0</v>
      </c>
      <c r="AM271" s="6"/>
      <c r="AN271" s="6"/>
      <c r="AO271" s="3" t="s">
        <v>1034</v>
      </c>
      <c r="AP271" s="3" t="s">
        <v>937</v>
      </c>
      <c r="AQ271" s="4"/>
      <c r="AR271" s="4"/>
      <c r="AS271" s="2"/>
    </row>
    <row r="272" ht="16.5" hidden="1" spans="1:45">
      <c r="A272" s="3" t="s">
        <v>1075</v>
      </c>
      <c r="B272" s="3" t="s">
        <v>1030</v>
      </c>
      <c r="C272" s="3" t="s">
        <v>935</v>
      </c>
      <c r="D272" s="3" t="s">
        <v>1042</v>
      </c>
      <c r="E272" s="3" t="s">
        <v>1032</v>
      </c>
      <c r="F272" s="4">
        <v>0</v>
      </c>
      <c r="G272" s="4">
        <v>0</v>
      </c>
      <c r="H272" s="4">
        <v>0</v>
      </c>
      <c r="I272" s="4">
        <v>0</v>
      </c>
      <c r="J272" s="4">
        <v>0</v>
      </c>
      <c r="K272" s="4">
        <v>0</v>
      </c>
      <c r="L272" s="4">
        <v>180</v>
      </c>
      <c r="M272" s="5">
        <v>180</v>
      </c>
      <c r="N272" s="4">
        <v>0</v>
      </c>
      <c r="O272" s="4">
        <v>3098.230088</v>
      </c>
      <c r="P272" s="4">
        <v>0</v>
      </c>
      <c r="Q272" s="4">
        <v>0</v>
      </c>
      <c r="R272" s="4">
        <v>0</v>
      </c>
      <c r="S272" s="4">
        <v>0</v>
      </c>
      <c r="T272" s="4">
        <v>0</v>
      </c>
      <c r="U272" s="4">
        <v>0</v>
      </c>
      <c r="V272" s="4">
        <v>0</v>
      </c>
      <c r="W272" s="4">
        <v>0</v>
      </c>
      <c r="X272" s="4">
        <v>17.21238938</v>
      </c>
      <c r="Y272" s="4">
        <v>0</v>
      </c>
      <c r="Z272" s="4"/>
      <c r="AA272" s="4"/>
      <c r="AB272" s="4"/>
      <c r="AC272" s="4"/>
      <c r="AD272" s="4"/>
      <c r="AE272" s="4"/>
      <c r="AF272" s="4">
        <v>4.5</v>
      </c>
      <c r="AG272" s="4">
        <v>0</v>
      </c>
      <c r="AH272" s="4">
        <v>6</v>
      </c>
      <c r="AI272" s="4">
        <v>0</v>
      </c>
      <c r="AJ272" s="3" t="s">
        <v>1036</v>
      </c>
      <c r="AK272" s="4">
        <v>0</v>
      </c>
      <c r="AL272" s="4">
        <v>0</v>
      </c>
      <c r="AM272" s="6"/>
      <c r="AN272" s="6"/>
      <c r="AO272" s="3" t="s">
        <v>1034</v>
      </c>
      <c r="AP272" s="3" t="s">
        <v>937</v>
      </c>
      <c r="AQ272" s="4"/>
      <c r="AR272" s="4"/>
      <c r="AS272" s="2"/>
    </row>
    <row r="273" ht="16.5" hidden="1" spans="1:45">
      <c r="A273" s="3" t="s">
        <v>1076</v>
      </c>
      <c r="B273" s="3" t="s">
        <v>1030</v>
      </c>
      <c r="C273" s="3" t="s">
        <v>935</v>
      </c>
      <c r="D273" s="3" t="s">
        <v>1042</v>
      </c>
      <c r="E273" s="3" t="s">
        <v>1032</v>
      </c>
      <c r="F273" s="4">
        <v>0</v>
      </c>
      <c r="G273" s="4">
        <v>0</v>
      </c>
      <c r="H273" s="4">
        <v>0</v>
      </c>
      <c r="I273" s="4">
        <v>0</v>
      </c>
      <c r="J273" s="4">
        <v>0</v>
      </c>
      <c r="K273" s="4">
        <v>0</v>
      </c>
      <c r="L273" s="4">
        <v>160</v>
      </c>
      <c r="M273" s="5">
        <v>160</v>
      </c>
      <c r="N273" s="4">
        <v>0</v>
      </c>
      <c r="O273" s="4">
        <v>3728.141594</v>
      </c>
      <c r="P273" s="4">
        <v>0</v>
      </c>
      <c r="Q273" s="4">
        <v>0</v>
      </c>
      <c r="R273" s="4">
        <v>0</v>
      </c>
      <c r="S273" s="4">
        <v>0</v>
      </c>
      <c r="T273" s="4">
        <v>0</v>
      </c>
      <c r="U273" s="4">
        <v>0</v>
      </c>
      <c r="V273" s="4">
        <v>0</v>
      </c>
      <c r="W273" s="4">
        <v>0</v>
      </c>
      <c r="X273" s="4">
        <v>23.30088496</v>
      </c>
      <c r="Y273" s="4">
        <v>0</v>
      </c>
      <c r="Z273" s="4"/>
      <c r="AA273" s="4"/>
      <c r="AB273" s="4"/>
      <c r="AC273" s="4"/>
      <c r="AD273" s="4"/>
      <c r="AE273" s="4"/>
      <c r="AF273" s="4">
        <v>4.5</v>
      </c>
      <c r="AG273" s="4">
        <v>0</v>
      </c>
      <c r="AH273" s="4">
        <v>6</v>
      </c>
      <c r="AI273" s="4">
        <v>0</v>
      </c>
      <c r="AJ273" s="3" t="s">
        <v>1036</v>
      </c>
      <c r="AK273" s="4">
        <v>0</v>
      </c>
      <c r="AL273" s="4">
        <v>0</v>
      </c>
      <c r="AM273" s="6"/>
      <c r="AN273" s="6"/>
      <c r="AO273" s="3" t="s">
        <v>1034</v>
      </c>
      <c r="AP273" s="3" t="s">
        <v>937</v>
      </c>
      <c r="AQ273" s="4"/>
      <c r="AR273" s="4"/>
      <c r="AS273" s="2"/>
    </row>
    <row r="274" ht="16.5" hidden="1" spans="1:45">
      <c r="A274" s="3" t="s">
        <v>1077</v>
      </c>
      <c r="B274" s="3" t="s">
        <v>1030</v>
      </c>
      <c r="C274" s="3" t="s">
        <v>935</v>
      </c>
      <c r="D274" s="3" t="s">
        <v>1042</v>
      </c>
      <c r="E274" s="3" t="s">
        <v>1032</v>
      </c>
      <c r="F274" s="4">
        <v>0</v>
      </c>
      <c r="G274" s="4">
        <v>0</v>
      </c>
      <c r="H274" s="4">
        <v>0</v>
      </c>
      <c r="I274" s="4">
        <v>0</v>
      </c>
      <c r="J274" s="4">
        <v>0</v>
      </c>
      <c r="K274" s="4">
        <v>0</v>
      </c>
      <c r="L274" s="4">
        <v>150</v>
      </c>
      <c r="M274" s="5">
        <v>150</v>
      </c>
      <c r="N274" s="4">
        <v>0</v>
      </c>
      <c r="O274" s="4">
        <v>2911.061948</v>
      </c>
      <c r="P274" s="4">
        <v>0</v>
      </c>
      <c r="Q274" s="4">
        <v>0</v>
      </c>
      <c r="R274" s="4">
        <v>0</v>
      </c>
      <c r="S274" s="4">
        <v>0</v>
      </c>
      <c r="T274" s="4">
        <v>0</v>
      </c>
      <c r="U274" s="4">
        <v>0</v>
      </c>
      <c r="V274" s="4">
        <v>0</v>
      </c>
      <c r="W274" s="4">
        <v>0</v>
      </c>
      <c r="X274" s="4">
        <v>19.40707965</v>
      </c>
      <c r="Y274" s="4">
        <v>0</v>
      </c>
      <c r="Z274" s="4"/>
      <c r="AA274" s="4"/>
      <c r="AB274" s="4"/>
      <c r="AC274" s="4"/>
      <c r="AD274" s="4"/>
      <c r="AE274" s="4"/>
      <c r="AF274" s="4">
        <v>4.5</v>
      </c>
      <c r="AG274" s="4">
        <v>0</v>
      </c>
      <c r="AH274" s="4">
        <v>6</v>
      </c>
      <c r="AI274" s="4">
        <v>0</v>
      </c>
      <c r="AJ274" s="3" t="s">
        <v>1036</v>
      </c>
      <c r="AK274" s="4">
        <v>0</v>
      </c>
      <c r="AL274" s="4">
        <v>0</v>
      </c>
      <c r="AM274" s="6"/>
      <c r="AN274" s="6"/>
      <c r="AO274" s="3" t="s">
        <v>1034</v>
      </c>
      <c r="AP274" s="3" t="s">
        <v>937</v>
      </c>
      <c r="AQ274" s="4"/>
      <c r="AR274" s="4"/>
      <c r="AS274" s="2"/>
    </row>
    <row r="275" ht="16.5" hidden="1" spans="1:45">
      <c r="A275" s="3" t="s">
        <v>1078</v>
      </c>
      <c r="B275" s="3" t="s">
        <v>1030</v>
      </c>
      <c r="C275" s="3" t="s">
        <v>935</v>
      </c>
      <c r="D275" s="3" t="s">
        <v>1042</v>
      </c>
      <c r="E275" s="3" t="s">
        <v>1032</v>
      </c>
      <c r="F275" s="4">
        <v>0</v>
      </c>
      <c r="G275" s="4">
        <v>0</v>
      </c>
      <c r="H275" s="4">
        <v>0</v>
      </c>
      <c r="I275" s="4">
        <v>0</v>
      </c>
      <c r="J275" s="4">
        <v>0</v>
      </c>
      <c r="K275" s="4">
        <v>0</v>
      </c>
      <c r="L275" s="4">
        <v>150</v>
      </c>
      <c r="M275" s="5">
        <v>150</v>
      </c>
      <c r="N275" s="4">
        <v>0</v>
      </c>
      <c r="O275" s="4">
        <v>2484.955752</v>
      </c>
      <c r="P275" s="4">
        <v>0</v>
      </c>
      <c r="Q275" s="4">
        <v>0</v>
      </c>
      <c r="R275" s="4">
        <v>0</v>
      </c>
      <c r="S275" s="4">
        <v>0</v>
      </c>
      <c r="T275" s="4">
        <v>0</v>
      </c>
      <c r="U275" s="4">
        <v>0</v>
      </c>
      <c r="V275" s="4">
        <v>0</v>
      </c>
      <c r="W275" s="4">
        <v>0</v>
      </c>
      <c r="X275" s="4">
        <v>16.56637168</v>
      </c>
      <c r="Y275" s="4">
        <v>0</v>
      </c>
      <c r="Z275" s="4"/>
      <c r="AA275" s="4"/>
      <c r="AB275" s="4"/>
      <c r="AC275" s="4"/>
      <c r="AD275" s="4"/>
      <c r="AE275" s="4"/>
      <c r="AF275" s="4">
        <v>4.5</v>
      </c>
      <c r="AG275" s="4">
        <v>0</v>
      </c>
      <c r="AH275" s="4">
        <v>6</v>
      </c>
      <c r="AI275" s="4">
        <v>0</v>
      </c>
      <c r="AJ275" s="3" t="s">
        <v>1036</v>
      </c>
      <c r="AK275" s="4">
        <v>0</v>
      </c>
      <c r="AL275" s="4">
        <v>0</v>
      </c>
      <c r="AM275" s="6"/>
      <c r="AN275" s="6"/>
      <c r="AO275" s="3" t="s">
        <v>1034</v>
      </c>
      <c r="AP275" s="3" t="s">
        <v>937</v>
      </c>
      <c r="AQ275" s="4"/>
      <c r="AR275" s="4"/>
      <c r="AS275" s="2"/>
    </row>
    <row r="276" ht="16.5" hidden="1" spans="1:45">
      <c r="A276" s="3" t="s">
        <v>1079</v>
      </c>
      <c r="B276" s="3" t="s">
        <v>1030</v>
      </c>
      <c r="C276" s="3" t="s">
        <v>935</v>
      </c>
      <c r="D276" s="3" t="s">
        <v>1042</v>
      </c>
      <c r="E276" s="3" t="s">
        <v>1032</v>
      </c>
      <c r="F276" s="4">
        <v>0</v>
      </c>
      <c r="G276" s="4">
        <v>0</v>
      </c>
      <c r="H276" s="4">
        <v>0</v>
      </c>
      <c r="I276" s="4">
        <v>0</v>
      </c>
      <c r="J276" s="4">
        <v>0</v>
      </c>
      <c r="K276" s="4">
        <v>0</v>
      </c>
      <c r="L276" s="4">
        <v>150</v>
      </c>
      <c r="M276" s="5">
        <v>150</v>
      </c>
      <c r="N276" s="4">
        <v>0</v>
      </c>
      <c r="O276" s="4">
        <v>3752.654868</v>
      </c>
      <c r="P276" s="4">
        <v>0</v>
      </c>
      <c r="Q276" s="4">
        <v>0</v>
      </c>
      <c r="R276" s="4">
        <v>0</v>
      </c>
      <c r="S276" s="4">
        <v>0</v>
      </c>
      <c r="T276" s="4">
        <v>0</v>
      </c>
      <c r="U276" s="4">
        <v>0</v>
      </c>
      <c r="V276" s="4">
        <v>0</v>
      </c>
      <c r="W276" s="4">
        <v>0</v>
      </c>
      <c r="X276" s="4">
        <v>25.01769912</v>
      </c>
      <c r="Y276" s="4">
        <v>0</v>
      </c>
      <c r="Z276" s="4"/>
      <c r="AA276" s="4"/>
      <c r="AB276" s="4"/>
      <c r="AC276" s="4"/>
      <c r="AD276" s="4"/>
      <c r="AE276" s="4"/>
      <c r="AF276" s="4">
        <v>4.5</v>
      </c>
      <c r="AG276" s="4">
        <v>0</v>
      </c>
      <c r="AH276" s="4">
        <v>6</v>
      </c>
      <c r="AI276" s="4">
        <v>0</v>
      </c>
      <c r="AJ276" s="3" t="s">
        <v>1036</v>
      </c>
      <c r="AK276" s="4">
        <v>0</v>
      </c>
      <c r="AL276" s="4">
        <v>0</v>
      </c>
      <c r="AM276" s="6"/>
      <c r="AN276" s="6"/>
      <c r="AO276" s="3" t="s">
        <v>1034</v>
      </c>
      <c r="AP276" s="3" t="s">
        <v>937</v>
      </c>
      <c r="AQ276" s="4"/>
      <c r="AR276" s="4"/>
      <c r="AS276" s="2"/>
    </row>
    <row r="277" ht="16.5" hidden="1" spans="1:45">
      <c r="A277" s="3" t="s">
        <v>1080</v>
      </c>
      <c r="B277" s="3" t="s">
        <v>1030</v>
      </c>
      <c r="C277" s="3" t="s">
        <v>935</v>
      </c>
      <c r="D277" s="3" t="s">
        <v>1042</v>
      </c>
      <c r="E277" s="3" t="s">
        <v>1032</v>
      </c>
      <c r="F277" s="4">
        <v>0</v>
      </c>
      <c r="G277" s="4">
        <v>0</v>
      </c>
      <c r="H277" s="4">
        <v>0</v>
      </c>
      <c r="I277" s="4">
        <v>0</v>
      </c>
      <c r="J277" s="4">
        <v>0</v>
      </c>
      <c r="K277" s="4">
        <v>0</v>
      </c>
      <c r="L277" s="4">
        <v>150</v>
      </c>
      <c r="M277" s="5">
        <v>150</v>
      </c>
      <c r="N277" s="4">
        <v>0</v>
      </c>
      <c r="O277" s="4">
        <v>3626.548673</v>
      </c>
      <c r="P277" s="4">
        <v>0</v>
      </c>
      <c r="Q277" s="4">
        <v>0</v>
      </c>
      <c r="R277" s="4">
        <v>0</v>
      </c>
      <c r="S277" s="4">
        <v>0</v>
      </c>
      <c r="T277" s="4">
        <v>0</v>
      </c>
      <c r="U277" s="4">
        <v>0</v>
      </c>
      <c r="V277" s="4">
        <v>0</v>
      </c>
      <c r="W277" s="4">
        <v>0</v>
      </c>
      <c r="X277" s="4">
        <v>24.17699115</v>
      </c>
      <c r="Y277" s="4">
        <v>0</v>
      </c>
      <c r="Z277" s="4"/>
      <c r="AA277" s="4"/>
      <c r="AB277" s="4"/>
      <c r="AC277" s="4"/>
      <c r="AD277" s="4"/>
      <c r="AE277" s="4"/>
      <c r="AF277" s="4">
        <v>4.5</v>
      </c>
      <c r="AG277" s="4">
        <v>0</v>
      </c>
      <c r="AH277" s="4">
        <v>6</v>
      </c>
      <c r="AI277" s="4">
        <v>0</v>
      </c>
      <c r="AJ277" s="3" t="s">
        <v>1036</v>
      </c>
      <c r="AK277" s="4">
        <v>0</v>
      </c>
      <c r="AL277" s="4">
        <v>0</v>
      </c>
      <c r="AM277" s="6"/>
      <c r="AN277" s="6"/>
      <c r="AO277" s="3" t="s">
        <v>1034</v>
      </c>
      <c r="AP277" s="3" t="s">
        <v>937</v>
      </c>
      <c r="AQ277" s="4"/>
      <c r="AR277" s="4"/>
      <c r="AS277" s="2"/>
    </row>
    <row r="278" ht="16.5" hidden="1" spans="1:45">
      <c r="A278" s="3" t="s">
        <v>1081</v>
      </c>
      <c r="B278" s="3" t="s">
        <v>1030</v>
      </c>
      <c r="C278" s="3" t="s">
        <v>935</v>
      </c>
      <c r="D278" s="3" t="s">
        <v>1042</v>
      </c>
      <c r="E278" s="3" t="s">
        <v>1032</v>
      </c>
      <c r="F278" s="4">
        <v>0</v>
      </c>
      <c r="G278" s="4">
        <v>0</v>
      </c>
      <c r="H278" s="4">
        <v>0</v>
      </c>
      <c r="I278" s="4">
        <v>0</v>
      </c>
      <c r="J278" s="4">
        <v>0</v>
      </c>
      <c r="K278" s="4">
        <v>0</v>
      </c>
      <c r="L278" s="4">
        <v>180</v>
      </c>
      <c r="M278" s="5">
        <v>180</v>
      </c>
      <c r="N278" s="4">
        <v>0</v>
      </c>
      <c r="O278" s="4">
        <v>3521.946902</v>
      </c>
      <c r="P278" s="4">
        <v>0</v>
      </c>
      <c r="Q278" s="4">
        <v>0</v>
      </c>
      <c r="R278" s="4">
        <v>0</v>
      </c>
      <c r="S278" s="4">
        <v>0</v>
      </c>
      <c r="T278" s="4">
        <v>0</v>
      </c>
      <c r="U278" s="4">
        <v>0</v>
      </c>
      <c r="V278" s="4">
        <v>0</v>
      </c>
      <c r="W278" s="4">
        <v>0</v>
      </c>
      <c r="X278" s="4">
        <v>19.56637168</v>
      </c>
      <c r="Y278" s="4">
        <v>0</v>
      </c>
      <c r="Z278" s="4"/>
      <c r="AA278" s="4"/>
      <c r="AB278" s="4"/>
      <c r="AC278" s="4"/>
      <c r="AD278" s="4"/>
      <c r="AE278" s="4"/>
      <c r="AF278" s="4">
        <v>4.5</v>
      </c>
      <c r="AG278" s="4">
        <v>0</v>
      </c>
      <c r="AH278" s="4">
        <v>6</v>
      </c>
      <c r="AI278" s="4">
        <v>0</v>
      </c>
      <c r="AJ278" s="3" t="s">
        <v>1036</v>
      </c>
      <c r="AK278" s="4">
        <v>0</v>
      </c>
      <c r="AL278" s="4">
        <v>0</v>
      </c>
      <c r="AM278" s="6"/>
      <c r="AN278" s="6"/>
      <c r="AO278" s="3" t="s">
        <v>1034</v>
      </c>
      <c r="AP278" s="3" t="s">
        <v>937</v>
      </c>
      <c r="AQ278" s="4"/>
      <c r="AR278" s="4"/>
      <c r="AS278" s="2"/>
    </row>
    <row r="279" ht="16.5" hidden="1" spans="1:45">
      <c r="A279" s="3" t="s">
        <v>1082</v>
      </c>
      <c r="B279" s="3" t="s">
        <v>1030</v>
      </c>
      <c r="C279" s="3" t="s">
        <v>935</v>
      </c>
      <c r="D279" s="3" t="s">
        <v>1042</v>
      </c>
      <c r="E279" s="3" t="s">
        <v>1032</v>
      </c>
      <c r="F279" s="4">
        <v>0</v>
      </c>
      <c r="G279" s="4">
        <v>0</v>
      </c>
      <c r="H279" s="4">
        <v>0</v>
      </c>
      <c r="I279" s="4">
        <v>0</v>
      </c>
      <c r="J279" s="4">
        <v>0</v>
      </c>
      <c r="K279" s="4">
        <v>0</v>
      </c>
      <c r="L279" s="4">
        <v>150</v>
      </c>
      <c r="M279" s="5">
        <v>150</v>
      </c>
      <c r="N279" s="4">
        <v>0</v>
      </c>
      <c r="O279" s="4">
        <v>3221.681417</v>
      </c>
      <c r="P279" s="4">
        <v>0</v>
      </c>
      <c r="Q279" s="4">
        <v>0</v>
      </c>
      <c r="R279" s="4">
        <v>0</v>
      </c>
      <c r="S279" s="4">
        <v>0</v>
      </c>
      <c r="T279" s="4">
        <v>0</v>
      </c>
      <c r="U279" s="4">
        <v>0</v>
      </c>
      <c r="V279" s="4">
        <v>0</v>
      </c>
      <c r="W279" s="4">
        <v>0</v>
      </c>
      <c r="X279" s="4">
        <v>21.47787611</v>
      </c>
      <c r="Y279" s="4">
        <v>0</v>
      </c>
      <c r="Z279" s="4"/>
      <c r="AA279" s="4"/>
      <c r="AB279" s="4"/>
      <c r="AC279" s="4"/>
      <c r="AD279" s="4"/>
      <c r="AE279" s="4"/>
      <c r="AF279" s="4">
        <v>4.5</v>
      </c>
      <c r="AG279" s="4">
        <v>0</v>
      </c>
      <c r="AH279" s="4">
        <v>6</v>
      </c>
      <c r="AI279" s="4">
        <v>0</v>
      </c>
      <c r="AJ279" s="3" t="s">
        <v>1036</v>
      </c>
      <c r="AK279" s="4">
        <v>0</v>
      </c>
      <c r="AL279" s="4">
        <v>0</v>
      </c>
      <c r="AM279" s="6"/>
      <c r="AN279" s="6"/>
      <c r="AO279" s="3" t="s">
        <v>1034</v>
      </c>
      <c r="AP279" s="3" t="s">
        <v>937</v>
      </c>
      <c r="AQ279" s="4"/>
      <c r="AR279" s="4"/>
      <c r="AS279" s="2"/>
    </row>
    <row r="280" ht="16.5" hidden="1" spans="1:45">
      <c r="A280" s="3" t="s">
        <v>1083</v>
      </c>
      <c r="B280" s="3" t="s">
        <v>1030</v>
      </c>
      <c r="C280" s="3" t="s">
        <v>935</v>
      </c>
      <c r="D280" s="3" t="s">
        <v>1042</v>
      </c>
      <c r="E280" s="3" t="s">
        <v>1032</v>
      </c>
      <c r="F280" s="4">
        <v>0</v>
      </c>
      <c r="G280" s="4">
        <v>0</v>
      </c>
      <c r="H280" s="4">
        <v>0</v>
      </c>
      <c r="I280" s="4">
        <v>0</v>
      </c>
      <c r="J280" s="4">
        <v>0</v>
      </c>
      <c r="K280" s="4">
        <v>0</v>
      </c>
      <c r="L280" s="4">
        <v>150</v>
      </c>
      <c r="M280" s="5">
        <v>150</v>
      </c>
      <c r="N280" s="4">
        <v>0</v>
      </c>
      <c r="O280" s="4">
        <v>3342.477876</v>
      </c>
      <c r="P280" s="4">
        <v>0</v>
      </c>
      <c r="Q280" s="4">
        <v>0</v>
      </c>
      <c r="R280" s="4">
        <v>0</v>
      </c>
      <c r="S280" s="4">
        <v>0</v>
      </c>
      <c r="T280" s="4">
        <v>0</v>
      </c>
      <c r="U280" s="4">
        <v>0</v>
      </c>
      <c r="V280" s="4">
        <v>0</v>
      </c>
      <c r="W280" s="4">
        <v>0</v>
      </c>
      <c r="X280" s="4">
        <v>22.28318584</v>
      </c>
      <c r="Y280" s="4">
        <v>0</v>
      </c>
      <c r="Z280" s="4"/>
      <c r="AA280" s="4"/>
      <c r="AB280" s="4"/>
      <c r="AC280" s="4"/>
      <c r="AD280" s="4"/>
      <c r="AE280" s="4"/>
      <c r="AF280" s="4">
        <v>4.5</v>
      </c>
      <c r="AG280" s="4">
        <v>0</v>
      </c>
      <c r="AH280" s="4">
        <v>6</v>
      </c>
      <c r="AI280" s="4">
        <v>0</v>
      </c>
      <c r="AJ280" s="3" t="s">
        <v>1036</v>
      </c>
      <c r="AK280" s="4">
        <v>0</v>
      </c>
      <c r="AL280" s="4">
        <v>0</v>
      </c>
      <c r="AM280" s="6"/>
      <c r="AN280" s="6"/>
      <c r="AO280" s="3" t="s">
        <v>1034</v>
      </c>
      <c r="AP280" s="3" t="s">
        <v>937</v>
      </c>
      <c r="AQ280" s="4"/>
      <c r="AR280" s="4"/>
      <c r="AS280" s="2"/>
    </row>
    <row r="281" ht="16.5" hidden="1" spans="1:45">
      <c r="A281" s="3" t="s">
        <v>1084</v>
      </c>
      <c r="B281" s="3" t="s">
        <v>1030</v>
      </c>
      <c r="C281" s="3" t="s">
        <v>935</v>
      </c>
      <c r="D281" s="3" t="s">
        <v>1042</v>
      </c>
      <c r="E281" s="3" t="s">
        <v>1032</v>
      </c>
      <c r="F281" s="4">
        <v>0</v>
      </c>
      <c r="G281" s="4">
        <v>0</v>
      </c>
      <c r="H281" s="4">
        <v>0</v>
      </c>
      <c r="I281" s="4">
        <v>0</v>
      </c>
      <c r="J281" s="4">
        <v>0</v>
      </c>
      <c r="K281" s="4">
        <v>0</v>
      </c>
      <c r="L281" s="4">
        <v>180</v>
      </c>
      <c r="M281" s="5">
        <v>180</v>
      </c>
      <c r="N281" s="4">
        <v>0</v>
      </c>
      <c r="O281" s="4">
        <v>3783.185842</v>
      </c>
      <c r="P281" s="4">
        <v>0</v>
      </c>
      <c r="Q281" s="4">
        <v>0</v>
      </c>
      <c r="R281" s="4">
        <v>0</v>
      </c>
      <c r="S281" s="4">
        <v>0</v>
      </c>
      <c r="T281" s="4">
        <v>0</v>
      </c>
      <c r="U281" s="4">
        <v>0</v>
      </c>
      <c r="V281" s="4">
        <v>0</v>
      </c>
      <c r="W281" s="4">
        <v>0</v>
      </c>
      <c r="X281" s="4">
        <v>21.01769912</v>
      </c>
      <c r="Y281" s="4">
        <v>0</v>
      </c>
      <c r="Z281" s="4"/>
      <c r="AA281" s="4"/>
      <c r="AB281" s="4"/>
      <c r="AC281" s="4"/>
      <c r="AD281" s="4"/>
      <c r="AE281" s="4"/>
      <c r="AF281" s="4">
        <v>4.5</v>
      </c>
      <c r="AG281" s="4">
        <v>0</v>
      </c>
      <c r="AH281" s="4">
        <v>6</v>
      </c>
      <c r="AI281" s="4">
        <v>0</v>
      </c>
      <c r="AJ281" s="3" t="s">
        <v>1036</v>
      </c>
      <c r="AK281" s="4">
        <v>0</v>
      </c>
      <c r="AL281" s="4">
        <v>0</v>
      </c>
      <c r="AM281" s="6"/>
      <c r="AN281" s="6"/>
      <c r="AO281" s="3" t="s">
        <v>1034</v>
      </c>
      <c r="AP281" s="3" t="s">
        <v>937</v>
      </c>
      <c r="AQ281" s="4"/>
      <c r="AR281" s="4"/>
      <c r="AS281" s="2"/>
    </row>
    <row r="282" ht="16.5" hidden="1" spans="1:45">
      <c r="A282" s="3" t="s">
        <v>1085</v>
      </c>
      <c r="B282" s="3" t="s">
        <v>1030</v>
      </c>
      <c r="C282" s="3" t="s">
        <v>935</v>
      </c>
      <c r="D282" s="3" t="s">
        <v>1042</v>
      </c>
      <c r="E282" s="3" t="s">
        <v>1032</v>
      </c>
      <c r="F282" s="4">
        <v>0</v>
      </c>
      <c r="G282" s="4">
        <v>0</v>
      </c>
      <c r="H282" s="4">
        <v>0</v>
      </c>
      <c r="I282" s="4">
        <v>0</v>
      </c>
      <c r="J282" s="4">
        <v>0</v>
      </c>
      <c r="K282" s="4">
        <v>0</v>
      </c>
      <c r="L282" s="4">
        <v>150</v>
      </c>
      <c r="M282" s="5">
        <v>150</v>
      </c>
      <c r="N282" s="4">
        <v>0</v>
      </c>
      <c r="O282" s="4">
        <v>2500.884956</v>
      </c>
      <c r="P282" s="4">
        <v>0</v>
      </c>
      <c r="Q282" s="4">
        <v>0</v>
      </c>
      <c r="R282" s="4">
        <v>0</v>
      </c>
      <c r="S282" s="4">
        <v>0</v>
      </c>
      <c r="T282" s="4">
        <v>0</v>
      </c>
      <c r="U282" s="4">
        <v>0</v>
      </c>
      <c r="V282" s="4">
        <v>0</v>
      </c>
      <c r="W282" s="4">
        <v>0</v>
      </c>
      <c r="X282" s="4">
        <v>16.67256637</v>
      </c>
      <c r="Y282" s="4">
        <v>0</v>
      </c>
      <c r="Z282" s="4"/>
      <c r="AA282" s="4"/>
      <c r="AB282" s="4"/>
      <c r="AC282" s="4"/>
      <c r="AD282" s="4"/>
      <c r="AE282" s="4"/>
      <c r="AF282" s="4">
        <v>4.5</v>
      </c>
      <c r="AG282" s="4">
        <v>0</v>
      </c>
      <c r="AH282" s="4">
        <v>6</v>
      </c>
      <c r="AI282" s="4">
        <v>0</v>
      </c>
      <c r="AJ282" s="3" t="s">
        <v>1036</v>
      </c>
      <c r="AK282" s="4">
        <v>0</v>
      </c>
      <c r="AL282" s="4">
        <v>0</v>
      </c>
      <c r="AM282" s="6"/>
      <c r="AN282" s="6"/>
      <c r="AO282" s="3" t="s">
        <v>1034</v>
      </c>
      <c r="AP282" s="3" t="s">
        <v>937</v>
      </c>
      <c r="AQ282" s="4"/>
      <c r="AR282" s="4"/>
      <c r="AS282" s="2"/>
    </row>
    <row r="283" ht="16.5" hidden="1" spans="1:45">
      <c r="A283" s="3" t="s">
        <v>1086</v>
      </c>
      <c r="B283" s="3" t="s">
        <v>1030</v>
      </c>
      <c r="C283" s="3" t="s">
        <v>935</v>
      </c>
      <c r="D283" s="3" t="s">
        <v>1042</v>
      </c>
      <c r="E283" s="3" t="s">
        <v>1032</v>
      </c>
      <c r="F283" s="4">
        <v>0</v>
      </c>
      <c r="G283" s="4">
        <v>0</v>
      </c>
      <c r="H283" s="4">
        <v>0</v>
      </c>
      <c r="I283" s="4">
        <v>0</v>
      </c>
      <c r="J283" s="4">
        <v>0</v>
      </c>
      <c r="K283" s="4">
        <v>0</v>
      </c>
      <c r="L283" s="4">
        <v>150</v>
      </c>
      <c r="M283" s="5">
        <v>150</v>
      </c>
      <c r="N283" s="4">
        <v>0</v>
      </c>
      <c r="O283" s="4">
        <v>3548.230089</v>
      </c>
      <c r="P283" s="4">
        <v>0</v>
      </c>
      <c r="Q283" s="4">
        <v>0</v>
      </c>
      <c r="R283" s="4">
        <v>0</v>
      </c>
      <c r="S283" s="4">
        <v>0</v>
      </c>
      <c r="T283" s="4">
        <v>0</v>
      </c>
      <c r="U283" s="4">
        <v>0</v>
      </c>
      <c r="V283" s="4">
        <v>0</v>
      </c>
      <c r="W283" s="4">
        <v>0</v>
      </c>
      <c r="X283" s="4">
        <v>23.65486726</v>
      </c>
      <c r="Y283" s="4">
        <v>0</v>
      </c>
      <c r="Z283" s="4"/>
      <c r="AA283" s="4"/>
      <c r="AB283" s="4"/>
      <c r="AC283" s="4"/>
      <c r="AD283" s="4"/>
      <c r="AE283" s="4"/>
      <c r="AF283" s="4">
        <v>4.5</v>
      </c>
      <c r="AG283" s="4">
        <v>0</v>
      </c>
      <c r="AH283" s="4">
        <v>6</v>
      </c>
      <c r="AI283" s="4">
        <v>0</v>
      </c>
      <c r="AJ283" s="3" t="s">
        <v>1036</v>
      </c>
      <c r="AK283" s="4">
        <v>0</v>
      </c>
      <c r="AL283" s="4">
        <v>0</v>
      </c>
      <c r="AM283" s="6"/>
      <c r="AN283" s="6"/>
      <c r="AO283" s="3" t="s">
        <v>1034</v>
      </c>
      <c r="AP283" s="3" t="s">
        <v>937</v>
      </c>
      <c r="AQ283" s="4"/>
      <c r="AR283" s="4"/>
      <c r="AS283" s="2"/>
    </row>
    <row r="284" ht="16.5" hidden="1" spans="1:45">
      <c r="A284" s="3" t="s">
        <v>1087</v>
      </c>
      <c r="B284" s="3" t="s">
        <v>1030</v>
      </c>
      <c r="C284" s="3" t="s">
        <v>935</v>
      </c>
      <c r="D284" s="3" t="s">
        <v>1042</v>
      </c>
      <c r="E284" s="3" t="s">
        <v>1032</v>
      </c>
      <c r="F284" s="4">
        <v>0</v>
      </c>
      <c r="G284" s="4">
        <v>0</v>
      </c>
      <c r="H284" s="4">
        <v>0</v>
      </c>
      <c r="I284" s="4">
        <v>0</v>
      </c>
      <c r="J284" s="4">
        <v>0</v>
      </c>
      <c r="K284" s="4">
        <v>0</v>
      </c>
      <c r="L284" s="4">
        <v>160</v>
      </c>
      <c r="M284" s="5">
        <v>160</v>
      </c>
      <c r="N284" s="4">
        <v>0</v>
      </c>
      <c r="O284" s="4">
        <v>3398.230088</v>
      </c>
      <c r="P284" s="4">
        <v>0</v>
      </c>
      <c r="Q284" s="4">
        <v>0</v>
      </c>
      <c r="R284" s="4">
        <v>0</v>
      </c>
      <c r="S284" s="4">
        <v>0</v>
      </c>
      <c r="T284" s="4">
        <v>0</v>
      </c>
      <c r="U284" s="4">
        <v>0</v>
      </c>
      <c r="V284" s="4">
        <v>0</v>
      </c>
      <c r="W284" s="4">
        <v>0</v>
      </c>
      <c r="X284" s="4">
        <v>21.23893805</v>
      </c>
      <c r="Y284" s="4">
        <v>0</v>
      </c>
      <c r="Z284" s="4"/>
      <c r="AA284" s="4"/>
      <c r="AB284" s="4"/>
      <c r="AC284" s="4"/>
      <c r="AD284" s="4"/>
      <c r="AE284" s="4"/>
      <c r="AF284" s="4">
        <v>4.5</v>
      </c>
      <c r="AG284" s="4">
        <v>0</v>
      </c>
      <c r="AH284" s="4">
        <v>6</v>
      </c>
      <c r="AI284" s="4">
        <v>0</v>
      </c>
      <c r="AJ284" s="3" t="s">
        <v>1036</v>
      </c>
      <c r="AK284" s="4">
        <v>0</v>
      </c>
      <c r="AL284" s="4">
        <v>0</v>
      </c>
      <c r="AM284" s="6"/>
      <c r="AN284" s="6"/>
      <c r="AO284" s="3" t="s">
        <v>1034</v>
      </c>
      <c r="AP284" s="3" t="s">
        <v>937</v>
      </c>
      <c r="AQ284" s="4"/>
      <c r="AR284" s="4"/>
      <c r="AS284" s="2"/>
    </row>
    <row r="285" ht="16.5" hidden="1" spans="1:45">
      <c r="A285" s="3" t="s">
        <v>1088</v>
      </c>
      <c r="B285" s="3" t="s">
        <v>1030</v>
      </c>
      <c r="C285" s="3" t="s">
        <v>935</v>
      </c>
      <c r="D285" s="3" t="s">
        <v>1042</v>
      </c>
      <c r="E285" s="3" t="s">
        <v>1032</v>
      </c>
      <c r="F285" s="4">
        <v>0</v>
      </c>
      <c r="G285" s="4">
        <v>0</v>
      </c>
      <c r="H285" s="4">
        <v>0</v>
      </c>
      <c r="I285" s="4">
        <v>0</v>
      </c>
      <c r="J285" s="4">
        <v>0</v>
      </c>
      <c r="K285" s="4">
        <v>0</v>
      </c>
      <c r="L285" s="4">
        <v>150</v>
      </c>
      <c r="M285" s="5">
        <v>150</v>
      </c>
      <c r="N285" s="4">
        <v>0</v>
      </c>
      <c r="O285" s="4">
        <v>2984.070797</v>
      </c>
      <c r="P285" s="4">
        <v>0</v>
      </c>
      <c r="Q285" s="4">
        <v>0</v>
      </c>
      <c r="R285" s="4">
        <v>0</v>
      </c>
      <c r="S285" s="4">
        <v>0</v>
      </c>
      <c r="T285" s="4">
        <v>0</v>
      </c>
      <c r="U285" s="4">
        <v>0</v>
      </c>
      <c r="V285" s="4">
        <v>0</v>
      </c>
      <c r="W285" s="4">
        <v>0</v>
      </c>
      <c r="X285" s="4">
        <v>19.89380531</v>
      </c>
      <c r="Y285" s="4">
        <v>0</v>
      </c>
      <c r="Z285" s="4"/>
      <c r="AA285" s="4"/>
      <c r="AB285" s="4"/>
      <c r="AC285" s="4"/>
      <c r="AD285" s="4"/>
      <c r="AE285" s="4"/>
      <c r="AF285" s="4">
        <v>4.5</v>
      </c>
      <c r="AG285" s="4">
        <v>0</v>
      </c>
      <c r="AH285" s="4">
        <v>6</v>
      </c>
      <c r="AI285" s="4">
        <v>0</v>
      </c>
      <c r="AJ285" s="3" t="s">
        <v>1036</v>
      </c>
      <c r="AK285" s="4">
        <v>0</v>
      </c>
      <c r="AL285" s="4">
        <v>0</v>
      </c>
      <c r="AM285" s="6"/>
      <c r="AN285" s="6"/>
      <c r="AO285" s="3" t="s">
        <v>1034</v>
      </c>
      <c r="AP285" s="3" t="s">
        <v>937</v>
      </c>
      <c r="AQ285" s="4"/>
      <c r="AR285" s="4"/>
      <c r="AS285" s="2"/>
    </row>
    <row r="286" ht="16.5" hidden="1" spans="1:45">
      <c r="A286" s="3" t="s">
        <v>1089</v>
      </c>
      <c r="B286" s="3" t="s">
        <v>1030</v>
      </c>
      <c r="C286" s="3" t="s">
        <v>935</v>
      </c>
      <c r="D286" s="3" t="s">
        <v>1042</v>
      </c>
      <c r="E286" s="3" t="s">
        <v>1032</v>
      </c>
      <c r="F286" s="4">
        <v>0</v>
      </c>
      <c r="G286" s="4">
        <v>0</v>
      </c>
      <c r="H286" s="4">
        <v>0</v>
      </c>
      <c r="I286" s="4">
        <v>0</v>
      </c>
      <c r="J286" s="4">
        <v>0</v>
      </c>
      <c r="K286" s="4">
        <v>0</v>
      </c>
      <c r="L286" s="4">
        <v>150</v>
      </c>
      <c r="M286" s="5">
        <v>150</v>
      </c>
      <c r="N286" s="4">
        <v>0</v>
      </c>
      <c r="O286" s="4">
        <v>3534.955752</v>
      </c>
      <c r="P286" s="4">
        <v>0</v>
      </c>
      <c r="Q286" s="4">
        <v>0</v>
      </c>
      <c r="R286" s="4">
        <v>0</v>
      </c>
      <c r="S286" s="4">
        <v>0</v>
      </c>
      <c r="T286" s="4">
        <v>0</v>
      </c>
      <c r="U286" s="4">
        <v>0</v>
      </c>
      <c r="V286" s="4">
        <v>0</v>
      </c>
      <c r="W286" s="4">
        <v>0</v>
      </c>
      <c r="X286" s="4">
        <v>23.56637168</v>
      </c>
      <c r="Y286" s="4">
        <v>0</v>
      </c>
      <c r="Z286" s="4"/>
      <c r="AA286" s="4"/>
      <c r="AB286" s="4"/>
      <c r="AC286" s="4"/>
      <c r="AD286" s="4"/>
      <c r="AE286" s="4"/>
      <c r="AF286" s="4">
        <v>4.5</v>
      </c>
      <c r="AG286" s="4">
        <v>0</v>
      </c>
      <c r="AH286" s="4">
        <v>6</v>
      </c>
      <c r="AI286" s="4">
        <v>0</v>
      </c>
      <c r="AJ286" s="3" t="s">
        <v>1036</v>
      </c>
      <c r="AK286" s="4">
        <v>0</v>
      </c>
      <c r="AL286" s="4">
        <v>0</v>
      </c>
      <c r="AM286" s="6"/>
      <c r="AN286" s="6"/>
      <c r="AO286" s="3" t="s">
        <v>1034</v>
      </c>
      <c r="AP286" s="3" t="s">
        <v>937</v>
      </c>
      <c r="AQ286" s="4"/>
      <c r="AR286" s="4"/>
      <c r="AS286" s="2"/>
    </row>
    <row r="287" ht="16.5" hidden="1" spans="1:45">
      <c r="A287" s="3" t="s">
        <v>1090</v>
      </c>
      <c r="B287" s="3" t="s">
        <v>1030</v>
      </c>
      <c r="C287" s="3" t="s">
        <v>935</v>
      </c>
      <c r="D287" s="3" t="s">
        <v>1042</v>
      </c>
      <c r="E287" s="3" t="s">
        <v>1032</v>
      </c>
      <c r="F287" s="4">
        <v>0</v>
      </c>
      <c r="G287" s="4">
        <v>0</v>
      </c>
      <c r="H287" s="4">
        <v>0</v>
      </c>
      <c r="I287" s="4">
        <v>0</v>
      </c>
      <c r="J287" s="4">
        <v>0</v>
      </c>
      <c r="K287" s="4">
        <v>0</v>
      </c>
      <c r="L287" s="4">
        <v>150</v>
      </c>
      <c r="M287" s="5">
        <v>150</v>
      </c>
      <c r="N287" s="4">
        <v>0</v>
      </c>
      <c r="O287" s="4">
        <v>2989.380531</v>
      </c>
      <c r="P287" s="4">
        <v>0</v>
      </c>
      <c r="Q287" s="4">
        <v>0</v>
      </c>
      <c r="R287" s="4">
        <v>0</v>
      </c>
      <c r="S287" s="4">
        <v>0</v>
      </c>
      <c r="T287" s="4">
        <v>0</v>
      </c>
      <c r="U287" s="4">
        <v>0</v>
      </c>
      <c r="V287" s="4">
        <v>0</v>
      </c>
      <c r="W287" s="4">
        <v>0</v>
      </c>
      <c r="X287" s="4">
        <v>19.92920354</v>
      </c>
      <c r="Y287" s="4">
        <v>0</v>
      </c>
      <c r="Z287" s="4"/>
      <c r="AA287" s="4"/>
      <c r="AB287" s="4"/>
      <c r="AC287" s="4"/>
      <c r="AD287" s="4"/>
      <c r="AE287" s="4"/>
      <c r="AF287" s="4">
        <v>4.5</v>
      </c>
      <c r="AG287" s="4">
        <v>0</v>
      </c>
      <c r="AH287" s="4">
        <v>6</v>
      </c>
      <c r="AI287" s="4">
        <v>0</v>
      </c>
      <c r="AJ287" s="3" t="s">
        <v>1036</v>
      </c>
      <c r="AK287" s="4">
        <v>0</v>
      </c>
      <c r="AL287" s="4">
        <v>0</v>
      </c>
      <c r="AM287" s="6"/>
      <c r="AN287" s="6"/>
      <c r="AO287" s="3" t="s">
        <v>1034</v>
      </c>
      <c r="AP287" s="3" t="s">
        <v>937</v>
      </c>
      <c r="AQ287" s="4"/>
      <c r="AR287" s="4"/>
      <c r="AS287" s="2"/>
    </row>
    <row r="288" ht="16.5" hidden="1" spans="1:45">
      <c r="A288" s="3" t="s">
        <v>1091</v>
      </c>
      <c r="B288" s="3" t="s">
        <v>1030</v>
      </c>
      <c r="C288" s="3" t="s">
        <v>935</v>
      </c>
      <c r="D288" s="3" t="s">
        <v>1042</v>
      </c>
      <c r="E288" s="3" t="s">
        <v>1032</v>
      </c>
      <c r="F288" s="4">
        <v>0</v>
      </c>
      <c r="G288" s="4">
        <v>0</v>
      </c>
      <c r="H288" s="4">
        <v>0</v>
      </c>
      <c r="I288" s="4">
        <v>0</v>
      </c>
      <c r="J288" s="4">
        <v>0</v>
      </c>
      <c r="K288" s="4">
        <v>0</v>
      </c>
      <c r="L288" s="4">
        <v>150</v>
      </c>
      <c r="M288" s="5">
        <v>150</v>
      </c>
      <c r="N288" s="4">
        <v>0</v>
      </c>
      <c r="O288" s="4">
        <v>3500.442479</v>
      </c>
      <c r="P288" s="4">
        <v>0</v>
      </c>
      <c r="Q288" s="4">
        <v>0</v>
      </c>
      <c r="R288" s="4">
        <v>0</v>
      </c>
      <c r="S288" s="4">
        <v>0</v>
      </c>
      <c r="T288" s="4">
        <v>0</v>
      </c>
      <c r="U288" s="4">
        <v>0</v>
      </c>
      <c r="V288" s="4">
        <v>0</v>
      </c>
      <c r="W288" s="4">
        <v>0</v>
      </c>
      <c r="X288" s="4">
        <v>23.33628319</v>
      </c>
      <c r="Y288" s="4">
        <v>0</v>
      </c>
      <c r="Z288" s="4"/>
      <c r="AA288" s="4"/>
      <c r="AB288" s="4"/>
      <c r="AC288" s="4"/>
      <c r="AD288" s="4"/>
      <c r="AE288" s="4"/>
      <c r="AF288" s="4">
        <v>4.5</v>
      </c>
      <c r="AG288" s="4">
        <v>0</v>
      </c>
      <c r="AH288" s="4">
        <v>6</v>
      </c>
      <c r="AI288" s="4">
        <v>0</v>
      </c>
      <c r="AJ288" s="3" t="s">
        <v>1036</v>
      </c>
      <c r="AK288" s="4">
        <v>0</v>
      </c>
      <c r="AL288" s="4">
        <v>0</v>
      </c>
      <c r="AM288" s="6"/>
      <c r="AN288" s="6"/>
      <c r="AO288" s="3" t="s">
        <v>1034</v>
      </c>
      <c r="AP288" s="3" t="s">
        <v>937</v>
      </c>
      <c r="AQ288" s="4"/>
      <c r="AR288" s="4"/>
      <c r="AS288" s="2"/>
    </row>
    <row r="289" ht="16.5" hidden="1" spans="1:45">
      <c r="A289" s="3" t="s">
        <v>1092</v>
      </c>
      <c r="B289" s="3" t="s">
        <v>1030</v>
      </c>
      <c r="C289" s="3" t="s">
        <v>935</v>
      </c>
      <c r="D289" s="3" t="s">
        <v>1042</v>
      </c>
      <c r="E289" s="3" t="s">
        <v>1032</v>
      </c>
      <c r="F289" s="4">
        <v>0</v>
      </c>
      <c r="G289" s="4">
        <v>0</v>
      </c>
      <c r="H289" s="4">
        <v>0</v>
      </c>
      <c r="I289" s="4">
        <v>0</v>
      </c>
      <c r="J289" s="4">
        <v>0</v>
      </c>
      <c r="K289" s="4">
        <v>0</v>
      </c>
      <c r="L289" s="4">
        <v>150</v>
      </c>
      <c r="M289" s="5">
        <v>150</v>
      </c>
      <c r="N289" s="4">
        <v>0</v>
      </c>
      <c r="O289" s="4">
        <v>3799.115045</v>
      </c>
      <c r="P289" s="4">
        <v>0</v>
      </c>
      <c r="Q289" s="4">
        <v>0</v>
      </c>
      <c r="R289" s="4">
        <v>0</v>
      </c>
      <c r="S289" s="4">
        <v>0</v>
      </c>
      <c r="T289" s="4">
        <v>0</v>
      </c>
      <c r="U289" s="4">
        <v>0</v>
      </c>
      <c r="V289" s="4">
        <v>0</v>
      </c>
      <c r="W289" s="4">
        <v>0</v>
      </c>
      <c r="X289" s="4">
        <v>25.32743363</v>
      </c>
      <c r="Y289" s="4">
        <v>0</v>
      </c>
      <c r="Z289" s="4"/>
      <c r="AA289" s="4"/>
      <c r="AB289" s="4"/>
      <c r="AC289" s="4"/>
      <c r="AD289" s="4"/>
      <c r="AE289" s="4"/>
      <c r="AF289" s="4">
        <v>4.5</v>
      </c>
      <c r="AG289" s="4">
        <v>0</v>
      </c>
      <c r="AH289" s="4">
        <v>6</v>
      </c>
      <c r="AI289" s="4">
        <v>0</v>
      </c>
      <c r="AJ289" s="3" t="s">
        <v>1036</v>
      </c>
      <c r="AK289" s="4">
        <v>0</v>
      </c>
      <c r="AL289" s="4">
        <v>0</v>
      </c>
      <c r="AM289" s="6"/>
      <c r="AN289" s="6"/>
      <c r="AO289" s="3" t="s">
        <v>1034</v>
      </c>
      <c r="AP289" s="3" t="s">
        <v>937</v>
      </c>
      <c r="AQ289" s="4"/>
      <c r="AR289" s="4"/>
      <c r="AS289" s="2"/>
    </row>
    <row r="290" ht="16.5" hidden="1" spans="1:45">
      <c r="A290" s="3" t="s">
        <v>1093</v>
      </c>
      <c r="B290" s="3" t="s">
        <v>1030</v>
      </c>
      <c r="C290" s="3" t="s">
        <v>935</v>
      </c>
      <c r="D290" s="3" t="s">
        <v>1042</v>
      </c>
      <c r="E290" s="3" t="s">
        <v>1032</v>
      </c>
      <c r="F290" s="4">
        <v>0</v>
      </c>
      <c r="G290" s="4">
        <v>0</v>
      </c>
      <c r="H290" s="4">
        <v>0</v>
      </c>
      <c r="I290" s="4">
        <v>0</v>
      </c>
      <c r="J290" s="4">
        <v>0</v>
      </c>
      <c r="K290" s="4">
        <v>0</v>
      </c>
      <c r="L290" s="4">
        <v>200</v>
      </c>
      <c r="M290" s="5">
        <v>200</v>
      </c>
      <c r="N290" s="4">
        <v>0</v>
      </c>
      <c r="O290" s="4">
        <v>3814.159292</v>
      </c>
      <c r="P290" s="4">
        <v>0</v>
      </c>
      <c r="Q290" s="4">
        <v>0</v>
      </c>
      <c r="R290" s="4">
        <v>0</v>
      </c>
      <c r="S290" s="4">
        <v>0</v>
      </c>
      <c r="T290" s="4">
        <v>0</v>
      </c>
      <c r="U290" s="4">
        <v>0</v>
      </c>
      <c r="V290" s="4">
        <v>0</v>
      </c>
      <c r="W290" s="4">
        <v>0</v>
      </c>
      <c r="X290" s="4">
        <v>19.07079646</v>
      </c>
      <c r="Y290" s="4">
        <v>0</v>
      </c>
      <c r="Z290" s="4"/>
      <c r="AA290" s="4"/>
      <c r="AB290" s="4"/>
      <c r="AC290" s="4"/>
      <c r="AD290" s="4"/>
      <c r="AE290" s="4"/>
      <c r="AF290" s="4">
        <v>4.5</v>
      </c>
      <c r="AG290" s="4">
        <v>0</v>
      </c>
      <c r="AH290" s="4">
        <v>6</v>
      </c>
      <c r="AI290" s="4">
        <v>0</v>
      </c>
      <c r="AJ290" s="3" t="s">
        <v>1036</v>
      </c>
      <c r="AK290" s="4">
        <v>0</v>
      </c>
      <c r="AL290" s="4">
        <v>0</v>
      </c>
      <c r="AM290" s="6"/>
      <c r="AN290" s="6"/>
      <c r="AO290" s="3" t="s">
        <v>1034</v>
      </c>
      <c r="AP290" s="3" t="s">
        <v>937</v>
      </c>
      <c r="AQ290" s="4"/>
      <c r="AR290" s="4"/>
      <c r="AS290" s="2"/>
    </row>
    <row r="291" ht="16.5" hidden="1" spans="1:45">
      <c r="A291" s="3" t="s">
        <v>1094</v>
      </c>
      <c r="B291" s="3" t="s">
        <v>1030</v>
      </c>
      <c r="C291" s="3" t="s">
        <v>935</v>
      </c>
      <c r="D291" s="3" t="s">
        <v>1042</v>
      </c>
      <c r="E291" s="3" t="s">
        <v>1032</v>
      </c>
      <c r="F291" s="4">
        <v>0</v>
      </c>
      <c r="G291" s="4">
        <v>0</v>
      </c>
      <c r="H291" s="4">
        <v>0</v>
      </c>
      <c r="I291" s="4">
        <v>0</v>
      </c>
      <c r="J291" s="4">
        <v>0</v>
      </c>
      <c r="K291" s="4">
        <v>0</v>
      </c>
      <c r="L291" s="4">
        <v>220</v>
      </c>
      <c r="M291" s="5">
        <v>220</v>
      </c>
      <c r="N291" s="4">
        <v>0</v>
      </c>
      <c r="O291" s="4">
        <v>3775.044249</v>
      </c>
      <c r="P291" s="4">
        <v>0</v>
      </c>
      <c r="Q291" s="4">
        <v>0</v>
      </c>
      <c r="R291" s="4">
        <v>0</v>
      </c>
      <c r="S291" s="4">
        <v>0</v>
      </c>
      <c r="T291" s="4">
        <v>0</v>
      </c>
      <c r="U291" s="4">
        <v>0</v>
      </c>
      <c r="V291" s="4">
        <v>0</v>
      </c>
      <c r="W291" s="4">
        <v>0</v>
      </c>
      <c r="X291" s="4">
        <v>17.15929204</v>
      </c>
      <c r="Y291" s="4">
        <v>0</v>
      </c>
      <c r="Z291" s="4"/>
      <c r="AA291" s="4"/>
      <c r="AB291" s="4"/>
      <c r="AC291" s="4"/>
      <c r="AD291" s="4"/>
      <c r="AE291" s="4"/>
      <c r="AF291" s="4">
        <v>4.5</v>
      </c>
      <c r="AG291" s="4">
        <v>0</v>
      </c>
      <c r="AH291" s="4">
        <v>6</v>
      </c>
      <c r="AI291" s="4">
        <v>0</v>
      </c>
      <c r="AJ291" s="3" t="s">
        <v>1036</v>
      </c>
      <c r="AK291" s="4">
        <v>0</v>
      </c>
      <c r="AL291" s="4">
        <v>0</v>
      </c>
      <c r="AM291" s="6"/>
      <c r="AN291" s="6"/>
      <c r="AO291" s="3" t="s">
        <v>1034</v>
      </c>
      <c r="AP291" s="3" t="s">
        <v>937</v>
      </c>
      <c r="AQ291" s="4"/>
      <c r="AR291" s="4"/>
      <c r="AS291" s="2"/>
    </row>
    <row r="292" ht="16.5" hidden="1" spans="1:45">
      <c r="A292" s="3" t="s">
        <v>1095</v>
      </c>
      <c r="B292" s="3" t="s">
        <v>1030</v>
      </c>
      <c r="C292" s="3" t="s">
        <v>935</v>
      </c>
      <c r="D292" s="3" t="s">
        <v>1042</v>
      </c>
      <c r="E292" s="3" t="s">
        <v>1032</v>
      </c>
      <c r="F292" s="4">
        <v>0</v>
      </c>
      <c r="G292" s="4">
        <v>0</v>
      </c>
      <c r="H292" s="4">
        <v>0</v>
      </c>
      <c r="I292" s="4">
        <v>0</v>
      </c>
      <c r="J292" s="4">
        <v>0</v>
      </c>
      <c r="K292" s="4">
        <v>0</v>
      </c>
      <c r="L292" s="4">
        <v>150</v>
      </c>
      <c r="M292" s="5">
        <v>150</v>
      </c>
      <c r="N292" s="4">
        <v>0</v>
      </c>
      <c r="O292" s="4">
        <v>4535.840708</v>
      </c>
      <c r="P292" s="4">
        <v>0</v>
      </c>
      <c r="Q292" s="4">
        <v>0</v>
      </c>
      <c r="R292" s="4">
        <v>0</v>
      </c>
      <c r="S292" s="4">
        <v>0</v>
      </c>
      <c r="T292" s="4">
        <v>0</v>
      </c>
      <c r="U292" s="4">
        <v>0</v>
      </c>
      <c r="V292" s="4">
        <v>0</v>
      </c>
      <c r="W292" s="4">
        <v>0</v>
      </c>
      <c r="X292" s="4">
        <v>30.23893805</v>
      </c>
      <c r="Y292" s="4">
        <v>0</v>
      </c>
      <c r="Z292" s="4"/>
      <c r="AA292" s="4"/>
      <c r="AB292" s="4"/>
      <c r="AC292" s="4"/>
      <c r="AD292" s="4"/>
      <c r="AE292" s="4"/>
      <c r="AF292" s="4">
        <v>4.5</v>
      </c>
      <c r="AG292" s="4">
        <v>0</v>
      </c>
      <c r="AH292" s="4">
        <v>6</v>
      </c>
      <c r="AI292" s="4">
        <v>0</v>
      </c>
      <c r="AJ292" s="3" t="s">
        <v>1036</v>
      </c>
      <c r="AK292" s="4">
        <v>0</v>
      </c>
      <c r="AL292" s="4">
        <v>0</v>
      </c>
      <c r="AM292" s="6"/>
      <c r="AN292" s="6"/>
      <c r="AO292" s="3" t="s">
        <v>1034</v>
      </c>
      <c r="AP292" s="3" t="s">
        <v>937</v>
      </c>
      <c r="AQ292" s="4"/>
      <c r="AR292" s="4"/>
      <c r="AS292" s="2"/>
    </row>
    <row r="293" ht="16.5" hidden="1" spans="1:45">
      <c r="A293" s="3" t="s">
        <v>1096</v>
      </c>
      <c r="B293" s="3" t="s">
        <v>1030</v>
      </c>
      <c r="C293" s="3" t="s">
        <v>935</v>
      </c>
      <c r="D293" s="3" t="s">
        <v>1042</v>
      </c>
      <c r="E293" s="3" t="s">
        <v>1032</v>
      </c>
      <c r="F293" s="4">
        <v>0</v>
      </c>
      <c r="G293" s="4">
        <v>0</v>
      </c>
      <c r="H293" s="4">
        <v>0</v>
      </c>
      <c r="I293" s="4">
        <v>0</v>
      </c>
      <c r="J293" s="4">
        <v>0</v>
      </c>
      <c r="K293" s="4">
        <v>0</v>
      </c>
      <c r="L293" s="4">
        <v>150</v>
      </c>
      <c r="M293" s="5">
        <v>150</v>
      </c>
      <c r="N293" s="4">
        <v>0</v>
      </c>
      <c r="O293" s="4">
        <v>2516.814159</v>
      </c>
      <c r="P293" s="4">
        <v>0</v>
      </c>
      <c r="Q293" s="4">
        <v>0</v>
      </c>
      <c r="R293" s="4">
        <v>0</v>
      </c>
      <c r="S293" s="4">
        <v>0</v>
      </c>
      <c r="T293" s="4">
        <v>0</v>
      </c>
      <c r="U293" s="4">
        <v>0</v>
      </c>
      <c r="V293" s="4">
        <v>0</v>
      </c>
      <c r="W293" s="4">
        <v>0</v>
      </c>
      <c r="X293" s="4">
        <v>16.77876106</v>
      </c>
      <c r="Y293" s="4">
        <v>0</v>
      </c>
      <c r="Z293" s="4"/>
      <c r="AA293" s="4"/>
      <c r="AB293" s="4"/>
      <c r="AC293" s="4"/>
      <c r="AD293" s="4"/>
      <c r="AE293" s="4"/>
      <c r="AF293" s="4">
        <v>4.5</v>
      </c>
      <c r="AG293" s="4">
        <v>0</v>
      </c>
      <c r="AH293" s="4">
        <v>6</v>
      </c>
      <c r="AI293" s="4">
        <v>0</v>
      </c>
      <c r="AJ293" s="3" t="s">
        <v>1036</v>
      </c>
      <c r="AK293" s="4">
        <v>0</v>
      </c>
      <c r="AL293" s="4">
        <v>0</v>
      </c>
      <c r="AM293" s="6"/>
      <c r="AN293" s="6"/>
      <c r="AO293" s="3" t="s">
        <v>1034</v>
      </c>
      <c r="AP293" s="3" t="s">
        <v>937</v>
      </c>
      <c r="AQ293" s="4"/>
      <c r="AR293" s="4"/>
      <c r="AS293" s="2"/>
    </row>
    <row r="294" ht="16.5" hidden="1" spans="1:45">
      <c r="A294" s="3" t="s">
        <v>1097</v>
      </c>
      <c r="B294" s="3" t="s">
        <v>1030</v>
      </c>
      <c r="C294" s="3" t="s">
        <v>935</v>
      </c>
      <c r="D294" s="3" t="s">
        <v>1042</v>
      </c>
      <c r="E294" s="3" t="s">
        <v>1032</v>
      </c>
      <c r="F294" s="4">
        <v>0</v>
      </c>
      <c r="G294" s="4">
        <v>0</v>
      </c>
      <c r="H294" s="4">
        <v>0</v>
      </c>
      <c r="I294" s="4">
        <v>0</v>
      </c>
      <c r="J294" s="4">
        <v>0</v>
      </c>
      <c r="K294" s="4">
        <v>0</v>
      </c>
      <c r="L294" s="4">
        <v>150</v>
      </c>
      <c r="M294" s="5">
        <v>150</v>
      </c>
      <c r="N294" s="4">
        <v>0</v>
      </c>
      <c r="O294" s="4">
        <v>3091.592921</v>
      </c>
      <c r="P294" s="4">
        <v>0</v>
      </c>
      <c r="Q294" s="4">
        <v>0</v>
      </c>
      <c r="R294" s="4">
        <v>0</v>
      </c>
      <c r="S294" s="4">
        <v>0</v>
      </c>
      <c r="T294" s="4">
        <v>0</v>
      </c>
      <c r="U294" s="4">
        <v>0</v>
      </c>
      <c r="V294" s="4">
        <v>0</v>
      </c>
      <c r="W294" s="4">
        <v>0</v>
      </c>
      <c r="X294" s="4">
        <v>20.61061947</v>
      </c>
      <c r="Y294" s="4">
        <v>0</v>
      </c>
      <c r="Z294" s="4"/>
      <c r="AA294" s="4"/>
      <c r="AB294" s="4"/>
      <c r="AC294" s="4"/>
      <c r="AD294" s="4"/>
      <c r="AE294" s="4"/>
      <c r="AF294" s="4">
        <v>4.5</v>
      </c>
      <c r="AG294" s="4">
        <v>0</v>
      </c>
      <c r="AH294" s="4">
        <v>6</v>
      </c>
      <c r="AI294" s="4">
        <v>0</v>
      </c>
      <c r="AJ294" s="3" t="s">
        <v>1036</v>
      </c>
      <c r="AK294" s="4">
        <v>0</v>
      </c>
      <c r="AL294" s="4">
        <v>0</v>
      </c>
      <c r="AM294" s="6"/>
      <c r="AN294" s="6"/>
      <c r="AO294" s="3" t="s">
        <v>1034</v>
      </c>
      <c r="AP294" s="3" t="s">
        <v>937</v>
      </c>
      <c r="AQ294" s="4"/>
      <c r="AR294" s="4"/>
      <c r="AS294" s="2"/>
    </row>
    <row r="295" ht="16.5" hidden="1" spans="1:45">
      <c r="A295" s="3" t="s">
        <v>1098</v>
      </c>
      <c r="B295" s="3" t="s">
        <v>1030</v>
      </c>
      <c r="C295" s="3" t="s">
        <v>935</v>
      </c>
      <c r="D295" s="3" t="s">
        <v>1042</v>
      </c>
      <c r="E295" s="3" t="s">
        <v>1032</v>
      </c>
      <c r="F295" s="4">
        <v>0</v>
      </c>
      <c r="G295" s="4">
        <v>0</v>
      </c>
      <c r="H295" s="4">
        <v>0</v>
      </c>
      <c r="I295" s="4">
        <v>0</v>
      </c>
      <c r="J295" s="4">
        <v>0</v>
      </c>
      <c r="K295" s="4">
        <v>0</v>
      </c>
      <c r="L295" s="4">
        <v>150</v>
      </c>
      <c r="M295" s="5">
        <v>150</v>
      </c>
      <c r="N295" s="4">
        <v>0</v>
      </c>
      <c r="O295" s="4">
        <v>3424.778762</v>
      </c>
      <c r="P295" s="4">
        <v>0</v>
      </c>
      <c r="Q295" s="4">
        <v>0</v>
      </c>
      <c r="R295" s="4">
        <v>0</v>
      </c>
      <c r="S295" s="4">
        <v>0</v>
      </c>
      <c r="T295" s="4">
        <v>0</v>
      </c>
      <c r="U295" s="4">
        <v>0</v>
      </c>
      <c r="V295" s="4">
        <v>0</v>
      </c>
      <c r="W295" s="4">
        <v>0</v>
      </c>
      <c r="X295" s="4">
        <v>22.83185841</v>
      </c>
      <c r="Y295" s="4">
        <v>0</v>
      </c>
      <c r="Z295" s="4"/>
      <c r="AA295" s="4"/>
      <c r="AB295" s="4"/>
      <c r="AC295" s="4"/>
      <c r="AD295" s="4"/>
      <c r="AE295" s="4"/>
      <c r="AF295" s="4">
        <v>4.5</v>
      </c>
      <c r="AG295" s="4">
        <v>0</v>
      </c>
      <c r="AH295" s="4">
        <v>6</v>
      </c>
      <c r="AI295" s="4">
        <v>0</v>
      </c>
      <c r="AJ295" s="3" t="s">
        <v>1036</v>
      </c>
      <c r="AK295" s="4">
        <v>0</v>
      </c>
      <c r="AL295" s="4">
        <v>0</v>
      </c>
      <c r="AM295" s="6"/>
      <c r="AN295" s="6"/>
      <c r="AO295" s="3" t="s">
        <v>1034</v>
      </c>
      <c r="AP295" s="3" t="s">
        <v>937</v>
      </c>
      <c r="AQ295" s="4"/>
      <c r="AR295" s="4"/>
      <c r="AS295" s="2"/>
    </row>
    <row r="296" ht="16.5" hidden="1" spans="1:45">
      <c r="A296" s="3" t="s">
        <v>1099</v>
      </c>
      <c r="B296" s="3" t="s">
        <v>1030</v>
      </c>
      <c r="C296" s="3" t="s">
        <v>935</v>
      </c>
      <c r="D296" s="3" t="s">
        <v>1042</v>
      </c>
      <c r="E296" s="3" t="s">
        <v>1032</v>
      </c>
      <c r="F296" s="4">
        <v>0</v>
      </c>
      <c r="G296" s="4">
        <v>0</v>
      </c>
      <c r="H296" s="4">
        <v>0</v>
      </c>
      <c r="I296" s="4">
        <v>0</v>
      </c>
      <c r="J296" s="4">
        <v>0</v>
      </c>
      <c r="K296" s="4">
        <v>0</v>
      </c>
      <c r="L296" s="4">
        <v>150</v>
      </c>
      <c r="M296" s="5">
        <v>150</v>
      </c>
      <c r="N296" s="4">
        <v>0</v>
      </c>
      <c r="O296" s="4">
        <v>3253.539824</v>
      </c>
      <c r="P296" s="4">
        <v>0</v>
      </c>
      <c r="Q296" s="4">
        <v>0</v>
      </c>
      <c r="R296" s="4">
        <v>0</v>
      </c>
      <c r="S296" s="4">
        <v>0</v>
      </c>
      <c r="T296" s="4">
        <v>0</v>
      </c>
      <c r="U296" s="4">
        <v>0</v>
      </c>
      <c r="V296" s="4">
        <v>0</v>
      </c>
      <c r="W296" s="4">
        <v>0</v>
      </c>
      <c r="X296" s="4">
        <v>21.69026549</v>
      </c>
      <c r="Y296" s="4">
        <v>0</v>
      </c>
      <c r="Z296" s="4"/>
      <c r="AA296" s="4"/>
      <c r="AB296" s="4"/>
      <c r="AC296" s="4"/>
      <c r="AD296" s="4"/>
      <c r="AE296" s="4"/>
      <c r="AF296" s="4">
        <v>4.5</v>
      </c>
      <c r="AG296" s="4">
        <v>0</v>
      </c>
      <c r="AH296" s="4">
        <v>6</v>
      </c>
      <c r="AI296" s="4">
        <v>0</v>
      </c>
      <c r="AJ296" s="3" t="s">
        <v>1036</v>
      </c>
      <c r="AK296" s="4">
        <v>0</v>
      </c>
      <c r="AL296" s="4">
        <v>0</v>
      </c>
      <c r="AM296" s="6"/>
      <c r="AN296" s="6"/>
      <c r="AO296" s="3" t="s">
        <v>1034</v>
      </c>
      <c r="AP296" s="3" t="s">
        <v>937</v>
      </c>
      <c r="AQ296" s="4"/>
      <c r="AR296" s="4"/>
      <c r="AS296" s="2"/>
    </row>
    <row r="297" ht="16.5" hidden="1" spans="1:45">
      <c r="A297" s="3" t="s">
        <v>1100</v>
      </c>
      <c r="B297" s="3" t="s">
        <v>1030</v>
      </c>
      <c r="C297" s="3" t="s">
        <v>935</v>
      </c>
      <c r="D297" s="3" t="s">
        <v>1042</v>
      </c>
      <c r="E297" s="3" t="s">
        <v>1032</v>
      </c>
      <c r="F297" s="4">
        <v>0</v>
      </c>
      <c r="G297" s="4">
        <v>0</v>
      </c>
      <c r="H297" s="4">
        <v>0</v>
      </c>
      <c r="I297" s="4">
        <v>0</v>
      </c>
      <c r="J297" s="4">
        <v>0</v>
      </c>
      <c r="K297" s="4">
        <v>0</v>
      </c>
      <c r="L297" s="4">
        <v>150</v>
      </c>
      <c r="M297" s="5">
        <v>150</v>
      </c>
      <c r="N297" s="4">
        <v>0</v>
      </c>
      <c r="O297" s="4">
        <v>2851.327434</v>
      </c>
      <c r="P297" s="4">
        <v>0</v>
      </c>
      <c r="Q297" s="4">
        <v>0</v>
      </c>
      <c r="R297" s="4">
        <v>0</v>
      </c>
      <c r="S297" s="4">
        <v>0</v>
      </c>
      <c r="T297" s="4">
        <v>0</v>
      </c>
      <c r="U297" s="4">
        <v>0</v>
      </c>
      <c r="V297" s="4">
        <v>0</v>
      </c>
      <c r="W297" s="4">
        <v>0</v>
      </c>
      <c r="X297" s="4">
        <v>19.00884956</v>
      </c>
      <c r="Y297" s="4">
        <v>0</v>
      </c>
      <c r="Z297" s="4"/>
      <c r="AA297" s="4"/>
      <c r="AB297" s="4"/>
      <c r="AC297" s="4"/>
      <c r="AD297" s="4"/>
      <c r="AE297" s="4"/>
      <c r="AF297" s="4">
        <v>4.5</v>
      </c>
      <c r="AG297" s="4">
        <v>0</v>
      </c>
      <c r="AH297" s="4">
        <v>6</v>
      </c>
      <c r="AI297" s="4">
        <v>0</v>
      </c>
      <c r="AJ297" s="3" t="s">
        <v>1036</v>
      </c>
      <c r="AK297" s="4">
        <v>0</v>
      </c>
      <c r="AL297" s="4">
        <v>0</v>
      </c>
      <c r="AM297" s="6"/>
      <c r="AN297" s="6"/>
      <c r="AO297" s="3" t="s">
        <v>1034</v>
      </c>
      <c r="AP297" s="3" t="s">
        <v>937</v>
      </c>
      <c r="AQ297" s="4"/>
      <c r="AR297" s="4"/>
      <c r="AS297" s="2"/>
    </row>
    <row r="298" ht="16.5" hidden="1" spans="1:45">
      <c r="A298" s="3" t="s">
        <v>1101</v>
      </c>
      <c r="B298" s="3" t="s">
        <v>1030</v>
      </c>
      <c r="C298" s="3" t="s">
        <v>935</v>
      </c>
      <c r="D298" s="3" t="s">
        <v>1042</v>
      </c>
      <c r="E298" s="3" t="s">
        <v>1032</v>
      </c>
      <c r="F298" s="4">
        <v>0</v>
      </c>
      <c r="G298" s="4">
        <v>0</v>
      </c>
      <c r="H298" s="4">
        <v>0</v>
      </c>
      <c r="I298" s="4">
        <v>0</v>
      </c>
      <c r="J298" s="4">
        <v>0</v>
      </c>
      <c r="K298" s="4">
        <v>0</v>
      </c>
      <c r="L298" s="4">
        <v>150</v>
      </c>
      <c r="M298" s="5">
        <v>150</v>
      </c>
      <c r="N298" s="4">
        <v>0</v>
      </c>
      <c r="O298" s="4">
        <v>3228.318584</v>
      </c>
      <c r="P298" s="4">
        <v>0</v>
      </c>
      <c r="Q298" s="4">
        <v>0</v>
      </c>
      <c r="R298" s="4">
        <v>0</v>
      </c>
      <c r="S298" s="4">
        <v>0</v>
      </c>
      <c r="T298" s="4">
        <v>0</v>
      </c>
      <c r="U298" s="4">
        <v>0</v>
      </c>
      <c r="V298" s="4">
        <v>0</v>
      </c>
      <c r="W298" s="4">
        <v>0</v>
      </c>
      <c r="X298" s="4">
        <v>21.52212389</v>
      </c>
      <c r="Y298" s="4">
        <v>0</v>
      </c>
      <c r="Z298" s="4"/>
      <c r="AA298" s="4"/>
      <c r="AB298" s="4"/>
      <c r="AC298" s="4"/>
      <c r="AD298" s="4"/>
      <c r="AE298" s="4"/>
      <c r="AF298" s="4">
        <v>4.5</v>
      </c>
      <c r="AG298" s="4">
        <v>0</v>
      </c>
      <c r="AH298" s="4">
        <v>6</v>
      </c>
      <c r="AI298" s="4">
        <v>0</v>
      </c>
      <c r="AJ298" s="3" t="s">
        <v>1036</v>
      </c>
      <c r="AK298" s="4">
        <v>0</v>
      </c>
      <c r="AL298" s="4">
        <v>0</v>
      </c>
      <c r="AM298" s="6"/>
      <c r="AN298" s="6"/>
      <c r="AO298" s="3" t="s">
        <v>1034</v>
      </c>
      <c r="AP298" s="3" t="s">
        <v>937</v>
      </c>
      <c r="AQ298" s="4"/>
      <c r="AR298" s="4"/>
      <c r="AS298" s="2"/>
    </row>
    <row r="299" ht="16.5" hidden="1" spans="1:45">
      <c r="A299" s="3" t="s">
        <v>1102</v>
      </c>
      <c r="B299" s="3" t="s">
        <v>1030</v>
      </c>
      <c r="C299" s="3" t="s">
        <v>935</v>
      </c>
      <c r="D299" s="3" t="s">
        <v>1042</v>
      </c>
      <c r="E299" s="3" t="s">
        <v>1032</v>
      </c>
      <c r="F299" s="4">
        <v>0</v>
      </c>
      <c r="G299" s="4">
        <v>0</v>
      </c>
      <c r="H299" s="4">
        <v>0</v>
      </c>
      <c r="I299" s="4">
        <v>0</v>
      </c>
      <c r="J299" s="4">
        <v>0</v>
      </c>
      <c r="K299" s="4">
        <v>0</v>
      </c>
      <c r="L299" s="4">
        <v>200</v>
      </c>
      <c r="M299" s="5">
        <v>200</v>
      </c>
      <c r="N299" s="4">
        <v>0</v>
      </c>
      <c r="O299" s="4">
        <v>3973.451328</v>
      </c>
      <c r="P299" s="4">
        <v>0</v>
      </c>
      <c r="Q299" s="4">
        <v>0</v>
      </c>
      <c r="R299" s="4">
        <v>0</v>
      </c>
      <c r="S299" s="4">
        <v>0</v>
      </c>
      <c r="T299" s="4">
        <v>0</v>
      </c>
      <c r="U299" s="4">
        <v>0</v>
      </c>
      <c r="V299" s="4">
        <v>0</v>
      </c>
      <c r="W299" s="4">
        <v>0</v>
      </c>
      <c r="X299" s="4">
        <v>19.86725664</v>
      </c>
      <c r="Y299" s="4">
        <v>0</v>
      </c>
      <c r="Z299" s="4"/>
      <c r="AA299" s="4"/>
      <c r="AB299" s="4"/>
      <c r="AC299" s="4"/>
      <c r="AD299" s="4"/>
      <c r="AE299" s="4"/>
      <c r="AF299" s="4">
        <v>4.5</v>
      </c>
      <c r="AG299" s="4">
        <v>0</v>
      </c>
      <c r="AH299" s="4">
        <v>6</v>
      </c>
      <c r="AI299" s="4">
        <v>0</v>
      </c>
      <c r="AJ299" s="3" t="s">
        <v>1036</v>
      </c>
      <c r="AK299" s="4">
        <v>0</v>
      </c>
      <c r="AL299" s="4">
        <v>0</v>
      </c>
      <c r="AM299" s="6"/>
      <c r="AN299" s="6"/>
      <c r="AO299" s="3" t="s">
        <v>1034</v>
      </c>
      <c r="AP299" s="3" t="s">
        <v>937</v>
      </c>
      <c r="AQ299" s="4"/>
      <c r="AR299" s="4"/>
      <c r="AS299" s="2"/>
    </row>
    <row r="300" ht="16.5" hidden="1" spans="1:45">
      <c r="A300" s="3" t="s">
        <v>1103</v>
      </c>
      <c r="B300" s="3" t="s">
        <v>1030</v>
      </c>
      <c r="C300" s="3" t="s">
        <v>935</v>
      </c>
      <c r="D300" s="3" t="s">
        <v>1042</v>
      </c>
      <c r="E300" s="3" t="s">
        <v>1032</v>
      </c>
      <c r="F300" s="4">
        <v>0</v>
      </c>
      <c r="G300" s="4">
        <v>0</v>
      </c>
      <c r="H300" s="4">
        <v>0</v>
      </c>
      <c r="I300" s="4">
        <v>0</v>
      </c>
      <c r="J300" s="4">
        <v>0</v>
      </c>
      <c r="K300" s="4">
        <v>0</v>
      </c>
      <c r="L300" s="4">
        <v>150</v>
      </c>
      <c r="M300" s="5">
        <v>150</v>
      </c>
      <c r="N300" s="4">
        <v>0</v>
      </c>
      <c r="O300" s="4">
        <v>3045.132744</v>
      </c>
      <c r="P300" s="4">
        <v>0</v>
      </c>
      <c r="Q300" s="4">
        <v>0</v>
      </c>
      <c r="R300" s="4">
        <v>0</v>
      </c>
      <c r="S300" s="4">
        <v>0</v>
      </c>
      <c r="T300" s="4">
        <v>0</v>
      </c>
      <c r="U300" s="4">
        <v>0</v>
      </c>
      <c r="V300" s="4">
        <v>0</v>
      </c>
      <c r="W300" s="4">
        <v>0</v>
      </c>
      <c r="X300" s="4">
        <v>20.30088496</v>
      </c>
      <c r="Y300" s="4">
        <v>0</v>
      </c>
      <c r="Z300" s="4"/>
      <c r="AA300" s="4"/>
      <c r="AB300" s="4"/>
      <c r="AC300" s="4"/>
      <c r="AD300" s="4"/>
      <c r="AE300" s="4"/>
      <c r="AF300" s="4">
        <v>4.5</v>
      </c>
      <c r="AG300" s="4">
        <v>0</v>
      </c>
      <c r="AH300" s="4">
        <v>6</v>
      </c>
      <c r="AI300" s="4">
        <v>0</v>
      </c>
      <c r="AJ300" s="3" t="s">
        <v>1036</v>
      </c>
      <c r="AK300" s="4">
        <v>0</v>
      </c>
      <c r="AL300" s="4">
        <v>0</v>
      </c>
      <c r="AM300" s="6"/>
      <c r="AN300" s="6"/>
      <c r="AO300" s="3" t="s">
        <v>1034</v>
      </c>
      <c r="AP300" s="3" t="s">
        <v>937</v>
      </c>
      <c r="AQ300" s="4"/>
      <c r="AR300" s="4"/>
      <c r="AS300" s="2"/>
    </row>
    <row r="301" ht="16.5" hidden="1" spans="1:45">
      <c r="A301" s="3" t="s">
        <v>1104</v>
      </c>
      <c r="B301" s="3" t="s">
        <v>1030</v>
      </c>
      <c r="C301" s="3" t="s">
        <v>935</v>
      </c>
      <c r="D301" s="3" t="s">
        <v>1042</v>
      </c>
      <c r="E301" s="3" t="s">
        <v>1032</v>
      </c>
      <c r="F301" s="4">
        <v>0</v>
      </c>
      <c r="G301" s="4">
        <v>0</v>
      </c>
      <c r="H301" s="4">
        <v>0</v>
      </c>
      <c r="I301" s="4">
        <v>0</v>
      </c>
      <c r="J301" s="4">
        <v>0</v>
      </c>
      <c r="K301" s="4">
        <v>0</v>
      </c>
      <c r="L301" s="4">
        <v>180</v>
      </c>
      <c r="M301" s="5">
        <v>180</v>
      </c>
      <c r="N301" s="4">
        <v>0</v>
      </c>
      <c r="O301" s="4">
        <v>4095.39823</v>
      </c>
      <c r="P301" s="4">
        <v>0</v>
      </c>
      <c r="Q301" s="4">
        <v>0</v>
      </c>
      <c r="R301" s="4">
        <v>0</v>
      </c>
      <c r="S301" s="4">
        <v>0</v>
      </c>
      <c r="T301" s="4">
        <v>0</v>
      </c>
      <c r="U301" s="4">
        <v>0</v>
      </c>
      <c r="V301" s="4">
        <v>0</v>
      </c>
      <c r="W301" s="4">
        <v>0</v>
      </c>
      <c r="X301" s="4">
        <v>22.75221239</v>
      </c>
      <c r="Y301" s="4">
        <v>0</v>
      </c>
      <c r="Z301" s="4"/>
      <c r="AA301" s="4"/>
      <c r="AB301" s="4"/>
      <c r="AC301" s="4"/>
      <c r="AD301" s="4"/>
      <c r="AE301" s="4"/>
      <c r="AF301" s="4">
        <v>4.5</v>
      </c>
      <c r="AG301" s="4">
        <v>0</v>
      </c>
      <c r="AH301" s="4">
        <v>6</v>
      </c>
      <c r="AI301" s="4">
        <v>0</v>
      </c>
      <c r="AJ301" s="3" t="s">
        <v>1036</v>
      </c>
      <c r="AK301" s="4">
        <v>0</v>
      </c>
      <c r="AL301" s="4">
        <v>0</v>
      </c>
      <c r="AM301" s="6"/>
      <c r="AN301" s="6"/>
      <c r="AO301" s="3" t="s">
        <v>1034</v>
      </c>
      <c r="AP301" s="3" t="s">
        <v>937</v>
      </c>
      <c r="AQ301" s="4"/>
      <c r="AR301" s="4"/>
      <c r="AS301" s="2"/>
    </row>
    <row r="302" ht="16.5" hidden="1" spans="1:45">
      <c r="A302" s="3" t="s">
        <v>1105</v>
      </c>
      <c r="B302" s="3" t="s">
        <v>1030</v>
      </c>
      <c r="C302" s="3" t="s">
        <v>935</v>
      </c>
      <c r="D302" s="3" t="s">
        <v>1042</v>
      </c>
      <c r="E302" s="3" t="s">
        <v>1032</v>
      </c>
      <c r="F302" s="4">
        <v>0</v>
      </c>
      <c r="G302" s="4">
        <v>0</v>
      </c>
      <c r="H302" s="4">
        <v>0</v>
      </c>
      <c r="I302" s="4">
        <v>0</v>
      </c>
      <c r="J302" s="4">
        <v>0</v>
      </c>
      <c r="K302" s="4">
        <v>0</v>
      </c>
      <c r="L302" s="4">
        <v>220</v>
      </c>
      <c r="M302" s="5">
        <v>220</v>
      </c>
      <c r="N302" s="4">
        <v>0</v>
      </c>
      <c r="O302" s="4">
        <v>4487.61062</v>
      </c>
      <c r="P302" s="4">
        <v>0</v>
      </c>
      <c r="Q302" s="4">
        <v>0</v>
      </c>
      <c r="R302" s="4">
        <v>0</v>
      </c>
      <c r="S302" s="4">
        <v>0</v>
      </c>
      <c r="T302" s="4">
        <v>0</v>
      </c>
      <c r="U302" s="4">
        <v>0</v>
      </c>
      <c r="V302" s="4">
        <v>0</v>
      </c>
      <c r="W302" s="4">
        <v>0</v>
      </c>
      <c r="X302" s="4">
        <v>20.39823009</v>
      </c>
      <c r="Y302" s="4">
        <v>0</v>
      </c>
      <c r="Z302" s="4"/>
      <c r="AA302" s="4"/>
      <c r="AB302" s="4"/>
      <c r="AC302" s="4"/>
      <c r="AD302" s="4"/>
      <c r="AE302" s="4"/>
      <c r="AF302" s="4">
        <v>4.5</v>
      </c>
      <c r="AG302" s="4">
        <v>0</v>
      </c>
      <c r="AH302" s="4">
        <v>6</v>
      </c>
      <c r="AI302" s="4">
        <v>0</v>
      </c>
      <c r="AJ302" s="3" t="s">
        <v>1036</v>
      </c>
      <c r="AK302" s="4">
        <v>0</v>
      </c>
      <c r="AL302" s="4">
        <v>0</v>
      </c>
      <c r="AM302" s="6"/>
      <c r="AN302" s="6"/>
      <c r="AO302" s="3" t="s">
        <v>1034</v>
      </c>
      <c r="AP302" s="3" t="s">
        <v>937</v>
      </c>
      <c r="AQ302" s="4"/>
      <c r="AR302" s="4"/>
      <c r="AS302" s="2"/>
    </row>
    <row r="303" ht="16.5" hidden="1" spans="1:45">
      <c r="A303" s="3" t="s">
        <v>1106</v>
      </c>
      <c r="B303" s="3" t="s">
        <v>1030</v>
      </c>
      <c r="C303" s="3" t="s">
        <v>935</v>
      </c>
      <c r="D303" s="3" t="s">
        <v>1042</v>
      </c>
      <c r="E303" s="3" t="s">
        <v>1032</v>
      </c>
      <c r="F303" s="4">
        <v>0</v>
      </c>
      <c r="G303" s="4">
        <v>0</v>
      </c>
      <c r="H303" s="4">
        <v>0</v>
      </c>
      <c r="I303" s="4">
        <v>0</v>
      </c>
      <c r="J303" s="4">
        <v>0</v>
      </c>
      <c r="K303" s="4">
        <v>0</v>
      </c>
      <c r="L303" s="4">
        <v>150</v>
      </c>
      <c r="M303" s="5">
        <v>150</v>
      </c>
      <c r="N303" s="4">
        <v>0</v>
      </c>
      <c r="O303" s="4">
        <v>2581.858407</v>
      </c>
      <c r="P303" s="4">
        <v>0</v>
      </c>
      <c r="Q303" s="4">
        <v>0</v>
      </c>
      <c r="R303" s="4">
        <v>0</v>
      </c>
      <c r="S303" s="4">
        <v>0</v>
      </c>
      <c r="T303" s="4">
        <v>0</v>
      </c>
      <c r="U303" s="4">
        <v>0</v>
      </c>
      <c r="V303" s="4">
        <v>0</v>
      </c>
      <c r="W303" s="4">
        <v>0</v>
      </c>
      <c r="X303" s="4">
        <v>17.21238938</v>
      </c>
      <c r="Y303" s="4">
        <v>0</v>
      </c>
      <c r="Z303" s="4"/>
      <c r="AA303" s="4"/>
      <c r="AB303" s="4"/>
      <c r="AC303" s="4"/>
      <c r="AD303" s="4"/>
      <c r="AE303" s="4"/>
      <c r="AF303" s="4">
        <v>4.5</v>
      </c>
      <c r="AG303" s="4">
        <v>0</v>
      </c>
      <c r="AH303" s="4">
        <v>6</v>
      </c>
      <c r="AI303" s="4">
        <v>0</v>
      </c>
      <c r="AJ303" s="3" t="s">
        <v>1036</v>
      </c>
      <c r="AK303" s="4">
        <v>0</v>
      </c>
      <c r="AL303" s="4">
        <v>0</v>
      </c>
      <c r="AM303" s="6"/>
      <c r="AN303" s="6"/>
      <c r="AO303" s="3" t="s">
        <v>1034</v>
      </c>
      <c r="AP303" s="3" t="s">
        <v>937</v>
      </c>
      <c r="AQ303" s="4"/>
      <c r="AR303" s="4"/>
      <c r="AS303" s="2"/>
    </row>
    <row r="304" ht="16.5" hidden="1" spans="1:45">
      <c r="A304" s="3" t="s">
        <v>1107</v>
      </c>
      <c r="B304" s="3" t="s">
        <v>1030</v>
      </c>
      <c r="C304" s="3" t="s">
        <v>935</v>
      </c>
      <c r="D304" s="3" t="s">
        <v>1042</v>
      </c>
      <c r="E304" s="3" t="s">
        <v>1032</v>
      </c>
      <c r="F304" s="4">
        <v>0</v>
      </c>
      <c r="G304" s="4">
        <v>0</v>
      </c>
      <c r="H304" s="4">
        <v>0</v>
      </c>
      <c r="I304" s="4">
        <v>0</v>
      </c>
      <c r="J304" s="4">
        <v>0</v>
      </c>
      <c r="K304" s="4">
        <v>0</v>
      </c>
      <c r="L304" s="4">
        <v>150</v>
      </c>
      <c r="M304" s="5">
        <v>150</v>
      </c>
      <c r="N304" s="4">
        <v>0</v>
      </c>
      <c r="O304" s="4">
        <v>2580.530973</v>
      </c>
      <c r="P304" s="4">
        <v>0</v>
      </c>
      <c r="Q304" s="4">
        <v>0</v>
      </c>
      <c r="R304" s="4">
        <v>0</v>
      </c>
      <c r="S304" s="4">
        <v>0</v>
      </c>
      <c r="T304" s="4">
        <v>0</v>
      </c>
      <c r="U304" s="4">
        <v>0</v>
      </c>
      <c r="V304" s="4">
        <v>0</v>
      </c>
      <c r="W304" s="4">
        <v>0</v>
      </c>
      <c r="X304" s="4">
        <v>17.20353982</v>
      </c>
      <c r="Y304" s="4">
        <v>0</v>
      </c>
      <c r="Z304" s="4"/>
      <c r="AA304" s="4"/>
      <c r="AB304" s="4"/>
      <c r="AC304" s="4"/>
      <c r="AD304" s="4"/>
      <c r="AE304" s="4"/>
      <c r="AF304" s="4">
        <v>4.5</v>
      </c>
      <c r="AG304" s="4">
        <v>0</v>
      </c>
      <c r="AH304" s="4">
        <v>6</v>
      </c>
      <c r="AI304" s="4">
        <v>0</v>
      </c>
      <c r="AJ304" s="3" t="s">
        <v>1036</v>
      </c>
      <c r="AK304" s="4">
        <v>0</v>
      </c>
      <c r="AL304" s="4">
        <v>0</v>
      </c>
      <c r="AM304" s="6"/>
      <c r="AN304" s="6"/>
      <c r="AO304" s="3" t="s">
        <v>1034</v>
      </c>
      <c r="AP304" s="3" t="s">
        <v>937</v>
      </c>
      <c r="AQ304" s="4"/>
      <c r="AR304" s="4"/>
      <c r="AS304" s="2"/>
    </row>
    <row r="305" ht="16.5" hidden="1" spans="1:45">
      <c r="A305" s="3" t="s">
        <v>1108</v>
      </c>
      <c r="B305" s="3" t="s">
        <v>1030</v>
      </c>
      <c r="C305" s="3" t="s">
        <v>935</v>
      </c>
      <c r="D305" s="3" t="s">
        <v>1042</v>
      </c>
      <c r="E305" s="3" t="s">
        <v>1032</v>
      </c>
      <c r="F305" s="4">
        <v>0</v>
      </c>
      <c r="G305" s="4">
        <v>0</v>
      </c>
      <c r="H305" s="4">
        <v>0</v>
      </c>
      <c r="I305" s="4">
        <v>0</v>
      </c>
      <c r="J305" s="4">
        <v>0</v>
      </c>
      <c r="K305" s="4">
        <v>0</v>
      </c>
      <c r="L305" s="4">
        <v>150</v>
      </c>
      <c r="M305" s="5">
        <v>150</v>
      </c>
      <c r="N305" s="4">
        <v>0</v>
      </c>
      <c r="O305" s="4">
        <v>2790.265487</v>
      </c>
      <c r="P305" s="4">
        <v>0</v>
      </c>
      <c r="Q305" s="4">
        <v>0</v>
      </c>
      <c r="R305" s="4">
        <v>0</v>
      </c>
      <c r="S305" s="4">
        <v>0</v>
      </c>
      <c r="T305" s="4">
        <v>0</v>
      </c>
      <c r="U305" s="4">
        <v>0</v>
      </c>
      <c r="V305" s="4">
        <v>0</v>
      </c>
      <c r="W305" s="4">
        <v>0</v>
      </c>
      <c r="X305" s="4">
        <v>18.60176991</v>
      </c>
      <c r="Y305" s="4">
        <v>0</v>
      </c>
      <c r="Z305" s="4"/>
      <c r="AA305" s="4"/>
      <c r="AB305" s="4"/>
      <c r="AC305" s="4"/>
      <c r="AD305" s="4"/>
      <c r="AE305" s="4"/>
      <c r="AF305" s="4">
        <v>4.5</v>
      </c>
      <c r="AG305" s="4">
        <v>0</v>
      </c>
      <c r="AH305" s="4">
        <v>6</v>
      </c>
      <c r="AI305" s="4">
        <v>0</v>
      </c>
      <c r="AJ305" s="3" t="s">
        <v>1036</v>
      </c>
      <c r="AK305" s="4">
        <v>0</v>
      </c>
      <c r="AL305" s="4">
        <v>0</v>
      </c>
      <c r="AM305" s="6"/>
      <c r="AN305" s="6"/>
      <c r="AO305" s="3" t="s">
        <v>1034</v>
      </c>
      <c r="AP305" s="3" t="s">
        <v>937</v>
      </c>
      <c r="AQ305" s="4"/>
      <c r="AR305" s="4"/>
      <c r="AS305" s="2"/>
    </row>
    <row r="306" ht="16.5" hidden="1" spans="1:45">
      <c r="A306" s="3" t="s">
        <v>1109</v>
      </c>
      <c r="B306" s="3" t="s">
        <v>1030</v>
      </c>
      <c r="C306" s="3" t="s">
        <v>935</v>
      </c>
      <c r="D306" s="3" t="s">
        <v>1042</v>
      </c>
      <c r="E306" s="3" t="s">
        <v>1032</v>
      </c>
      <c r="F306" s="4">
        <v>0</v>
      </c>
      <c r="G306" s="4">
        <v>0</v>
      </c>
      <c r="H306" s="4">
        <v>0</v>
      </c>
      <c r="I306" s="4">
        <v>0</v>
      </c>
      <c r="J306" s="4">
        <v>0</v>
      </c>
      <c r="K306" s="4">
        <v>0</v>
      </c>
      <c r="L306" s="4">
        <v>150</v>
      </c>
      <c r="M306" s="5">
        <v>150</v>
      </c>
      <c r="N306" s="4">
        <v>0</v>
      </c>
      <c r="O306" s="4">
        <v>2960.176991</v>
      </c>
      <c r="P306" s="4">
        <v>0</v>
      </c>
      <c r="Q306" s="4">
        <v>0</v>
      </c>
      <c r="R306" s="4">
        <v>0</v>
      </c>
      <c r="S306" s="4">
        <v>0</v>
      </c>
      <c r="T306" s="4">
        <v>0</v>
      </c>
      <c r="U306" s="4">
        <v>0</v>
      </c>
      <c r="V306" s="4">
        <v>0</v>
      </c>
      <c r="W306" s="4">
        <v>0</v>
      </c>
      <c r="X306" s="4">
        <v>19.73451327</v>
      </c>
      <c r="Y306" s="4">
        <v>0</v>
      </c>
      <c r="Z306" s="4"/>
      <c r="AA306" s="4"/>
      <c r="AB306" s="4"/>
      <c r="AC306" s="4"/>
      <c r="AD306" s="4"/>
      <c r="AE306" s="4"/>
      <c r="AF306" s="4">
        <v>4.5</v>
      </c>
      <c r="AG306" s="4">
        <v>0</v>
      </c>
      <c r="AH306" s="4">
        <v>6</v>
      </c>
      <c r="AI306" s="4">
        <v>0</v>
      </c>
      <c r="AJ306" s="3" t="s">
        <v>1036</v>
      </c>
      <c r="AK306" s="4">
        <v>0</v>
      </c>
      <c r="AL306" s="4">
        <v>0</v>
      </c>
      <c r="AM306" s="6"/>
      <c r="AN306" s="6"/>
      <c r="AO306" s="3" t="s">
        <v>1034</v>
      </c>
      <c r="AP306" s="3" t="s">
        <v>937</v>
      </c>
      <c r="AQ306" s="4"/>
      <c r="AR306" s="4"/>
      <c r="AS306" s="2"/>
    </row>
    <row r="307" ht="16.5" hidden="1" spans="1:45">
      <c r="A307" s="3" t="s">
        <v>1110</v>
      </c>
      <c r="B307" s="3" t="s">
        <v>1030</v>
      </c>
      <c r="C307" s="3" t="s">
        <v>935</v>
      </c>
      <c r="D307" s="3" t="s">
        <v>1042</v>
      </c>
      <c r="E307" s="3" t="s">
        <v>1032</v>
      </c>
      <c r="F307" s="4">
        <v>0</v>
      </c>
      <c r="G307" s="4">
        <v>0</v>
      </c>
      <c r="H307" s="4">
        <v>0</v>
      </c>
      <c r="I307" s="4">
        <v>0</v>
      </c>
      <c r="J307" s="4">
        <v>0</v>
      </c>
      <c r="K307" s="4">
        <v>0</v>
      </c>
      <c r="L307" s="4">
        <v>150</v>
      </c>
      <c r="M307" s="5">
        <v>150</v>
      </c>
      <c r="N307" s="4">
        <v>0</v>
      </c>
      <c r="O307" s="4">
        <v>2776.991151</v>
      </c>
      <c r="P307" s="4">
        <v>0</v>
      </c>
      <c r="Q307" s="4">
        <v>0</v>
      </c>
      <c r="R307" s="4">
        <v>0</v>
      </c>
      <c r="S307" s="4">
        <v>0</v>
      </c>
      <c r="T307" s="4">
        <v>0</v>
      </c>
      <c r="U307" s="4">
        <v>0</v>
      </c>
      <c r="V307" s="4">
        <v>0</v>
      </c>
      <c r="W307" s="4">
        <v>0</v>
      </c>
      <c r="X307" s="4">
        <v>18.51327434</v>
      </c>
      <c r="Y307" s="4">
        <v>0</v>
      </c>
      <c r="Z307" s="4"/>
      <c r="AA307" s="4"/>
      <c r="AB307" s="4"/>
      <c r="AC307" s="4"/>
      <c r="AD307" s="4"/>
      <c r="AE307" s="4"/>
      <c r="AF307" s="4">
        <v>4.5</v>
      </c>
      <c r="AG307" s="4">
        <v>0</v>
      </c>
      <c r="AH307" s="4">
        <v>6</v>
      </c>
      <c r="AI307" s="4">
        <v>0</v>
      </c>
      <c r="AJ307" s="3" t="s">
        <v>1036</v>
      </c>
      <c r="AK307" s="4">
        <v>0</v>
      </c>
      <c r="AL307" s="4">
        <v>0</v>
      </c>
      <c r="AM307" s="6"/>
      <c r="AN307" s="6"/>
      <c r="AO307" s="3" t="s">
        <v>1034</v>
      </c>
      <c r="AP307" s="3" t="s">
        <v>937</v>
      </c>
      <c r="AQ307" s="4"/>
      <c r="AR307" s="4"/>
      <c r="AS307" s="2"/>
    </row>
    <row r="308" ht="16.5" hidden="1" spans="1:45">
      <c r="A308" s="3" t="s">
        <v>1111</v>
      </c>
      <c r="B308" s="3" t="s">
        <v>1030</v>
      </c>
      <c r="C308" s="3" t="s">
        <v>935</v>
      </c>
      <c r="D308" s="3" t="s">
        <v>1042</v>
      </c>
      <c r="E308" s="3" t="s">
        <v>1032</v>
      </c>
      <c r="F308" s="4">
        <v>0</v>
      </c>
      <c r="G308" s="4">
        <v>0</v>
      </c>
      <c r="H308" s="4">
        <v>0</v>
      </c>
      <c r="I308" s="4">
        <v>0</v>
      </c>
      <c r="J308" s="4">
        <v>0</v>
      </c>
      <c r="K308" s="4">
        <v>0</v>
      </c>
      <c r="L308" s="4">
        <v>150</v>
      </c>
      <c r="M308" s="5">
        <v>150</v>
      </c>
      <c r="N308" s="4">
        <v>0</v>
      </c>
      <c r="O308" s="4">
        <v>3691.592921</v>
      </c>
      <c r="P308" s="4">
        <v>0</v>
      </c>
      <c r="Q308" s="4">
        <v>0</v>
      </c>
      <c r="R308" s="4">
        <v>0</v>
      </c>
      <c r="S308" s="4">
        <v>0</v>
      </c>
      <c r="T308" s="4">
        <v>0</v>
      </c>
      <c r="U308" s="4">
        <v>0</v>
      </c>
      <c r="V308" s="4">
        <v>0</v>
      </c>
      <c r="W308" s="4">
        <v>0</v>
      </c>
      <c r="X308" s="4">
        <v>24.61061947</v>
      </c>
      <c r="Y308" s="4">
        <v>0</v>
      </c>
      <c r="Z308" s="4"/>
      <c r="AA308" s="4"/>
      <c r="AB308" s="4"/>
      <c r="AC308" s="4"/>
      <c r="AD308" s="4"/>
      <c r="AE308" s="4"/>
      <c r="AF308" s="4">
        <v>4.5</v>
      </c>
      <c r="AG308" s="4">
        <v>0</v>
      </c>
      <c r="AH308" s="4">
        <v>6</v>
      </c>
      <c r="AI308" s="4">
        <v>0</v>
      </c>
      <c r="AJ308" s="3" t="s">
        <v>1036</v>
      </c>
      <c r="AK308" s="4">
        <v>0</v>
      </c>
      <c r="AL308" s="4">
        <v>0</v>
      </c>
      <c r="AM308" s="6"/>
      <c r="AN308" s="6"/>
      <c r="AO308" s="3" t="s">
        <v>1034</v>
      </c>
      <c r="AP308" s="3" t="s">
        <v>937</v>
      </c>
      <c r="AQ308" s="4"/>
      <c r="AR308" s="4"/>
      <c r="AS308" s="2"/>
    </row>
    <row r="309" ht="16.5" hidden="1" spans="1:45">
      <c r="A309" s="3" t="s">
        <v>1112</v>
      </c>
      <c r="B309" s="3" t="s">
        <v>1030</v>
      </c>
      <c r="C309" s="3" t="s">
        <v>935</v>
      </c>
      <c r="D309" s="3" t="s">
        <v>1042</v>
      </c>
      <c r="E309" s="3" t="s">
        <v>1032</v>
      </c>
      <c r="F309" s="4">
        <v>0</v>
      </c>
      <c r="G309" s="4">
        <v>0</v>
      </c>
      <c r="H309" s="4">
        <v>0</v>
      </c>
      <c r="I309" s="4">
        <v>0</v>
      </c>
      <c r="J309" s="4">
        <v>0</v>
      </c>
      <c r="K309" s="4">
        <v>0</v>
      </c>
      <c r="L309" s="4">
        <v>150</v>
      </c>
      <c r="M309" s="5">
        <v>150</v>
      </c>
      <c r="N309" s="4">
        <v>0</v>
      </c>
      <c r="O309" s="4">
        <v>3309.292035</v>
      </c>
      <c r="P309" s="4">
        <v>0</v>
      </c>
      <c r="Q309" s="4">
        <v>0</v>
      </c>
      <c r="R309" s="4">
        <v>0</v>
      </c>
      <c r="S309" s="4">
        <v>0</v>
      </c>
      <c r="T309" s="4">
        <v>0</v>
      </c>
      <c r="U309" s="4">
        <v>0</v>
      </c>
      <c r="V309" s="4">
        <v>0</v>
      </c>
      <c r="W309" s="4">
        <v>0</v>
      </c>
      <c r="X309" s="4">
        <v>22.0619469</v>
      </c>
      <c r="Y309" s="4">
        <v>0</v>
      </c>
      <c r="Z309" s="4"/>
      <c r="AA309" s="4"/>
      <c r="AB309" s="4"/>
      <c r="AC309" s="4"/>
      <c r="AD309" s="4"/>
      <c r="AE309" s="4"/>
      <c r="AF309" s="4">
        <v>4.5</v>
      </c>
      <c r="AG309" s="4">
        <v>0</v>
      </c>
      <c r="AH309" s="4">
        <v>6</v>
      </c>
      <c r="AI309" s="4">
        <v>0</v>
      </c>
      <c r="AJ309" s="3" t="s">
        <v>1036</v>
      </c>
      <c r="AK309" s="4">
        <v>0</v>
      </c>
      <c r="AL309" s="4">
        <v>0</v>
      </c>
      <c r="AM309" s="6"/>
      <c r="AN309" s="6"/>
      <c r="AO309" s="3" t="s">
        <v>1034</v>
      </c>
      <c r="AP309" s="3" t="s">
        <v>937</v>
      </c>
      <c r="AQ309" s="4"/>
      <c r="AR309" s="4"/>
      <c r="AS309" s="2"/>
    </row>
    <row r="310" ht="16.5" hidden="1" spans="1:45">
      <c r="A310" s="3" t="s">
        <v>1113</v>
      </c>
      <c r="B310" s="3" t="s">
        <v>1030</v>
      </c>
      <c r="C310" s="3" t="s">
        <v>935</v>
      </c>
      <c r="D310" s="3" t="s">
        <v>1042</v>
      </c>
      <c r="E310" s="3" t="s">
        <v>1032</v>
      </c>
      <c r="F310" s="4">
        <v>0</v>
      </c>
      <c r="G310" s="4">
        <v>0</v>
      </c>
      <c r="H310" s="4">
        <v>0</v>
      </c>
      <c r="I310" s="4">
        <v>0</v>
      </c>
      <c r="J310" s="4">
        <v>0</v>
      </c>
      <c r="K310" s="4">
        <v>0</v>
      </c>
      <c r="L310" s="4">
        <v>220</v>
      </c>
      <c r="M310" s="5">
        <v>220</v>
      </c>
      <c r="N310" s="4">
        <v>0</v>
      </c>
      <c r="O310" s="4">
        <v>4754.336283</v>
      </c>
      <c r="P310" s="4">
        <v>0</v>
      </c>
      <c r="Q310" s="4">
        <v>0</v>
      </c>
      <c r="R310" s="4">
        <v>0</v>
      </c>
      <c r="S310" s="4">
        <v>0</v>
      </c>
      <c r="T310" s="4">
        <v>0</v>
      </c>
      <c r="U310" s="4">
        <v>0</v>
      </c>
      <c r="V310" s="4">
        <v>0</v>
      </c>
      <c r="W310" s="4">
        <v>0</v>
      </c>
      <c r="X310" s="4">
        <v>21.61061947</v>
      </c>
      <c r="Y310" s="4">
        <v>0</v>
      </c>
      <c r="Z310" s="4"/>
      <c r="AA310" s="4"/>
      <c r="AB310" s="4"/>
      <c r="AC310" s="4"/>
      <c r="AD310" s="4"/>
      <c r="AE310" s="4"/>
      <c r="AF310" s="4">
        <v>4.5</v>
      </c>
      <c r="AG310" s="4">
        <v>0</v>
      </c>
      <c r="AH310" s="4">
        <v>6</v>
      </c>
      <c r="AI310" s="4">
        <v>0</v>
      </c>
      <c r="AJ310" s="3" t="s">
        <v>1036</v>
      </c>
      <c r="AK310" s="4">
        <v>0</v>
      </c>
      <c r="AL310" s="4">
        <v>0</v>
      </c>
      <c r="AM310" s="6"/>
      <c r="AN310" s="6"/>
      <c r="AO310" s="3" t="s">
        <v>1034</v>
      </c>
      <c r="AP310" s="3" t="s">
        <v>937</v>
      </c>
      <c r="AQ310" s="4"/>
      <c r="AR310" s="4"/>
      <c r="AS310" s="2"/>
    </row>
    <row r="311" ht="16.5" hidden="1" spans="1:45">
      <c r="A311" s="3" t="s">
        <v>1114</v>
      </c>
      <c r="B311" s="3" t="s">
        <v>1030</v>
      </c>
      <c r="C311" s="3" t="s">
        <v>935</v>
      </c>
      <c r="D311" s="3" t="s">
        <v>1042</v>
      </c>
      <c r="E311" s="3" t="s">
        <v>1032</v>
      </c>
      <c r="F311" s="4">
        <v>0</v>
      </c>
      <c r="G311" s="4">
        <v>0</v>
      </c>
      <c r="H311" s="4">
        <v>0</v>
      </c>
      <c r="I311" s="4">
        <v>0</v>
      </c>
      <c r="J311" s="4">
        <v>0</v>
      </c>
      <c r="K311" s="4">
        <v>0</v>
      </c>
      <c r="L311" s="4">
        <v>150</v>
      </c>
      <c r="M311" s="5">
        <v>150</v>
      </c>
      <c r="N311" s="4">
        <v>0</v>
      </c>
      <c r="O311" s="4">
        <v>3084.955752</v>
      </c>
      <c r="P311" s="4">
        <v>0</v>
      </c>
      <c r="Q311" s="4">
        <v>0</v>
      </c>
      <c r="R311" s="4">
        <v>0</v>
      </c>
      <c r="S311" s="4">
        <v>0</v>
      </c>
      <c r="T311" s="4">
        <v>0</v>
      </c>
      <c r="U311" s="4">
        <v>0</v>
      </c>
      <c r="V311" s="4">
        <v>0</v>
      </c>
      <c r="W311" s="4">
        <v>0</v>
      </c>
      <c r="X311" s="4">
        <v>20.56637168</v>
      </c>
      <c r="Y311" s="4">
        <v>0</v>
      </c>
      <c r="Z311" s="4"/>
      <c r="AA311" s="4"/>
      <c r="AB311" s="4"/>
      <c r="AC311" s="4"/>
      <c r="AD311" s="4"/>
      <c r="AE311" s="4"/>
      <c r="AF311" s="4">
        <v>4.5</v>
      </c>
      <c r="AG311" s="4">
        <v>0</v>
      </c>
      <c r="AH311" s="4">
        <v>6</v>
      </c>
      <c r="AI311" s="4">
        <v>0</v>
      </c>
      <c r="AJ311" s="3" t="s">
        <v>1036</v>
      </c>
      <c r="AK311" s="4">
        <v>0</v>
      </c>
      <c r="AL311" s="4">
        <v>0</v>
      </c>
      <c r="AM311" s="6"/>
      <c r="AN311" s="6"/>
      <c r="AO311" s="3" t="s">
        <v>1034</v>
      </c>
      <c r="AP311" s="3" t="s">
        <v>937</v>
      </c>
      <c r="AQ311" s="4"/>
      <c r="AR311" s="4"/>
      <c r="AS311" s="2"/>
    </row>
    <row r="312" ht="16.5" hidden="1" spans="1:45">
      <c r="A312" s="3" t="s">
        <v>1115</v>
      </c>
      <c r="B312" s="3" t="s">
        <v>1030</v>
      </c>
      <c r="C312" s="3" t="s">
        <v>935</v>
      </c>
      <c r="D312" s="3" t="s">
        <v>1042</v>
      </c>
      <c r="E312" s="3" t="s">
        <v>1032</v>
      </c>
      <c r="F312" s="4">
        <v>0</v>
      </c>
      <c r="G312" s="4">
        <v>0</v>
      </c>
      <c r="H312" s="4">
        <v>0</v>
      </c>
      <c r="I312" s="4">
        <v>0</v>
      </c>
      <c r="J312" s="4">
        <v>0</v>
      </c>
      <c r="K312" s="4">
        <v>0</v>
      </c>
      <c r="L312" s="4">
        <v>180</v>
      </c>
      <c r="M312" s="5">
        <v>180</v>
      </c>
      <c r="N312" s="4">
        <v>0</v>
      </c>
      <c r="O312" s="4">
        <v>3563.362832</v>
      </c>
      <c r="P312" s="4">
        <v>0</v>
      </c>
      <c r="Q312" s="4">
        <v>0</v>
      </c>
      <c r="R312" s="4">
        <v>0</v>
      </c>
      <c r="S312" s="4">
        <v>0</v>
      </c>
      <c r="T312" s="4">
        <v>0</v>
      </c>
      <c r="U312" s="4">
        <v>0</v>
      </c>
      <c r="V312" s="4">
        <v>0</v>
      </c>
      <c r="W312" s="4">
        <v>0</v>
      </c>
      <c r="X312" s="4">
        <v>19.79646018</v>
      </c>
      <c r="Y312" s="4">
        <v>0</v>
      </c>
      <c r="Z312" s="4"/>
      <c r="AA312" s="4"/>
      <c r="AB312" s="4"/>
      <c r="AC312" s="4"/>
      <c r="AD312" s="4"/>
      <c r="AE312" s="4"/>
      <c r="AF312" s="4">
        <v>4.5</v>
      </c>
      <c r="AG312" s="4">
        <v>0</v>
      </c>
      <c r="AH312" s="4">
        <v>6</v>
      </c>
      <c r="AI312" s="4">
        <v>0</v>
      </c>
      <c r="AJ312" s="3" t="s">
        <v>1036</v>
      </c>
      <c r="AK312" s="4">
        <v>0</v>
      </c>
      <c r="AL312" s="4">
        <v>0</v>
      </c>
      <c r="AM312" s="6"/>
      <c r="AN312" s="6"/>
      <c r="AO312" s="3" t="s">
        <v>1034</v>
      </c>
      <c r="AP312" s="3" t="s">
        <v>937</v>
      </c>
      <c r="AQ312" s="4"/>
      <c r="AR312" s="4"/>
      <c r="AS312" s="2"/>
    </row>
    <row r="313" ht="16.5" hidden="1" spans="1:45">
      <c r="A313" s="3" t="s">
        <v>1116</v>
      </c>
      <c r="B313" s="3" t="s">
        <v>1030</v>
      </c>
      <c r="C313" s="3" t="s">
        <v>935</v>
      </c>
      <c r="D313" s="3" t="s">
        <v>1042</v>
      </c>
      <c r="E313" s="3" t="s">
        <v>1032</v>
      </c>
      <c r="F313" s="4">
        <v>0</v>
      </c>
      <c r="G313" s="4">
        <v>0</v>
      </c>
      <c r="H313" s="4">
        <v>0</v>
      </c>
      <c r="I313" s="4">
        <v>0</v>
      </c>
      <c r="J313" s="4">
        <v>0</v>
      </c>
      <c r="K313" s="4">
        <v>0</v>
      </c>
      <c r="L313" s="4">
        <v>150</v>
      </c>
      <c r="M313" s="5">
        <v>150</v>
      </c>
      <c r="N313" s="4">
        <v>0</v>
      </c>
      <c r="O313" s="4">
        <v>3310.619469</v>
      </c>
      <c r="P313" s="4">
        <v>0</v>
      </c>
      <c r="Q313" s="4">
        <v>0</v>
      </c>
      <c r="R313" s="4">
        <v>0</v>
      </c>
      <c r="S313" s="4">
        <v>0</v>
      </c>
      <c r="T313" s="4">
        <v>0</v>
      </c>
      <c r="U313" s="4">
        <v>0</v>
      </c>
      <c r="V313" s="4">
        <v>0</v>
      </c>
      <c r="W313" s="4">
        <v>0</v>
      </c>
      <c r="X313" s="4">
        <v>22.07079646</v>
      </c>
      <c r="Y313" s="4">
        <v>0</v>
      </c>
      <c r="Z313" s="4"/>
      <c r="AA313" s="4"/>
      <c r="AB313" s="4"/>
      <c r="AC313" s="4"/>
      <c r="AD313" s="4"/>
      <c r="AE313" s="4"/>
      <c r="AF313" s="4">
        <v>4.5</v>
      </c>
      <c r="AG313" s="4">
        <v>0</v>
      </c>
      <c r="AH313" s="4">
        <v>6</v>
      </c>
      <c r="AI313" s="4">
        <v>0</v>
      </c>
      <c r="AJ313" s="3" t="s">
        <v>1036</v>
      </c>
      <c r="AK313" s="4">
        <v>0</v>
      </c>
      <c r="AL313" s="4">
        <v>0</v>
      </c>
      <c r="AM313" s="6"/>
      <c r="AN313" s="6"/>
      <c r="AO313" s="3" t="s">
        <v>1034</v>
      </c>
      <c r="AP313" s="3" t="s">
        <v>937</v>
      </c>
      <c r="AQ313" s="4"/>
      <c r="AR313" s="4"/>
      <c r="AS313" s="2"/>
    </row>
    <row r="314" ht="16.5" hidden="1" spans="1:45">
      <c r="A314" s="3" t="s">
        <v>1117</v>
      </c>
      <c r="B314" s="3" t="s">
        <v>1030</v>
      </c>
      <c r="C314" s="3" t="s">
        <v>935</v>
      </c>
      <c r="D314" s="3" t="s">
        <v>1042</v>
      </c>
      <c r="E314" s="3" t="s">
        <v>1032</v>
      </c>
      <c r="F314" s="4">
        <v>0</v>
      </c>
      <c r="G314" s="4">
        <v>0</v>
      </c>
      <c r="H314" s="4">
        <v>0</v>
      </c>
      <c r="I314" s="4">
        <v>0</v>
      </c>
      <c r="J314" s="4">
        <v>0</v>
      </c>
      <c r="K314" s="4">
        <v>0</v>
      </c>
      <c r="L314" s="4">
        <v>500</v>
      </c>
      <c r="M314" s="5">
        <v>500</v>
      </c>
      <c r="N314" s="4">
        <v>0</v>
      </c>
      <c r="O314" s="4">
        <v>10946.902655</v>
      </c>
      <c r="P314" s="4">
        <v>0</v>
      </c>
      <c r="Q314" s="4">
        <v>0</v>
      </c>
      <c r="R314" s="4">
        <v>0</v>
      </c>
      <c r="S314" s="4">
        <v>0</v>
      </c>
      <c r="T314" s="4">
        <v>0</v>
      </c>
      <c r="U314" s="4">
        <v>0</v>
      </c>
      <c r="V314" s="4">
        <v>0</v>
      </c>
      <c r="W314" s="4">
        <v>0</v>
      </c>
      <c r="X314" s="4">
        <v>21.89380531</v>
      </c>
      <c r="Y314" s="4">
        <v>0</v>
      </c>
      <c r="Z314" s="4"/>
      <c r="AA314" s="4"/>
      <c r="AB314" s="4"/>
      <c r="AC314" s="4"/>
      <c r="AD314" s="4"/>
      <c r="AE314" s="4"/>
      <c r="AF314" s="4">
        <v>4.5</v>
      </c>
      <c r="AG314" s="4">
        <v>0</v>
      </c>
      <c r="AH314" s="4">
        <v>6</v>
      </c>
      <c r="AI314" s="4">
        <v>0</v>
      </c>
      <c r="AJ314" s="3" t="s">
        <v>1036</v>
      </c>
      <c r="AK314" s="4">
        <v>0</v>
      </c>
      <c r="AL314" s="4">
        <v>0</v>
      </c>
      <c r="AM314" s="6"/>
      <c r="AN314" s="6"/>
      <c r="AO314" s="3" t="s">
        <v>1034</v>
      </c>
      <c r="AP314" s="3" t="s">
        <v>937</v>
      </c>
      <c r="AQ314" s="4"/>
      <c r="AR314" s="4"/>
      <c r="AS314" s="2"/>
    </row>
    <row r="315" ht="16.5" hidden="1" spans="1:45">
      <c r="A315" s="3" t="s">
        <v>1118</v>
      </c>
      <c r="B315" s="3" t="s">
        <v>1030</v>
      </c>
      <c r="C315" s="3" t="s">
        <v>935</v>
      </c>
      <c r="D315" s="3" t="s">
        <v>1042</v>
      </c>
      <c r="E315" s="3" t="s">
        <v>1032</v>
      </c>
      <c r="F315" s="4">
        <v>0</v>
      </c>
      <c r="G315" s="4">
        <v>0</v>
      </c>
      <c r="H315" s="4">
        <v>0</v>
      </c>
      <c r="I315" s="4">
        <v>0</v>
      </c>
      <c r="J315" s="4">
        <v>0</v>
      </c>
      <c r="K315" s="4">
        <v>0</v>
      </c>
      <c r="L315" s="4">
        <v>160</v>
      </c>
      <c r="M315" s="5">
        <v>160</v>
      </c>
      <c r="N315" s="4">
        <v>0</v>
      </c>
      <c r="O315" s="4">
        <v>3260.884955</v>
      </c>
      <c r="P315" s="4">
        <v>0</v>
      </c>
      <c r="Q315" s="4">
        <v>0</v>
      </c>
      <c r="R315" s="4">
        <v>0</v>
      </c>
      <c r="S315" s="4">
        <v>0</v>
      </c>
      <c r="T315" s="4">
        <v>0</v>
      </c>
      <c r="U315" s="4">
        <v>0</v>
      </c>
      <c r="V315" s="4">
        <v>0</v>
      </c>
      <c r="W315" s="4">
        <v>0</v>
      </c>
      <c r="X315" s="4">
        <v>20.38053097</v>
      </c>
      <c r="Y315" s="4">
        <v>0</v>
      </c>
      <c r="Z315" s="4"/>
      <c r="AA315" s="4"/>
      <c r="AB315" s="4"/>
      <c r="AC315" s="4"/>
      <c r="AD315" s="4"/>
      <c r="AE315" s="4"/>
      <c r="AF315" s="4">
        <v>4.5</v>
      </c>
      <c r="AG315" s="4">
        <v>0</v>
      </c>
      <c r="AH315" s="4">
        <v>6</v>
      </c>
      <c r="AI315" s="4">
        <v>0</v>
      </c>
      <c r="AJ315" s="3" t="s">
        <v>1036</v>
      </c>
      <c r="AK315" s="4">
        <v>0</v>
      </c>
      <c r="AL315" s="4">
        <v>0</v>
      </c>
      <c r="AM315" s="6"/>
      <c r="AN315" s="6"/>
      <c r="AO315" s="3" t="s">
        <v>1034</v>
      </c>
      <c r="AP315" s="3" t="s">
        <v>937</v>
      </c>
      <c r="AQ315" s="4"/>
      <c r="AR315" s="4"/>
      <c r="AS315" s="2"/>
    </row>
    <row r="316" ht="16.5" hidden="1" spans="1:45">
      <c r="A316" s="3" t="s">
        <v>1119</v>
      </c>
      <c r="B316" s="3" t="s">
        <v>1030</v>
      </c>
      <c r="C316" s="3" t="s">
        <v>935</v>
      </c>
      <c r="D316" s="3" t="s">
        <v>1042</v>
      </c>
      <c r="E316" s="3" t="s">
        <v>1032</v>
      </c>
      <c r="F316" s="4">
        <v>0</v>
      </c>
      <c r="G316" s="4">
        <v>0</v>
      </c>
      <c r="H316" s="4">
        <v>0</v>
      </c>
      <c r="I316" s="4">
        <v>0</v>
      </c>
      <c r="J316" s="4">
        <v>0</v>
      </c>
      <c r="K316" s="4">
        <v>0</v>
      </c>
      <c r="L316" s="4">
        <v>150</v>
      </c>
      <c r="M316" s="5">
        <v>150</v>
      </c>
      <c r="N316" s="4">
        <v>0</v>
      </c>
      <c r="O316" s="4">
        <v>3215.044248</v>
      </c>
      <c r="P316" s="4">
        <v>0</v>
      </c>
      <c r="Q316" s="4">
        <v>0</v>
      </c>
      <c r="R316" s="4">
        <v>0</v>
      </c>
      <c r="S316" s="4">
        <v>0</v>
      </c>
      <c r="T316" s="4">
        <v>0</v>
      </c>
      <c r="U316" s="4">
        <v>0</v>
      </c>
      <c r="V316" s="4">
        <v>0</v>
      </c>
      <c r="W316" s="4">
        <v>0</v>
      </c>
      <c r="X316" s="4">
        <v>21.43362832</v>
      </c>
      <c r="Y316" s="4">
        <v>0</v>
      </c>
      <c r="Z316" s="4"/>
      <c r="AA316" s="4"/>
      <c r="AB316" s="4"/>
      <c r="AC316" s="4"/>
      <c r="AD316" s="4"/>
      <c r="AE316" s="4"/>
      <c r="AF316" s="4">
        <v>4.5</v>
      </c>
      <c r="AG316" s="4">
        <v>0</v>
      </c>
      <c r="AH316" s="4">
        <v>6</v>
      </c>
      <c r="AI316" s="4">
        <v>0</v>
      </c>
      <c r="AJ316" s="3" t="s">
        <v>1036</v>
      </c>
      <c r="AK316" s="4">
        <v>0</v>
      </c>
      <c r="AL316" s="4">
        <v>0</v>
      </c>
      <c r="AM316" s="6"/>
      <c r="AN316" s="6"/>
      <c r="AO316" s="3" t="s">
        <v>1034</v>
      </c>
      <c r="AP316" s="3" t="s">
        <v>937</v>
      </c>
      <c r="AQ316" s="4"/>
      <c r="AR316" s="4"/>
      <c r="AS316" s="2"/>
    </row>
    <row r="317" ht="16.5" hidden="1" spans="1:45">
      <c r="A317" s="3" t="s">
        <v>1120</v>
      </c>
      <c r="B317" s="3" t="s">
        <v>1030</v>
      </c>
      <c r="C317" s="3" t="s">
        <v>935</v>
      </c>
      <c r="D317" s="3" t="s">
        <v>1042</v>
      </c>
      <c r="E317" s="3" t="s">
        <v>1032</v>
      </c>
      <c r="F317" s="4">
        <v>0</v>
      </c>
      <c r="G317" s="4">
        <v>0</v>
      </c>
      <c r="H317" s="4">
        <v>0</v>
      </c>
      <c r="I317" s="4">
        <v>0</v>
      </c>
      <c r="J317" s="4">
        <v>0</v>
      </c>
      <c r="K317" s="4">
        <v>0</v>
      </c>
      <c r="L317" s="4">
        <v>150</v>
      </c>
      <c r="M317" s="5">
        <v>150</v>
      </c>
      <c r="N317" s="4">
        <v>0</v>
      </c>
      <c r="O317" s="4">
        <v>3017.256638</v>
      </c>
      <c r="P317" s="4">
        <v>0</v>
      </c>
      <c r="Q317" s="4">
        <v>0</v>
      </c>
      <c r="R317" s="4">
        <v>0</v>
      </c>
      <c r="S317" s="4">
        <v>0</v>
      </c>
      <c r="T317" s="4">
        <v>0</v>
      </c>
      <c r="U317" s="4">
        <v>0</v>
      </c>
      <c r="V317" s="4">
        <v>0</v>
      </c>
      <c r="W317" s="4">
        <v>0</v>
      </c>
      <c r="X317" s="4">
        <v>20.11504425</v>
      </c>
      <c r="Y317" s="4">
        <v>0</v>
      </c>
      <c r="Z317" s="4"/>
      <c r="AA317" s="4"/>
      <c r="AB317" s="4"/>
      <c r="AC317" s="4"/>
      <c r="AD317" s="4"/>
      <c r="AE317" s="4"/>
      <c r="AF317" s="4">
        <v>4.5</v>
      </c>
      <c r="AG317" s="4">
        <v>0</v>
      </c>
      <c r="AH317" s="4">
        <v>6</v>
      </c>
      <c r="AI317" s="4">
        <v>0</v>
      </c>
      <c r="AJ317" s="3" t="s">
        <v>1036</v>
      </c>
      <c r="AK317" s="4">
        <v>0</v>
      </c>
      <c r="AL317" s="4">
        <v>0</v>
      </c>
      <c r="AM317" s="6"/>
      <c r="AN317" s="6"/>
      <c r="AO317" s="3" t="s">
        <v>1034</v>
      </c>
      <c r="AP317" s="3" t="s">
        <v>937</v>
      </c>
      <c r="AQ317" s="4"/>
      <c r="AR317" s="4"/>
      <c r="AS317" s="2"/>
    </row>
    <row r="318" ht="16.5" hidden="1" spans="1:45">
      <c r="A318" s="3" t="s">
        <v>1121</v>
      </c>
      <c r="B318" s="3" t="s">
        <v>1030</v>
      </c>
      <c r="C318" s="3" t="s">
        <v>935</v>
      </c>
      <c r="D318" s="3" t="s">
        <v>1042</v>
      </c>
      <c r="E318" s="3" t="s">
        <v>1032</v>
      </c>
      <c r="F318" s="4">
        <v>0</v>
      </c>
      <c r="G318" s="4">
        <v>0</v>
      </c>
      <c r="H318" s="4">
        <v>0</v>
      </c>
      <c r="I318" s="4">
        <v>0</v>
      </c>
      <c r="J318" s="4">
        <v>0</v>
      </c>
      <c r="K318" s="4">
        <v>0</v>
      </c>
      <c r="L318" s="4">
        <v>150</v>
      </c>
      <c r="M318" s="5">
        <v>150</v>
      </c>
      <c r="N318" s="4">
        <v>0</v>
      </c>
      <c r="O318" s="4">
        <v>3380.973452</v>
      </c>
      <c r="P318" s="4">
        <v>0</v>
      </c>
      <c r="Q318" s="4">
        <v>0</v>
      </c>
      <c r="R318" s="4">
        <v>0</v>
      </c>
      <c r="S318" s="4">
        <v>0</v>
      </c>
      <c r="T318" s="4">
        <v>0</v>
      </c>
      <c r="U318" s="4">
        <v>0</v>
      </c>
      <c r="V318" s="4">
        <v>0</v>
      </c>
      <c r="W318" s="4">
        <v>0</v>
      </c>
      <c r="X318" s="4">
        <v>22.53982301</v>
      </c>
      <c r="Y318" s="4">
        <v>0</v>
      </c>
      <c r="Z318" s="4"/>
      <c r="AA318" s="4"/>
      <c r="AB318" s="4"/>
      <c r="AC318" s="4"/>
      <c r="AD318" s="4"/>
      <c r="AE318" s="4"/>
      <c r="AF318" s="4">
        <v>4.5</v>
      </c>
      <c r="AG318" s="4">
        <v>0</v>
      </c>
      <c r="AH318" s="4">
        <v>6</v>
      </c>
      <c r="AI318" s="4">
        <v>0</v>
      </c>
      <c r="AJ318" s="3" t="s">
        <v>1036</v>
      </c>
      <c r="AK318" s="4">
        <v>0</v>
      </c>
      <c r="AL318" s="4">
        <v>0</v>
      </c>
      <c r="AM318" s="6"/>
      <c r="AN318" s="6"/>
      <c r="AO318" s="3" t="s">
        <v>1034</v>
      </c>
      <c r="AP318" s="3" t="s">
        <v>937</v>
      </c>
      <c r="AQ318" s="4"/>
      <c r="AR318" s="4"/>
      <c r="AS318" s="2"/>
    </row>
    <row r="319" ht="16.5" hidden="1" spans="1:45">
      <c r="A319" s="3" t="s">
        <v>1122</v>
      </c>
      <c r="B319" s="3" t="s">
        <v>1030</v>
      </c>
      <c r="C319" s="3" t="s">
        <v>935</v>
      </c>
      <c r="D319" s="3" t="s">
        <v>1042</v>
      </c>
      <c r="E319" s="3" t="s">
        <v>1032</v>
      </c>
      <c r="F319" s="4">
        <v>0</v>
      </c>
      <c r="G319" s="4">
        <v>0</v>
      </c>
      <c r="H319" s="4">
        <v>0</v>
      </c>
      <c r="I319" s="4">
        <v>0</v>
      </c>
      <c r="J319" s="4">
        <v>0</v>
      </c>
      <c r="K319" s="4">
        <v>0</v>
      </c>
      <c r="L319" s="4">
        <v>150</v>
      </c>
      <c r="M319" s="5">
        <v>150</v>
      </c>
      <c r="N319" s="4">
        <v>0</v>
      </c>
      <c r="O319" s="4">
        <v>3342.477876</v>
      </c>
      <c r="P319" s="4">
        <v>0</v>
      </c>
      <c r="Q319" s="4">
        <v>0</v>
      </c>
      <c r="R319" s="4">
        <v>0</v>
      </c>
      <c r="S319" s="4">
        <v>0</v>
      </c>
      <c r="T319" s="4">
        <v>0</v>
      </c>
      <c r="U319" s="4">
        <v>0</v>
      </c>
      <c r="V319" s="4">
        <v>0</v>
      </c>
      <c r="W319" s="4">
        <v>0</v>
      </c>
      <c r="X319" s="4">
        <v>22.28318584</v>
      </c>
      <c r="Y319" s="4">
        <v>0</v>
      </c>
      <c r="Z319" s="4"/>
      <c r="AA319" s="4"/>
      <c r="AB319" s="4"/>
      <c r="AC319" s="4"/>
      <c r="AD319" s="4"/>
      <c r="AE319" s="4"/>
      <c r="AF319" s="4">
        <v>4.5</v>
      </c>
      <c r="AG319" s="4">
        <v>0</v>
      </c>
      <c r="AH319" s="4">
        <v>6</v>
      </c>
      <c r="AI319" s="4">
        <v>0</v>
      </c>
      <c r="AJ319" s="3" t="s">
        <v>1036</v>
      </c>
      <c r="AK319" s="4">
        <v>0</v>
      </c>
      <c r="AL319" s="4">
        <v>0</v>
      </c>
      <c r="AM319" s="6"/>
      <c r="AN319" s="6"/>
      <c r="AO319" s="3" t="s">
        <v>1034</v>
      </c>
      <c r="AP319" s="3" t="s">
        <v>937</v>
      </c>
      <c r="AQ319" s="4"/>
      <c r="AR319" s="4"/>
      <c r="AS319" s="2"/>
    </row>
    <row r="320" ht="16.5" hidden="1" spans="1:45">
      <c r="A320" s="3" t="s">
        <v>1123</v>
      </c>
      <c r="B320" s="3" t="s">
        <v>1030</v>
      </c>
      <c r="C320" s="3" t="s">
        <v>935</v>
      </c>
      <c r="D320" s="3" t="s">
        <v>1042</v>
      </c>
      <c r="E320" s="3" t="s">
        <v>1032</v>
      </c>
      <c r="F320" s="4">
        <v>0</v>
      </c>
      <c r="G320" s="4">
        <v>0</v>
      </c>
      <c r="H320" s="4">
        <v>0</v>
      </c>
      <c r="I320" s="4">
        <v>0</v>
      </c>
      <c r="J320" s="4">
        <v>0</v>
      </c>
      <c r="K320" s="4">
        <v>0</v>
      </c>
      <c r="L320" s="4">
        <v>280</v>
      </c>
      <c r="M320" s="5">
        <v>280</v>
      </c>
      <c r="N320" s="4">
        <v>0</v>
      </c>
      <c r="O320" s="4">
        <v>4670.79646</v>
      </c>
      <c r="P320" s="4">
        <v>0</v>
      </c>
      <c r="Q320" s="4">
        <v>0</v>
      </c>
      <c r="R320" s="4">
        <v>0</v>
      </c>
      <c r="S320" s="4">
        <v>0</v>
      </c>
      <c r="T320" s="4">
        <v>0</v>
      </c>
      <c r="U320" s="4">
        <v>0</v>
      </c>
      <c r="V320" s="4">
        <v>0</v>
      </c>
      <c r="W320" s="4">
        <v>0</v>
      </c>
      <c r="X320" s="4">
        <v>16.68141593</v>
      </c>
      <c r="Y320" s="4">
        <v>0</v>
      </c>
      <c r="Z320" s="4"/>
      <c r="AA320" s="4"/>
      <c r="AB320" s="4"/>
      <c r="AC320" s="4"/>
      <c r="AD320" s="4"/>
      <c r="AE320" s="4"/>
      <c r="AF320" s="4">
        <v>4.5</v>
      </c>
      <c r="AG320" s="4">
        <v>0</v>
      </c>
      <c r="AH320" s="4">
        <v>6</v>
      </c>
      <c r="AI320" s="4">
        <v>0</v>
      </c>
      <c r="AJ320" s="3" t="s">
        <v>1036</v>
      </c>
      <c r="AK320" s="4">
        <v>0</v>
      </c>
      <c r="AL320" s="4">
        <v>0</v>
      </c>
      <c r="AM320" s="6"/>
      <c r="AN320" s="6"/>
      <c r="AO320" s="3" t="s">
        <v>1034</v>
      </c>
      <c r="AP320" s="3" t="s">
        <v>937</v>
      </c>
      <c r="AQ320" s="4"/>
      <c r="AR320" s="4"/>
      <c r="AS320" s="2"/>
    </row>
  </sheetData>
  <autoFilter xmlns:etc="http://www.wps.cn/officeDocument/2017/etCustomData" ref="A1:AS320" etc:filterBottomFollowUsedRange="0">
    <filterColumn colId="38">
      <filters>
        <dateGroupItem year="2026" month="4" dateTimeGrouping="month"/>
      </filters>
    </filterColumn>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B12" sqref="B12"/>
    </sheetView>
  </sheetViews>
  <sheetFormatPr defaultColWidth="9" defaultRowHeight="14.25" outlineLevelRow="2"/>
  <cols>
    <col min="1" max="1" width="80.8333333333333" customWidth="1"/>
  </cols>
  <sheetData>
    <row r="1" spans="1:1">
      <c r="A1" t="s">
        <v>1124</v>
      </c>
    </row>
    <row r="2" spans="1:1">
      <c r="A2" t="s">
        <v>1125</v>
      </c>
    </row>
    <row r="3" spans="1:1">
      <c r="A3" t="s">
        <v>1126</v>
      </c>
    </row>
  </sheetData>
  <pageMargins left="0.75" right="0.75" top="1" bottom="1" header="0.5" footer="0.5"/>
  <headerFooter/>
  <ignoredErrors>
    <ignoredError sqref="A1:A3"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4</vt:i4>
      </vt:variant>
    </vt:vector>
  </HeadingPairs>
  <TitlesOfParts>
    <vt:vector size="4" baseType="lpstr">
      <vt:lpstr>新品利润测算</vt:lpstr>
      <vt:lpstr>月度损益</vt:lpstr>
      <vt:lpstr>进销存</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2026-08-05T04:19:00Z</dcterms:created>
  <dcterms:modified xsi:type="dcterms:W3CDTF">2026-08-07T09:17:44Z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52B103FD962E4576AF7C26C16EF1D3D8_12</vt:lpwstr>
  </property>
  <property fmtid="{D5CDD505-2E9C-101B-9397-08002B2CF9AE}" pid="3" name="KSOProductBuildVer">
    <vt:lpwstr>2052-12.1.0.28022</vt:lpwstr>
  </property>
  <property fmtid="{D5CDD505-2E9C-101B-9397-08002B2CF9AE}" pid="4" name="CalculationRule">
    <vt:i4>0</vt:i4>
  </property>
</Properties>
</file>